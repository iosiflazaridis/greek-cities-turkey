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ities" sheetId="1" state="visible" r:id="rId3"/>
    <sheet name="Summary" sheetId="2" state="visible" r:id="rId4"/>
    <sheet name="Not included" sheetId="3" state="visible" r:id="rId5"/>
    <sheet name="Rules" sheetId="4" state="visible" r:id="rId6"/>
  </sheets>
  <definedNames>
    <definedName function="false" hidden="true" localSheetId="0" name="_xlnm._FilterDatabase" vbProcedure="false">Cities!$A$1:$AQ$604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<sst xmlns="http://schemas.openxmlformats.org/spreadsheetml/2006/main" count="18208" uniqueCount="7954">
  <si>
    <t xml:space="preserve">No.</t>
  </si>
  <si>
    <t xml:space="preserve">ID</t>
  </si>
  <si>
    <t xml:space="preserve">List group</t>
  </si>
  <si>
    <t xml:space="preserve">Ancient region</t>
  </si>
  <si>
    <t xml:space="preserve">City (Latin alphabet)</t>
  </si>
  <si>
    <t xml:space="preserve">Greek name</t>
  </si>
  <si>
    <t xml:space="preserve">Other names</t>
  </si>
  <si>
    <t xml:space="preserve">Turkish name (town on the site)</t>
  </si>
  <si>
    <t xml:space="preserve">Modern status</t>
  </si>
  <si>
    <t xml:space="preserve">Site today</t>
  </si>
  <si>
    <t xml:space="preserve">Province (il)</t>
  </si>
  <si>
    <t xml:space="preserve">Present-day region</t>
  </si>
  <si>
    <t xml:space="preserve">District centre (ilçe)</t>
  </si>
  <si>
    <t xml:space="preserve">Provincial capital</t>
  </si>
  <si>
    <t xml:space="preserve">Turkish name comes from</t>
  </si>
  <si>
    <t xml:space="preserve">Latitude</t>
  </si>
  <si>
    <t xml:space="preserve">Longitude</t>
  </si>
  <si>
    <t xml:space="preserve">Location</t>
  </si>
  <si>
    <t xml:space="preserve">Greek from (year; negative = BC)</t>
  </si>
  <si>
    <t xml:space="preserve">Date as shown</t>
  </si>
  <si>
    <t xml:space="preserve">Date basis</t>
  </si>
  <si>
    <t xml:space="preserve">Date precision</t>
  </si>
  <si>
    <t xml:space="preserve">Period</t>
  </si>
  <si>
    <t xml:space="preserve">How it became Greek</t>
  </si>
  <si>
    <t xml:space="preserve">Founder</t>
  </si>
  <si>
    <t xml:space="preserve">Founder group</t>
  </si>
  <si>
    <t xml:space="preserve">Mother city</t>
  </si>
  <si>
    <t xml:space="preserve">Earlier settlement</t>
  </si>
  <si>
    <t xml:space="preserve">Evidence of earlier settlement</t>
  </si>
  <si>
    <t xml:space="preserve">Pre-Greek name</t>
  </si>
  <si>
    <t xml:space="preserve">Note on pre-Greek name</t>
  </si>
  <si>
    <t xml:space="preserve">Evidence of city status</t>
  </si>
  <si>
    <t xml:space="preserve">Later majority language (if not Greek)</t>
  </si>
  <si>
    <t xml:space="preserve">Certainty</t>
  </si>
  <si>
    <t xml:space="preserve">Note</t>
  </si>
  <si>
    <t xml:space="preserve">Sources</t>
  </si>
  <si>
    <t xml:space="preserve">Pleiades</t>
  </si>
  <si>
    <t xml:space="preserve">When first Greek (text)</t>
  </si>
  <si>
    <t xml:space="preserve">Mixed city (†)</t>
  </si>
  <si>
    <t xml:space="preserve">Turkish name reached Turkish through</t>
  </si>
  <si>
    <t xml:space="preserve">Earlier settlement: evidence in detail</t>
  </si>
  <si>
    <t xml:space="preserve">Earlier settlement: sources</t>
  </si>
  <si>
    <t xml:space="preserve">Earlier settlement: confidence</t>
  </si>
  <si>
    <t xml:space="preserve">C001</t>
  </si>
  <si>
    <t xml:space="preserve">Thrace</t>
  </si>
  <si>
    <t xml:space="preserve">Imbros</t>
  </si>
  <si>
    <t xml:space="preserve">Ἴμβρος</t>
  </si>
  <si>
    <t xml:space="preserve">Kastro (medieval capital)</t>
  </si>
  <si>
    <t xml:space="preserve">Kaleköy</t>
  </si>
  <si>
    <t xml:space="preserve">village on site</t>
  </si>
  <si>
    <t xml:space="preserve">Kaleköy (Gökçeada, Çanakkale)</t>
  </si>
  <si>
    <t xml:space="preserve">Çanakkale</t>
  </si>
  <si>
    <t xml:space="preserve">Marmara</t>
  </si>
  <si>
    <t xml:space="preserve">unrelated</t>
  </si>
  <si>
    <t xml:space="preserve">secure</t>
  </si>
  <si>
    <t xml:space="preserve">c. 500 BC</t>
  </si>
  <si>
    <t xml:space="preserve">first attestation as Greek city</t>
  </si>
  <si>
    <t xml:space="preserve">decade</t>
  </si>
  <si>
    <t xml:space="preserve">2 Archaic (c. 760–481 BC)</t>
  </si>
  <si>
    <t xml:space="preserve">colony</t>
  </si>
  <si>
    <t xml:space="preserve">Athenians under Miltiades (cleruchy)</t>
  </si>
  <si>
    <t xml:space="preserve">colonists</t>
  </si>
  <si>
    <t xml:space="preserve">Athens</t>
  </si>
  <si>
    <t xml:space="preserve">yes</t>
  </si>
  <si>
    <t xml:space="preserve">text</t>
  </si>
  <si>
    <t xml:space="preserve">Herodotus (5.26) says Imbros was inhabited by 'Pelasgians' when Otanes took it c. 511 BC; no native name attested. The text refers to the island, not specifically to the Kastro site.</t>
  </si>
  <si>
    <t xml:space="preserve">IACP (Imbros); ATL (Imbrioi); own coins (Hermes Imbramos) 4th c. BC; medieval Roman bishopric (later metropolis of Imbros)</t>
  </si>
  <si>
    <t xml:space="preserve">The ancient and medieval town was at Kastro/Kaleköy on the N coast. The island was surrendered to Mehmed II through Kritoboulos of Imbros, 1455/56.</t>
  </si>
  <si>
    <t xml:space="preserve">IACP (Imbros); Hdt. 5.26; 6.41; Pleiades 501438; Wikipedia: Imbros</t>
  </si>
  <si>
    <t xml:space="preserve">Athenian possession under Miltiades by c. 500-493 BC; Athenian cleruchy (re)organised c. 450 BC</t>
  </si>
  <si>
    <t xml:space="preserve">C002</t>
  </si>
  <si>
    <t xml:space="preserve">Elaeus</t>
  </si>
  <si>
    <t xml:space="preserve">Ἐλαιοῦς</t>
  </si>
  <si>
    <t xml:space="preserve">Elaious</t>
  </si>
  <si>
    <t xml:space="preserve">ruins only</t>
  </si>
  <si>
    <t xml:space="preserve">near Seddülbahir (Eceabat, Çanakkale)</t>
  </si>
  <si>
    <t xml:space="preserve">c. 600 BC</t>
  </si>
  <si>
    <t xml:space="preserve">archaeology</t>
  </si>
  <si>
    <t xml:space="preserve">century</t>
  </si>
  <si>
    <t xml:space="preserve">Athenians under Phorbas (Ps.-Scymnus); Teos or an Ephesian, Hegesistratus, in other sources</t>
  </si>
  <si>
    <t xml:space="preserve">Athens (disputed: Teos)</t>
  </si>
  <si>
    <t xml:space="preserve">unknown</t>
  </si>
  <si>
    <t xml:space="preserve">An Early Bronze Age (Troy I–II period) settlement mound lies under the so-called tumulus of Protesilaos at Karaağaç Tepe near Elaious (Schliemann; Demangel 1926); it is next to the Greek town rather than under it, so pre_settlement stays 'unknown'.</t>
  </si>
  <si>
    <t xml:space="preserve">IACP (Thracian Chersonese); ATL; Hellenistic coins; Roman provincial coins (Commodus); fortified by Justinian</t>
  </si>
  <si>
    <t xml:space="preserve">The mother city is disputed: Athens (Ps.-Scymnus), Teos, or an Ephesian founder (Plutarch). The Protesilaos sanctuary was in its territory.</t>
  </si>
  <si>
    <t xml:space="preserve">IACP (Thracian Chersonese); Hdt. 9.116-120; Pleiades 501411; Wikipedia: Elaeus</t>
  </si>
  <si>
    <t xml:space="preserve">Archaic colony, c. 600 BC (necropolis excavated 1915-23 is Archaic); founders disputed</t>
  </si>
  <si>
    <t xml:space="preserve">The town (Eski Hisarlık) has yielded only an Archaic-Hellenistic necropolis (French excavations 1915, 1920-23). The so-called tumulus of Protesilaos at Karaağaç Tepe is a Chalcolithic/EBA/LBA settlement mound (Demangel 1926; Özdoğan 1993), but it lies c. 2.5 km W of the town near Seddülbahir, beyond the same-site test.</t>
  </si>
  <si>
    <t xml:space="preserve">Demangel, Le tumulus dit de Protésilas (1926); DEFC site 747; LuwianSiteAtlas site 87 (Özdoğan, IstMitt 43, 1993); Waiblinger, CRAI 1978; Pleiades 501411</t>
  </si>
  <si>
    <t xml:space="preserve">low</t>
  </si>
  <si>
    <t xml:space="preserve">C003</t>
  </si>
  <si>
    <t xml:space="preserve">Alopeconnesus</t>
  </si>
  <si>
    <t xml:space="preserve">Ἀλωπεκόννησος</t>
  </si>
  <si>
    <t xml:space="preserve">lost/unlocated</t>
  </si>
  <si>
    <t xml:space="preserve">near Anafarta harbour / Suvla bay (Eceabat, Çanakkale)</t>
  </si>
  <si>
    <t xml:space="preserve">approximate</t>
  </si>
  <si>
    <t xml:space="preserve">ancient foundation date</t>
  </si>
  <si>
    <t xml:space="preserve">period</t>
  </si>
  <si>
    <t xml:space="preserve">Aeolians (Ps.-Scymnus; fox-oracle foundation story)</t>
  </si>
  <si>
    <t xml:space="preserve">Aeolis (unspecified Aeolian city)</t>
  </si>
  <si>
    <t xml:space="preserve">IACP (Thracian Chersonese); ATL (Delian League member); own coins 4th c. BC</t>
  </si>
  <si>
    <t xml:space="preserve">The site is placed at Anafarta harbour on the Aegean side of the peninsula, which is uncertain. Its colonists are also said to have taken part in founding Ainos.</t>
  </si>
  <si>
    <t xml:space="preserve">IACP (Thracian Chersonese); Pleiades 501345; Wikipedia: Alopeconnesus</t>
  </si>
  <si>
    <t xml:space="preserve">Aeolian colony of Archaic date (7th-6th c. BC); exact date unrecorded</t>
  </si>
  <si>
    <t xml:space="preserve">Site unlocated; no evidence either way.</t>
  </si>
  <si>
    <t xml:space="preserve">Pleiades 501345</t>
  </si>
  <si>
    <t xml:space="preserve">high</t>
  </si>
  <si>
    <t xml:space="preserve">C004</t>
  </si>
  <si>
    <t xml:space="preserve">Limnae</t>
  </si>
  <si>
    <t xml:space="preserve">Λίμναι</t>
  </si>
  <si>
    <t xml:space="preserve">W side of the peninsula N of Eceabat (Eceabat, Çanakkale)</t>
  </si>
  <si>
    <t xml:space="preserve">Miletus</t>
  </si>
  <si>
    <t xml:space="preserve">IACP (Thracian Chersonese); ATL (Limnaioi)</t>
  </si>
  <si>
    <t xml:space="preserve">probable</t>
  </si>
  <si>
    <t xml:space="preserve">Strabo (7 fr.) calls it a Milesian foundation. The site is not identified; the Barrington Atlas places it approximately.</t>
  </si>
  <si>
    <t xml:space="preserve">IACP (Thracian Chersonese); Strabo 7 fr. 51; Pleiades 501497</t>
  </si>
  <si>
    <t xml:space="preserve">Milesian colony of Archaic date; exact date unrecorded</t>
  </si>
  <si>
    <t xml:space="preserve">Pleiades 501497; Strabo 7 fr. 51</t>
  </si>
  <si>
    <t xml:space="preserve">C005</t>
  </si>
  <si>
    <t xml:space="preserve">Madytus</t>
  </si>
  <si>
    <t xml:space="preserve">Μάδυτος</t>
  </si>
  <si>
    <t xml:space="preserve">Madytos; Maydos (Ottoman)</t>
  </si>
  <si>
    <t xml:space="preserve">Eceabat</t>
  </si>
  <si>
    <t xml:space="preserve">city/town on site</t>
  </si>
  <si>
    <t xml:space="preserve">Eceabat (Eceabat, Çanakkale)</t>
  </si>
  <si>
    <t xml:space="preserve">c. 650 BC</t>
  </si>
  <si>
    <t xml:space="preserve">Aeolians from Lesbos</t>
  </si>
  <si>
    <t xml:space="preserve">Lesbos</t>
  </si>
  <si>
    <t xml:space="preserve">The Madytos mound excavations at Eceabat found Early, Middle and Late Bronze Age levels below the Greek town; no pre-Greek name is attested.</t>
  </si>
  <si>
    <t xml:space="preserve">IACP (Thracian Chersonese); ATL 445/4-421/0; own bronze coins 4th c. BC (ΜΑΔΥ); bishopric (787 'Madyta or Koila'; Notitiae 10th-14th c.)</t>
  </si>
  <si>
    <t xml:space="preserve">Ottoman Maydos continued the Greek name until 1928, when it was renamed Eceabat. Some sources add later Milesian/Klazomenian settlers.</t>
  </si>
  <si>
    <t xml:space="preserve">IACP (Thracian Chersonese); Pleiades 501503; Wikipedia: Madytus; TIB 12</t>
  </si>
  <si>
    <t xml:space="preserve">Aeolian (Lesbian) colony, 7th c. BC</t>
  </si>
  <si>
    <t xml:space="preserve">C006</t>
  </si>
  <si>
    <t xml:space="preserve">Coela</t>
  </si>
  <si>
    <t xml:space="preserve">Κοῖλα</t>
  </si>
  <si>
    <t xml:space="preserve">Municipium Aelium Coela (Latin coins); Koila</t>
  </si>
  <si>
    <t xml:space="preserve">Kilye bay N of Eceabat (Eceabat, Çanakkale)</t>
  </si>
  <si>
    <t xml:space="preserve">c. AD 125</t>
  </si>
  <si>
    <t xml:space="preserve">documented royal/imperial foundation</t>
  </si>
  <si>
    <t xml:space="preserve">5 Roman (30 BC – AD 329)</t>
  </si>
  <si>
    <t xml:space="preserve">Roman foundation</t>
  </si>
  <si>
    <t xml:space="preserve">Hadrian (municipium Aelium)</t>
  </si>
  <si>
    <t xml:space="preserve">Roman emperors to 330</t>
  </si>
  <si>
    <t xml:space="preserve">Roman provincial coins with Latin legends (Hadrian to 3rd c.); Hierocles (Europa); bishops 431, 458, 787</t>
  </si>
  <si>
    <t xml:space="preserve">Latin was the official language of the municipium (coins); Greek-speaking see by the 5th c.</t>
  </si>
  <si>
    <t xml:space="preserve">It was a harbour of the Chersonese before it became a municipium. In 787 the see is called 'Madyta or Koila', and from the 10th c. it is listed as Madytos.</t>
  </si>
  <si>
    <t xml:space="preserve">Pleiades 501471; Wikipedia: Coela; TIB 12 (Külzer 2008); Le Quien, Oriens Christianus</t>
  </si>
  <si>
    <t xml:space="preserve">made a Roman municipium by Hadrian (coins: Aelium Coela); bishop 431</t>
  </si>
  <si>
    <t xml:space="preserve">Site at Kilye bay not identified on the ground. The large Bronze Age mound of Maydos Kilisetepe lies in Eceabat itself, c. 3 km to the S, and belongs to Madytos, not Koila.</t>
  </si>
  <si>
    <t xml:space="preserve">Pleiades 501471; hurriyetdailynews.com (Maydos Kilisetepe 2200 BC wall)</t>
  </si>
  <si>
    <t xml:space="preserve">medium</t>
  </si>
  <si>
    <t xml:space="preserve">C007</t>
  </si>
  <si>
    <t xml:space="preserve">Sestus</t>
  </si>
  <si>
    <t xml:space="preserve">Σηστός</t>
  </si>
  <si>
    <t xml:space="preserve">Sestos</t>
  </si>
  <si>
    <t xml:space="preserve">Akbaş, near Yalova village (Eceabat, Çanakkale)</t>
  </si>
  <si>
    <t xml:space="preserve">IACP (Thracian Chersonese); ATL; decree for Menas (OGIS 339, late 2nd c. BC); coins Hellenistic-Roman</t>
  </si>
  <si>
    <t xml:space="preserve">It was the main crossing point of the Hellespont (Xerxes' bridge, siege of 479 BC). Justinian fortified it, but it was not a late Roman see.</t>
  </si>
  <si>
    <t xml:space="preserve">IACP (Thracian Chersonese); Hdt. 9.114-118; OGIS 339; Pleiades 501609</t>
  </si>
  <si>
    <t xml:space="preserve">Rejected the proposed 'yes'. The LBA claim comes from a Turkish surface survey (Körpe, AST 33, 2016), relayed by the LuwianSiteAtlas, which does not count as evidence. Surface sherds are not stratified, and the city's location is itself uncertain (Barrington: 'Yalıkabat?'; Akbaş castle per others). Homer's listing of Sestos among the Trojan allies (Il. 2.836), which Isaac 1986 and Der Kleine Pauly take as a 'Thracian' Sestos, is epic tradition and not enough on its own (rule 5). I found no excavation evidence of pre-colonial levels in non-Turkish literature.</t>
  </si>
  <si>
    <t xml:space="preserve">en./de.wikipedia.org/wiki/Sestos (citing Isaac 1986, 159-60; von Bredow, BNP; Danoff, KlP); Pleiades 501609 (BAtlas 51 G4, 'Yalikabat?'); Hom. Il. 2.835-6; Körpe 2016 not accessible (surface survey)</t>
  </si>
  <si>
    <t xml:space="preserve">C008</t>
  </si>
  <si>
    <t xml:space="preserve">Aegospotami</t>
  </si>
  <si>
    <t xml:space="preserve">Αἰγὸς ποταμοί</t>
  </si>
  <si>
    <t xml:space="preserve">Aigos Potamoi</t>
  </si>
  <si>
    <t xml:space="preserve">coast S of Gelibolu (Gelibolu, Çanakkale)</t>
  </si>
  <si>
    <t xml:space="preserve">c. 405 BC</t>
  </si>
  <si>
    <t xml:space="preserve">3 Classical (480–335 BC)</t>
  </si>
  <si>
    <t xml:space="preserve">Greek town grown into city</t>
  </si>
  <si>
    <t xml:space="preserve">none (native town)</t>
  </si>
  <si>
    <t xml:space="preserve">IACP (Thracian Chersonese); Ps.-Skylax 67; own coins 4th c. BC (goat type)</t>
  </si>
  <si>
    <t xml:space="preserve">It is known mainly for Lysander's victory of 405 BC. The town's site at the mouth of the 'Goat River' is not precisely located.</t>
  </si>
  <si>
    <t xml:space="preserve">IACP (Thracian Chersonese); Xen. Hell. 2.1; Pleiades 501336</t>
  </si>
  <si>
    <t xml:space="preserve">attested as a polis at the battle of 405 BC; own coins 4th c. BC</t>
  </si>
  <si>
    <t xml:space="preserve">Pleiades 501336</t>
  </si>
  <si>
    <t xml:space="preserve">C009</t>
  </si>
  <si>
    <t xml:space="preserve">Crithote</t>
  </si>
  <si>
    <t xml:space="preserve">Κριθωτή</t>
  </si>
  <si>
    <t xml:space="preserve">Krithote</t>
  </si>
  <si>
    <t xml:space="preserve">near Gelibolu (Gelibolu, Çanakkale)</t>
  </si>
  <si>
    <t xml:space="preserve">c. 555 BC</t>
  </si>
  <si>
    <t xml:space="preserve">Miltiades the Elder (Athenians)</t>
  </si>
  <si>
    <t xml:space="preserve">IACP (Thracian Chersonese); ATL</t>
  </si>
  <si>
    <t xml:space="preserve">Ps.-Scymnus gives Miltiades as founder of Krithote and Paktye. The site is placed only approximately.</t>
  </si>
  <si>
    <t xml:space="preserve">IACP (Thracian Chersonese); Ps.-Scymnus 705-708; Pleiades 501485</t>
  </si>
  <si>
    <t xml:space="preserve">Athenian foundation of Miltiades the Elder, c. 560-550 BC (Ps.-Scymnus)</t>
  </si>
  <si>
    <t xml:space="preserve">Pleiades 501485</t>
  </si>
  <si>
    <t xml:space="preserve">C010</t>
  </si>
  <si>
    <t xml:space="preserve">Callipolis</t>
  </si>
  <si>
    <t xml:space="preserve">Καλλίπολις</t>
  </si>
  <si>
    <t xml:space="preserve">Kallioupolis (medieval Roman); Gallipoli (Italian/Western)</t>
  </si>
  <si>
    <t xml:space="preserve">Gelibolu</t>
  </si>
  <si>
    <t xml:space="preserve">Gelibolu (Gelibolu, Çanakkale)</t>
  </si>
  <si>
    <t xml:space="preserve">c. 200 BC</t>
  </si>
  <si>
    <t xml:space="preserve">4 Hellenistic (334–31 BC)</t>
  </si>
  <si>
    <t xml:space="preserve">Hierocles (Europa); bishops 431, 536, 787; Latin see from 1208; medieval Roman naval base</t>
  </si>
  <si>
    <t xml:space="preserve">Pleiades says it was 'founded by the Macedonians in the 5th c. BC', a claim with no clear source. It is not in IACP. It was taken by the Ottomans in 1354, their first base in Europe.</t>
  </si>
  <si>
    <t xml:space="preserve">Pleiades 501450; TIB 12 (Külzer 2008); Wikipedia: Gelibolu</t>
  </si>
  <si>
    <t xml:space="preserve">first attested 200 BC, surrendering to Philip V with Madytos (Livy 31.16.5); bishop 431</t>
  </si>
  <si>
    <t xml:space="preserve">Greek</t>
  </si>
  <si>
    <t xml:space="preserve">No excavation of early levels at Gelibolu; Pleiades' 'founded by the Macedonians in the 5th c.' is unsourced, and no native predecessor is recorded.</t>
  </si>
  <si>
    <t xml:space="preserve">Pleiades 501450</t>
  </si>
  <si>
    <t xml:space="preserve">C011</t>
  </si>
  <si>
    <t xml:space="preserve">Pactya</t>
  </si>
  <si>
    <t xml:space="preserve">Πακτύη</t>
  </si>
  <si>
    <t xml:space="preserve">Paktye</t>
  </si>
  <si>
    <t xml:space="preserve">c. 3 km S of Bolayır (Gelibolu, Çanakkale)</t>
  </si>
  <si>
    <t xml:space="preserve">IACP pp. 907-908; ATL</t>
  </si>
  <si>
    <t xml:space="preserve">It marked the Propontic end of Miltiades' wall across the isthmus from Kardia (Hdt. 6.36). Pliny says it was later merged into Lysimacheia.</t>
  </si>
  <si>
    <t xml:space="preserve">IACP pp. 907-908; Hdt. 6.36; Pleiades 501546; Wikipedia: Pactya</t>
  </si>
  <si>
    <t xml:space="preserve">Athenian foundation of Miltiades the Elder, c. 560-550 BC</t>
  </si>
  <si>
    <t xml:space="preserve">Bektaş (2025) places Paktye at Maltepe Höyük near Bolayır. The 'höyük' name suggests a mound, but no pre-Greek levels have been published.</t>
  </si>
  <si>
    <t xml:space="preserve">Bektaş, Anadolu Araştırmaları 32 (2025) 138-176; Pleiades 501546; Hdt. 6.36</t>
  </si>
  <si>
    <t xml:space="preserve">C012</t>
  </si>
  <si>
    <t xml:space="preserve">Agora</t>
  </si>
  <si>
    <t xml:space="preserve">Ἀγορά</t>
  </si>
  <si>
    <t xml:space="preserve">Chersonesos (city of the Chersonesitai)</t>
  </si>
  <si>
    <t xml:space="preserve">near Bolayır (Gelibolu, Çanakkale)</t>
  </si>
  <si>
    <t xml:space="preserve">c. 560 BC</t>
  </si>
  <si>
    <t xml:space="preserve">IACP p. 905; Hdt. 7.58; ATL (Chersonesitai); lion-type 'ΧΕΡ' coinage (4th c. BC) probably of the Chersonesite state</t>
  </si>
  <si>
    <t xml:space="preserve">It may be the 'Chersonesos' of the sources; the site is only tentatively placed near Bolayır. A medieval Roman see 'Chersonesos' (Europa) may continue the name, but this is uncertain.</t>
  </si>
  <si>
    <t xml:space="preserve">IACP p. 905; Hdt. 7.58; Pleiades 501332; Wikipedia: Agora (Thrace)</t>
  </si>
  <si>
    <t xml:space="preserve">Athenian colony under Miltiades the Elder, c. 561-556 BC</t>
  </si>
  <si>
    <t xml:space="preserve">Bektaş (2025) identifies Agora with Bolayır, where surface pottery 'from the Bronze Age' onward is reported (jointly with Bakla Burnu), but there is no site-specific publication; earlier Pleiades placement only tentative.</t>
  </si>
  <si>
    <t xml:space="preserve">Bektaş, Anadolu Araştırmaları 32 (2025); Koçel Erdem 2023 (Thrace through the Ages); Pleiades 501332</t>
  </si>
  <si>
    <t xml:space="preserve">C013</t>
  </si>
  <si>
    <t xml:space="preserve">Cardia</t>
  </si>
  <si>
    <t xml:space="preserve">Καρδία</t>
  </si>
  <si>
    <t xml:space="preserve">Kardia</t>
  </si>
  <si>
    <t xml:space="preserve">head of the Gulf of Saros near Bolayır (Gelibolu, Çanakkale)</t>
  </si>
  <si>
    <t xml:space="preserve">Milesians and Klazomenians (oikist Hermochares, local tradition); later Athenians</t>
  </si>
  <si>
    <t xml:space="preserve">Miletus and Klazomenai</t>
  </si>
  <si>
    <t xml:space="preserve">IACP (Thracian Chersonese); Hdt. 6.33, 6.36, 7.58; own coins 4th c. BC</t>
  </si>
  <si>
    <t xml:space="preserve">It was the home of Eumenes and Hieronymus of Kardia. Lysimachus destroyed it c. 309 BC and moved its people to Lysimacheia. Pleiades 501458 combines Kardia and Lysimacheia, so the coordinates are approximate.</t>
  </si>
  <si>
    <t xml:space="preserve">IACP (Thracian Chersonese); Ps.-Scymnus 699-701; Hdt. 6.36; Pleiades 501458</t>
  </si>
  <si>
    <t xml:space="preserve">Milesian-Klazomenian colony, probably 7th c. BC; Athenian settlers under Miltiades c. 560 BC</t>
  </si>
  <si>
    <t xml:space="preserve">Located by recent survey at Bakla Burnu. Surface pottery 'from the Bronze Age to the Byzantine period' is reported from Bakla Burnu and Bolayır together, without detail per site, so pre-Greek occupation at Kardia itself is not established.</t>
  </si>
  <si>
    <t xml:space="preserve">Koçel Erdem 2023 (Thrace through the Ages, Archaeopress) citing Bektaş 2021; Bektaş, Anadolu Araştırmaları 32 (2025); Pleiades 501458</t>
  </si>
  <si>
    <t xml:space="preserve">C014</t>
  </si>
  <si>
    <t xml:space="preserve">Lysimachia</t>
  </si>
  <si>
    <t xml:space="preserve">Λυσιμάχεια</t>
  </si>
  <si>
    <t xml:space="preserve">Hexamilion (medieval Roman fortress and see); Eksemil (Ottoman)</t>
  </si>
  <si>
    <t xml:space="preserve">Ortaköy / Eksemil near Bolayır (Gelibolu, Çanakkale)</t>
  </si>
  <si>
    <t xml:space="preserve">309 BC</t>
  </si>
  <si>
    <t xml:space="preserve">year</t>
  </si>
  <si>
    <t xml:space="preserve">royal foundation</t>
  </si>
  <si>
    <t xml:space="preserve">Lysimachus</t>
  </si>
  <si>
    <t xml:space="preserve">Successors</t>
  </si>
  <si>
    <t xml:space="preserve">Diodorus 20.29; Lysimachus' capital; coins 3rd-2nd c. BC; refounded by Antiochus III 196 BC; see of Hexamilion (bishop 787)</t>
  </si>
  <si>
    <t xml:space="preserve">The site was formerly placed at Hexamili; it is now placed near Bolayır, with most ruins at Ortaköy. The medieval Roman see 'Hexamilion' (787) is taken as its continuation (seed row 'Hexamilion' merged here).</t>
  </si>
  <si>
    <t xml:space="preserve">Diod. 20.29; Livy 33.38-41; Cohen 1995; Pleiades 501458; Wikipedia: Lysimachia (Thrace)</t>
  </si>
  <si>
    <t xml:space="preserve">founded by Lysimachus in 309 BC, with the people of Kardia and other Chersonesite towns</t>
  </si>
  <si>
    <t xml:space="preserve">Previously 'no known'. Ancient sources present it as Lysimachus' new city of 309 BC, with Kardia's people moved in (Paus. 1.9.8; Diod. 20.29). Recent survey work (M. H. Sayar; Bektaş 2021) treats it as a synoecism of existing Kardia (Bakla Burnu), Agora (Bolayır) and Paktye, with the city at Bolayır. Surface pottery 'from the Bronze Age to the Byzantine period' is reported from the Bolayır (Lysimacheia) and Bakla Burnu (Kardia) settlements together, so the new-ground claim no longer holds. The Bronze Age material is not published in enough detail for a 'yes'.</t>
  </si>
  <si>
    <t xml:space="preserve">Paus. 1.9.8; Diod. 20.29.1; Koçel Erdem in Erdem &amp; Şahin (eds.), Thrace through the Ages (Archaeopress 2023) ch. 1, citing Bektaş 2021 (PhD, İstanbul Univ.); Bektaş, Anadolu Araştırmaları 32 (2025) 138-176</t>
  </si>
  <si>
    <t xml:space="preserve">C015</t>
  </si>
  <si>
    <t xml:space="preserve">Aphrodisias (Thrace)</t>
  </si>
  <si>
    <t xml:space="preserve">Ἀφροδισιάς</t>
  </si>
  <si>
    <t xml:space="preserve">Colonia Flaviopolis (Roman)</t>
  </si>
  <si>
    <t xml:space="preserve">c. AD 75</t>
  </si>
  <si>
    <t xml:space="preserve">Flavian emperors (colonia Flaviopolis)</t>
  </si>
  <si>
    <t xml:space="preserve">Hierocles (Europa); Barrington 'Aphrodisias/Col. Flaviopolis'</t>
  </si>
  <si>
    <t xml:space="preserve">Latin colonists in the 1st-3rd c. AD; Greek by late antiquity</t>
  </si>
  <si>
    <t xml:space="preserve">uncertain</t>
  </si>
  <si>
    <t xml:space="preserve">Equating the Flavian colony with Aphrodisias follows the Barrington Atlas; the site is unlocated.</t>
  </si>
  <si>
    <t xml:space="preserve">Pleiades 501352; Jones 1971, 17; RE Aphrodisias 4; Wikipedia: Aphrodisias (Thrace)</t>
  </si>
  <si>
    <t xml:space="preserve">town attested from the Hellenistic period; city status as a Flavian colonia (Flaviopolis), 1st c. AD; city in Hierocles</t>
  </si>
  <si>
    <t xml:space="preserve">Pleiades 501352</t>
  </si>
  <si>
    <t xml:space="preserve">C016</t>
  </si>
  <si>
    <t xml:space="preserve">Aenus</t>
  </si>
  <si>
    <t xml:space="preserve">Αἶνος</t>
  </si>
  <si>
    <t xml:space="preserve">Poltyobria / Poltymbria (earlier Thracian name, Strabo); Apsinthos (?)</t>
  </si>
  <si>
    <t xml:space="preserve">Enez</t>
  </si>
  <si>
    <t xml:space="preserve">Enez (Enez, Edirne)</t>
  </si>
  <si>
    <t xml:space="preserve">Edirne</t>
  </si>
  <si>
    <t xml:space="preserve">Aeolians from Mytilene and Kyme</t>
  </si>
  <si>
    <t xml:space="preserve">Mytilene and Kyme</t>
  </si>
  <si>
    <t xml:space="preserve">Strabo (7 fr.) gives the earlier name Poltyobria, a Thracian name preserved only in Greek, so it is not entered as a pre-Greek name. The Apsinthian Thracians held the region.</t>
  </si>
  <si>
    <t xml:space="preserve">IACP (Ainos); Hdt. 7.58; abundant Classical coinage; Hierocles (Rhodope); bishops 451, 553; autocephalous archbishopric; Gattilusi lordship 1384-1456</t>
  </si>
  <si>
    <t xml:space="preserve">It lies on the E (Turkish) bank of the Hebrus mouth. The Ottomans took it in 1456.</t>
  </si>
  <si>
    <t xml:space="preserve">IACP (Ainos); Hdt. 7.58; Pleiades 501337; TIB 6 (Soustal 1991); Wikipedia: Aenus</t>
  </si>
  <si>
    <t xml:space="preserve">Aeolian colony, 7th c. BC (from Mytilene and Kyme; Alopekonnesians also named)</t>
  </si>
  <si>
    <t xml:space="preserve">C017</t>
  </si>
  <si>
    <t xml:space="preserve">Cypsela</t>
  </si>
  <si>
    <t xml:space="preserve">Κύψελα</t>
  </si>
  <si>
    <t xml:space="preserve">Kypsela; Ipsala (Ottoman)</t>
  </si>
  <si>
    <t xml:space="preserve">İpsala</t>
  </si>
  <si>
    <t xml:space="preserve">İpsala (İpsala, Edirne)</t>
  </si>
  <si>
    <t xml:space="preserve">c. 400 BC</t>
  </si>
  <si>
    <t xml:space="preserve">Hellenized native town</t>
  </si>
  <si>
    <t xml:space="preserve">A Thracian town before it issued Greek coins; no native-script name exists.</t>
  </si>
  <si>
    <t xml:space="preserve">IACP (cited, Thrace); own coins 5th-4th c. BC; Livy (Macedonian/Seleucid campaigns); Via Egnatia station; bishops 553, 787 (Rhodope)</t>
  </si>
  <si>
    <t xml:space="preserve">Thracian was probably still widely spoken until the Roman period (uncertain)</t>
  </si>
  <si>
    <t xml:space="preserve">The name has the form of the Greek word κυψέλη ('beehive'), possibly a reinterpretation of a Thracian name. It is unclear when it became a polis; the coinage is the earliest evidence.</t>
  </si>
  <si>
    <t xml:space="preserve">IACP (Thrace); Pleiades 501489; TIB 6 (Soustal 1991); Wikipedia: Kypsela (Thrace)</t>
  </si>
  <si>
    <t xml:space="preserve">Thracian town with its own coinage with Greek legend (ΚΥΨΕ), c. 400 BC</t>
  </si>
  <si>
    <t xml:space="preserve">C018</t>
  </si>
  <si>
    <t xml:space="preserve">Peristasis</t>
  </si>
  <si>
    <t xml:space="preserve">Περίστασις</t>
  </si>
  <si>
    <t xml:space="preserve">Tiristasis (Roman itineraries); possibly Tyrodiza (Hdt. 7.25)</t>
  </si>
  <si>
    <t xml:space="preserve">Şarköy</t>
  </si>
  <si>
    <t xml:space="preserve">Şarköy (Şarköy, Tekirdağ)</t>
  </si>
  <si>
    <t xml:space="preserve">Tekirdağ</t>
  </si>
  <si>
    <t xml:space="preserve">c. 1170</t>
  </si>
  <si>
    <t xml:space="preserve">6 Roman, from Constantinople (330–1461)</t>
  </si>
  <si>
    <t xml:space="preserve">medieval Roman bishopric by 1170 (suffragan of Herakleia)</t>
  </si>
  <si>
    <t xml:space="preserve">Pleiades equates Roman Tiristasis with Herodotus' Tyrodiza, a dependent town of Perinthos. Whether Classical Tyrodiza had polis status (IACP) is unverified.</t>
  </si>
  <si>
    <t xml:space="preserve">Pleiades 511449; TIB 12 (Külzer 2008); Wikipedia: Mürefte (diocese history)</t>
  </si>
  <si>
    <t xml:space="preserve">bishopric attested by 1170 (later Peristasis and Myriophyton)</t>
  </si>
  <si>
    <t xml:space="preserve">Identification with Tyrodiza (Hdt. 7.25) via Pleiades; no excavation at Şarköy and no native predecessor recorded.</t>
  </si>
  <si>
    <t xml:space="preserve">Pleiades 511449</t>
  </si>
  <si>
    <t xml:space="preserve">C019</t>
  </si>
  <si>
    <t xml:space="preserve">Ganus</t>
  </si>
  <si>
    <t xml:space="preserve">Γάνος</t>
  </si>
  <si>
    <t xml:space="preserve">Serreion Teichos (Classical; identification probable); Gannos (Hierocles)</t>
  </si>
  <si>
    <t xml:space="preserve">Gaziköy</t>
  </si>
  <si>
    <t xml:space="preserve">Gaziköy (Şarköy, Tekirdağ)</t>
  </si>
  <si>
    <t xml:space="preserve">c. 428 BC</t>
  </si>
  <si>
    <t xml:space="preserve">unknown Greek settlers (legend: companions of Byzas)</t>
  </si>
  <si>
    <t xml:space="preserve">IACP p. 922 (Serreion Teichos); ATL; Hierocles 633.1 (Gannos); bishopric, archbishopric 1324, metropolis 1329</t>
  </si>
  <si>
    <t xml:space="preserve">Equating Serreion Teichos with Ganos follows Pleiades and the Barrington Atlas. Mount Ganos was a major medieval Roman monastic and wine centre. The mother city is unrecorded.</t>
  </si>
  <si>
    <t xml:space="preserve">IACP p. 922; ATL I 545-46; Pleiades 511415; Wikipedia: Ganos; TIB 12</t>
  </si>
  <si>
    <t xml:space="preserve">as Serreion Teichos, a tribute-paying Greek community 428/7-418/7 BC (ATL); Ganos a fort by the 4th c. BC; city in Hierocles</t>
  </si>
  <si>
    <t xml:space="preserve">Ganos was a stronghold of the Odrysian kings in the 4th c. BC (Aeschin. 2.90, 3.82) and one of the coastal places Seuthes offered Xenophon (Anab. 7.5.8), but nothing shows a native settlement before the Greek community. The Ganos survey (Işıklar Dağı) has published Classical and later pottery and an Iron Age-to-Roman cult place, with no pre-Greek settlement levels.</t>
  </si>
  <si>
    <t xml:space="preserve">Aeschin. 2.90, 3.82; Xen. Anab. 7.5.8; Şahin and Bülbül in Thrace through the Ages (Archaeopress 2023); Pleiades 511415</t>
  </si>
  <si>
    <t xml:space="preserve">C020</t>
  </si>
  <si>
    <t xml:space="preserve">Orni</t>
  </si>
  <si>
    <t xml:space="preserve">Ὄρνοι</t>
  </si>
  <si>
    <t xml:space="preserve">Ornoi; Ornos (Nepos)</t>
  </si>
  <si>
    <t xml:space="preserve">S of İnecik (Süleymanpaşa, Tekirdağ)</t>
  </si>
  <si>
    <t xml:space="preserve">c. AD 527</t>
  </si>
  <si>
    <t xml:space="preserve">Hierocles 632.6 (Europa); Nepos, Alc. 7.4</t>
  </si>
  <si>
    <t xml:space="preserve">C. Foss (Barrington Atlas) places it tentatively S of İnecik.</t>
  </si>
  <si>
    <t xml:space="preserve">Hierocles 632.6; Nepos, Alcibiades 7.4; Pleiades 511347</t>
  </si>
  <si>
    <t xml:space="preserve">city in Hierocles (c. 527); earlier a fortified place of Alcibiades (c. 405 BC)</t>
  </si>
  <si>
    <t xml:space="preserve">Pleiades 511347</t>
  </si>
  <si>
    <t xml:space="preserve">C021</t>
  </si>
  <si>
    <t xml:space="preserve">Apri</t>
  </si>
  <si>
    <t xml:space="preserve">Ἄπρος</t>
  </si>
  <si>
    <t xml:space="preserve">Aproi; Colonia Claudia Aprensis; Theodosiopolis (Theodosius I or II); Naples (Frankish)</t>
  </si>
  <si>
    <t xml:space="preserve">Kermeyan</t>
  </si>
  <si>
    <t xml:space="preserve">Kermeyan (Malkara, Tekirdağ)</t>
  </si>
  <si>
    <t xml:space="preserve">c. AD 46</t>
  </si>
  <si>
    <t xml:space="preserve">Claudius</t>
  </si>
  <si>
    <t xml:space="preserve">Pliny NH 4.47 (colonia); Ptolemy; Hierocles (Europa); bishops 431 (council list), 458, 536, 787, 878; archbishopric by 640, metropolis 1179</t>
  </si>
  <si>
    <t xml:space="preserve">Latin-speaking veteran colony at first; Greek-speaking by late antiquity</t>
  </si>
  <si>
    <t xml:space="preserve">The site at Kermeyan follows the Barrington Atlas/Pleiades; the council seed placed it at Malkara. The Bulgarians destroyed it in 1205.</t>
  </si>
  <si>
    <t xml:space="preserve">Pleiades 511153; Pliny NH 4.47; Catholic Encyclopedia: Theodosiopolis; TIB 12</t>
  </si>
  <si>
    <t xml:space="preserve">Roman colony founded by Claudius (Colonia Claudia Aprensis), c. AD 46-54</t>
  </si>
  <si>
    <t xml:space="preserve">Apros existed before the Claudian veteran colony: Theopompus (4th c. BC, cited by Steph. Byz.) names it, and the name is Thracian. The colony (Colonia Claudia Aprensis) took the name of this inland Thracian town. This is a refoundation of a native town on textual grounds; no pre-Roman levels have been reported at Kermeyan.</t>
  </si>
  <si>
    <t xml:space="preserve">Steph. Byz. s.v. Ἄπρος (Theopompus); Plin. NH 4.47; en.wikipedia.org/wiki/Aproi; Pleiades 511153</t>
  </si>
  <si>
    <t xml:space="preserve">C022</t>
  </si>
  <si>
    <t xml:space="preserve">Panium</t>
  </si>
  <si>
    <t xml:space="preserve">Πάνιον</t>
  </si>
  <si>
    <t xml:space="preserve">Paniai (Classical); Theodosiopolis (late 4th/5th c.); Panidos</t>
  </si>
  <si>
    <t xml:space="preserve">Barbaros</t>
  </si>
  <si>
    <t xml:space="preserve">Barbaros (Süleymanpaşa, Tekirdağ)</t>
  </si>
  <si>
    <t xml:space="preserve">c. AD 400</t>
  </si>
  <si>
    <t xml:space="preserve">Hierocles (Europa); bishops 536, 680, 787, 14th c.</t>
  </si>
  <si>
    <t xml:space="preserve">Pleiades records a Classical settlement 'Paniai', whose status is unknown. Some Turkish scholars place Bisanthe at Barbaros instead. Home of the historian Priscus of Panium.</t>
  </si>
  <si>
    <t xml:space="preserve">Pleiades 511351; Wikipedia: Panion; Jones 1971, 381 n. 37; TIB 12</t>
  </si>
  <si>
    <t xml:space="preserve">walls restored 383-403 and renamed Theodosiopolis; city in Hierocles; bishop 536</t>
  </si>
  <si>
    <t xml:space="preserve">At Barbaros, surveys found Classical (5th c. BC) black-glaze pottery and 4th c. BC Greek inscriptions; no pre-Greek levels reported.</t>
  </si>
  <si>
    <t xml:space="preserve">kureansiklopedi.com/tr/detay/bisanthe-barbaros-yerlesim-alani-d5bd0; Pleiades 511351</t>
  </si>
  <si>
    <t xml:space="preserve">C023</t>
  </si>
  <si>
    <t xml:space="preserve">Bisanthe</t>
  </si>
  <si>
    <t xml:space="preserve">Βισάνθη</t>
  </si>
  <si>
    <t xml:space="preserve">Rhaidestos / Rhaedestus (from Roman times); Rodosto / Rodoscuk (Ottoman)</t>
  </si>
  <si>
    <t xml:space="preserve">Tekirdağ (Süleymanpaşa, Tekirdağ)</t>
  </si>
  <si>
    <t xml:space="preserve">Süleymanpaşa</t>
  </si>
  <si>
    <t xml:space="preserve">Samians</t>
  </si>
  <si>
    <t xml:space="preserve">Samos</t>
  </si>
  <si>
    <t xml:space="preserve">IACP (Propontic Thrace); Hdt. 7.137; Xen. Anab. 7 (offered by Seuthes); ATL; bishopric Rhaidestos (787), later metropolis</t>
  </si>
  <si>
    <t xml:space="preserve">Equating Bisanthe with Rhaidestos (Tekirdağ) follows Pleiades/Barrington; some Turkish scholars put Bisanthe at Barbaros. The Ottoman name Rodosto continues Rhaidestos; Tekirdağ is a separate Turkish name.</t>
  </si>
  <si>
    <t xml:space="preserve">IACP (Propontic Thrace); Hdt. 7.137; Pleiades 511187; TIB 12 (Külzer 2008)</t>
  </si>
  <si>
    <t xml:space="preserve">Samian colony, Archaic (c. 600 BC; the Samian Propontic colonies date from c. 600)</t>
  </si>
  <si>
    <t xml:space="preserve">TDV İslâm Ansiklopedisi suggests that Thracians (Bistones) first settled the site and that the name Bisanthe is Thracian, but this is inference; no pre-Greek levels have been reported at Tekirdağ (finds there are 4th c. BC Thracian gravestones).</t>
  </si>
  <si>
    <t xml:space="preserve">islamansiklopedisi.org.tr/tekirdag; Hdt. 7.137; Pleiades 511187</t>
  </si>
  <si>
    <t xml:space="preserve">C024</t>
  </si>
  <si>
    <t xml:space="preserve">Heraeum (Heraion Teichos)</t>
  </si>
  <si>
    <t xml:space="preserve">Ἡραῖον τεῖχος</t>
  </si>
  <si>
    <t xml:space="preserve">Hieron/Hiereum, Ereon (itineraries)</t>
  </si>
  <si>
    <t xml:space="preserve">coast E of Tekirdağ (Süleymanpaşa, Tekirdağ), exact site unknown</t>
  </si>
  <si>
    <t xml:space="preserve">IACP p. 918; besieged by Philip II 352 BC (Dem. 3.4)</t>
  </si>
  <si>
    <t xml:space="preserve">It lay a little E of Bisanthe; the site is not identified (Wikipedia gives c. 41.02 N 27.74 E).</t>
  </si>
  <si>
    <t xml:space="preserve">IACP p. 918; Suda / Harpokration s.v.; Pleiades 511271; Wikipedia: Heraion Teichos</t>
  </si>
  <si>
    <t xml:space="preserve">Samian colony c. 600 BC</t>
  </si>
  <si>
    <t xml:space="preserve">Rejected the proposed 'yes'. The only source is the Turkish excavator's own summary (N. Atik, Arkeoloji ve Sanat 152, 2016). It calls Karaevlialtı a 'Thracian settlement mound' whose 'earliest finds were terracotta pieces dating back to 3000 BC', but the earliest architecture is 6th c. BC, and it reports no stratified pre-colonial level. Menekşe Çatağı is only 'nearby' (rule 8), and kureansiklopedi does not count. No non-Turkish corroboration found; the IACP and Barrington give no prehistoric data, and Barrington places Heraion at 'Aytepe'. This could become 'yes' if the KST reports show a stratified EBA level under the acropolis.</t>
  </si>
  <si>
    <t xml:space="preserve">Atik 2016, record and abstract at acikerisim.nku.edu.tr/xmlui/handle/20.500.11776/6787; en.wikipedia.org/wiki/Heraion_Teichos (IACP p. 918; Hdt. 4.90); Pleiades 511271</t>
  </si>
  <si>
    <t xml:space="preserve">C025</t>
  </si>
  <si>
    <t xml:space="preserve">Perinthus</t>
  </si>
  <si>
    <t xml:space="preserve">Πέρινθος</t>
  </si>
  <si>
    <t xml:space="preserve">Herakleia / Heraclea (Thraciae), from the 3rd c. AD</t>
  </si>
  <si>
    <t xml:space="preserve">Marmaraereğlisi</t>
  </si>
  <si>
    <t xml:space="preserve">Marmara Ereğlisi (Marmaraereğlisi, Tekirdağ)</t>
  </si>
  <si>
    <t xml:space="preserve">602 BC</t>
  </si>
  <si>
    <t xml:space="preserve">IACP (Propontic Thrace); ATL; coins; Roman neokoros city and capital of Thracia; Hierocles (Europa; metropolis); bishops from 325</t>
  </si>
  <si>
    <t xml:space="preserve">Turkish Ereğli comes from Herakleia, not Perinthos. Philip II besieged it in 340 BC.</t>
  </si>
  <si>
    <t xml:space="preserve">IACP (Propontic Thrace); Sayar 1998; Pleiades 511357; TIB 12</t>
  </si>
  <si>
    <t xml:space="preserve">Samian colony, 602/1 BC (Eusebius/Jerome)</t>
  </si>
  <si>
    <t xml:space="preserve">Rejected the proposed 'yes'. The Bronze Age claim rests only on press reports (Milliyet 2022; turkisharchaeonews/Hürriyet Nov. 2021: 'ceramics, spoon pieces, cooking utensils and animal bones believed to be 5,000 years old'). These announce unpublished finds from the Koçel Erdem excavations, with no stratigraphy or exact findspot (rule 4). The early name 'Mygdonia' comes only from Tzetzes, a late source and not a good one (rule 6). The standard works (Sayar 1998; Schönert-Geiß 1965; BNP) report no pre-Samian levels.</t>
  </si>
  <si>
    <t xml:space="preserve">turkisharchaeonews.net/node/1042; en.wikipedia.org/wiki/Perinthus (Sayar 1998, 2021; von Bredow BNP); Pleiades 511357</t>
  </si>
  <si>
    <t xml:space="preserve">C026</t>
  </si>
  <si>
    <t xml:space="preserve">Daminon Teichos</t>
  </si>
  <si>
    <t xml:space="preserve">Δαμίνον τεῖχος</t>
  </si>
  <si>
    <t xml:space="preserve">Daunion Teichos; Daunium; possibly medieval Roman see Daonion</t>
  </si>
  <si>
    <t xml:space="preserve">near Gümüşyaka (Silivri, İstanbul)</t>
  </si>
  <si>
    <t xml:space="preserve">İstanbul</t>
  </si>
  <si>
    <t xml:space="preserve">c. 454 BC</t>
  </si>
  <si>
    <t xml:space="preserve">unknown Greek settlers</t>
  </si>
  <si>
    <t xml:space="preserve">IACP p. 918; ATL 454/3-418/7; Ps.-Skylax (between Perinthos and Selymbria)</t>
  </si>
  <si>
    <t xml:space="preserve">The mother city is unrecorded (probably Samian/Perinthian sphere). The medieval Roman see Daonion (suffragan of Herakleia) may be the same place, which is unverified.</t>
  </si>
  <si>
    <t xml:space="preserve">IACP p. 918; ATL; Pleiades 511227; Wikipedia: Daminon Teichos</t>
  </si>
  <si>
    <t xml:space="preserve">tribute-paying Greek community 454/3-418/7 BC (ATL)</t>
  </si>
  <si>
    <t xml:space="preserve">Site unlocated (near Gümüşyaka?); no evidence either way.</t>
  </si>
  <si>
    <t xml:space="preserve">Pleiades 511227</t>
  </si>
  <si>
    <t xml:space="preserve">C027</t>
  </si>
  <si>
    <t xml:space="preserve">Selymbria</t>
  </si>
  <si>
    <t xml:space="preserve">Σηλυμβρία</t>
  </si>
  <si>
    <t xml:space="preserve">Selybria; Eudoxiopolis (c. 400, after Empress Eudoxia)</t>
  </si>
  <si>
    <t xml:space="preserve">Silivri</t>
  </si>
  <si>
    <t xml:space="preserve">Silivri (Silivri, İstanbul)</t>
  </si>
  <si>
    <t xml:space="preserve">pre-Greek name</t>
  </si>
  <si>
    <t xml:space="preserve">c. 670 BC</t>
  </si>
  <si>
    <t xml:space="preserve">Megarians</t>
  </si>
  <si>
    <t xml:space="preserve">Megara</t>
  </si>
  <si>
    <t xml:space="preserve">The name is Thracian, 'town of Selys' (-bria = town, Strabo 7.6.1), which implies a Thracian place; it is known only through Greek, so not entered as a pre-Greek name.</t>
  </si>
  <si>
    <t xml:space="preserve">IACP (Propontic Thrace); ATL; coins; Hierocles (Europa, as Eudoxiopolis); bishops 451, 680-81; archbishopric; surrendered to the Ottomans 1453</t>
  </si>
  <si>
    <t xml:space="preserve">Silivri continues the Thracian name Selymbria.</t>
  </si>
  <si>
    <t xml:space="preserve">IACP (Propontic Thrace); Strabo 7.6.1; Pleiades 511414; TIB 12</t>
  </si>
  <si>
    <t xml:space="preserve">Megarian colony, founded before Byzantium (Ps.-Scymnus), i.e. before c. 667-659 BC</t>
  </si>
  <si>
    <t xml:space="preserve">C028</t>
  </si>
  <si>
    <t xml:space="preserve">Athyras</t>
  </si>
  <si>
    <t xml:space="preserve">Ἀθύρας</t>
  </si>
  <si>
    <t xml:space="preserve">Athyra (medieval Roman see)</t>
  </si>
  <si>
    <t xml:space="preserve">Büyükçekmece</t>
  </si>
  <si>
    <t xml:space="preserve">Büyükçekmece (Büyükçekmece, İstanbul)</t>
  </si>
  <si>
    <t xml:space="preserve">c. AD 900</t>
  </si>
  <si>
    <t xml:space="preserve">medieval Roman bishopric (suffragan of Herakleia), Catholic titular see Athyra</t>
  </si>
  <si>
    <t xml:space="preserve">The date of the first bishop is not verified; the date given is the earliest Notitia listing I could confirm.</t>
  </si>
  <si>
    <t xml:space="preserve">Pleiades 511172; TIB 12 (Külzer 2008); Le Quien, Oriens Christianus</t>
  </si>
  <si>
    <t xml:space="preserve">see of Athyra in the medieval Roman Notitiae (c. 10th c.); a settlement since the Hellenistic period</t>
  </si>
  <si>
    <t xml:space="preserve">Athyras is attested in Hellenistic-Roman sources; no pre-Greek levels are reported at Büyükçekmece.</t>
  </si>
  <si>
    <t xml:space="preserve">Pleiades 511172; en.wikipedia.org/wiki/Athyras</t>
  </si>
  <si>
    <t xml:space="preserve">C029</t>
  </si>
  <si>
    <t xml:space="preserve">Byzantium</t>
  </si>
  <si>
    <t xml:space="preserve">Βυζάντιον</t>
  </si>
  <si>
    <t xml:space="preserve">Constantinople / Κωνσταντινούπολις, Nova Roma (Constantine 330); Antonina / Augusta Antonina (Septimius Severus, briefly); hē Polis</t>
  </si>
  <si>
    <t xml:space="preserve">Historic peninsula, Sarayburnu acropolis (Fatih, İstanbul)</t>
  </si>
  <si>
    <t xml:space="preserve">Fatih</t>
  </si>
  <si>
    <t xml:space="preserve">c. 667 BC</t>
  </si>
  <si>
    <t xml:space="preserve">Megarians (oikist Byzas, legend)</t>
  </si>
  <si>
    <t xml:space="preserve">text+archaeology</t>
  </si>
  <si>
    <t xml:space="preserve">Pliny (NH 4.46) says the place was earlier called Lygos, a Thracian name known only from Latin, so not entered as a pre-Greek name. Neolithic-Chalcolithic remains exist within the later city (Yenikapı).</t>
  </si>
  <si>
    <t xml:space="preserve">IACP (Propontic Thrace); ATL; coins from late 5th c. BC; Roman provincial coins; imperial capital 330-1453; patriarchate (councils 381, 553, 680-81)</t>
  </si>
  <si>
    <t xml:space="preserve">One entry for Byzantium and Constantinople (refoundation 330). Turkish İstanbul comes from Greek εἰς τὴν Πόλιν. The Ottomans took it in 1453. Justinian's 'city' of Sykai/Ioustinianai (later Galata) is treated as part of it.</t>
  </si>
  <si>
    <t xml:space="preserve">IACP (Byzantion); Hdt. 4.144; Pliny NH 4.46; Pleiades 520985 / 520998</t>
  </si>
  <si>
    <t xml:space="preserve">Megarian colony, c. 668-659 BC (Hdt. 4.144: 17 years after Chalcedon; Eusebius 659/8); Greek pottery from the 7th c. BC</t>
  </si>
  <si>
    <t xml:space="preserve">C030</t>
  </si>
  <si>
    <t xml:space="preserve">Metrae</t>
  </si>
  <si>
    <t xml:space="preserve">Μέτραι</t>
  </si>
  <si>
    <t xml:space="preserve">Metrai</t>
  </si>
  <si>
    <t xml:space="preserve">Çatalca</t>
  </si>
  <si>
    <t xml:space="preserve">Çatalca (Çatalca, İstanbul)</t>
  </si>
  <si>
    <t xml:space="preserve">AD 787</t>
  </si>
  <si>
    <t xml:space="preserve">bishop 787; suffragan of Herakleia (still listed in modern times)</t>
  </si>
  <si>
    <t xml:space="preserve">Identification with Çatalca is the modern view given in the council seed.</t>
  </si>
  <si>
    <t xml:space="preserve">Council seed (Nicaea 787); TIB 12 (Külzer 2008); Catholic Encyclopedia: Heraclea</t>
  </si>
  <si>
    <t xml:space="preserve">first bishop at Nicaea II (787)</t>
  </si>
  <si>
    <t xml:space="preserve">Identification with Çatalca rests on the council seed; no excavation and no native predecessor recorded.</t>
  </si>
  <si>
    <t xml:space="preserve">C031</t>
  </si>
  <si>
    <t xml:space="preserve">Dercos</t>
  </si>
  <si>
    <t xml:space="preserve">Δέρκος</t>
  </si>
  <si>
    <t xml:space="preserve">Delkos; Terkos (Ottoman)</t>
  </si>
  <si>
    <t xml:space="preserve">Durusu</t>
  </si>
  <si>
    <t xml:space="preserve">Durusu (Arnavutköy, İstanbul)</t>
  </si>
  <si>
    <t xml:space="preserve">bishop 787; later archbishopric and metropolis of Derkos</t>
  </si>
  <si>
    <t xml:space="preserve">It was a Roman station (Delkos); Durusu was called Terkos until the 20th c. The council seed point lies c. 9 km from Durusu; the Pleiades point is used here.</t>
  </si>
  <si>
    <t xml:space="preserve">Pleiades 511231; Council seed (Nicaea 787); TIB 12</t>
  </si>
  <si>
    <t xml:space="preserve">first bishop at Nicaea II (787); later archbishopric/metropolis</t>
  </si>
  <si>
    <t xml:space="preserve">In antiquity a village (Delkos) in Byzantion's territory by the lagoon; no earlier settlement reported at Durusu.</t>
  </si>
  <si>
    <t xml:space="preserve">Pleiades 511231; thebyzantinelegacy.com/derkos</t>
  </si>
  <si>
    <t xml:space="preserve">C032</t>
  </si>
  <si>
    <t xml:space="preserve">Medea</t>
  </si>
  <si>
    <t xml:space="preserve">Μήδεια</t>
  </si>
  <si>
    <t xml:space="preserve">Salmydessos (Thracian coast and town); Midye (Ottoman)</t>
  </si>
  <si>
    <t xml:space="preserve">Kıyıköy</t>
  </si>
  <si>
    <t xml:space="preserve">Kıyıköy (Vize, Kırklareli)</t>
  </si>
  <si>
    <t xml:space="preserve">Kırklareli</t>
  </si>
  <si>
    <t xml:space="preserve">Salmydessos was a coast and town of the Thracian Thynoi (Hdt. 4.93; Xen. Anab. 7.5); no native-script name.</t>
  </si>
  <si>
    <t xml:space="preserve">medieval Roman archbishopric, later metropolis; Catholic titular see Medea; Justinianic fortifications</t>
  </si>
  <si>
    <t xml:space="preserve">The medieval Roman name Medeia continues in Midye. The date of the first see is not exactly verified. It submitted to the Ottomans in 1453.</t>
  </si>
  <si>
    <t xml:space="preserve">Pleiades 511404; TIB 12 (Külzer 2008); Wikipedia: Kıyıköy</t>
  </si>
  <si>
    <t xml:space="preserve">walls built under Justinian; archbishopric (later metropolis) in the Notitiae from c. 900</t>
  </si>
  <si>
    <t xml:space="preserve">C033</t>
  </si>
  <si>
    <t xml:space="preserve">Bizye</t>
  </si>
  <si>
    <t xml:space="preserve">Βιζύη</t>
  </si>
  <si>
    <t xml:space="preserve">Vize</t>
  </si>
  <si>
    <t xml:space="preserve">Vize (Vize, Kırklareli)</t>
  </si>
  <si>
    <t xml:space="preserve">c. AD 117</t>
  </si>
  <si>
    <t xml:space="preserve">Thracian royal residence (Pliny: 'arx regum Thraciae'); Thracian royal tumuli at Vize; the name is Thracian but has no native-script attestation.</t>
  </si>
  <si>
    <t xml:space="preserve">Roman provincial coins; Hierocles (Europa); bishops 431-787; autocephalous archbishopric; Hagia Sophia church</t>
  </si>
  <si>
    <t xml:space="preserve">The Thracian kings used Greek in their inscriptions before AD 46. The start date of the coinage (Trajan or Hadrian) is approximate.</t>
  </si>
  <si>
    <t xml:space="preserve">Pleiades 511190; Pliny NH 4.47; Jones 1971; TIB 12</t>
  </si>
  <si>
    <t xml:space="preserve">civic coins with Greek legends from the 2nd c. AD (Hadrian to Philip); earlier the seat of the Thracian (Astaean) kings, 1st c. BC-AD 46</t>
  </si>
  <si>
    <t xml:space="preserve">C034</t>
  </si>
  <si>
    <t xml:space="preserve">Brysis</t>
  </si>
  <si>
    <t xml:space="preserve">Βρύσις</t>
  </si>
  <si>
    <t xml:space="preserve">Verissa (Latin archbishopric 1204-)</t>
  </si>
  <si>
    <t xml:space="preserve">Pınarhisar</t>
  </si>
  <si>
    <t xml:space="preserve">Pınarhisar (Pınarhisar, Kırklareli)</t>
  </si>
  <si>
    <t xml:space="preserve">bishops 787, 879, 1027, 1315-31; archbishopric in Notitia of Leo VI</t>
  </si>
  <si>
    <t xml:space="preserve">Turkish Pınar ('spring') translates Greek βρύσις. Turkish sources say it was founded under Theodosius II, which is unverified. The Ottomans took it in 1368.</t>
  </si>
  <si>
    <t xml:space="preserve">Wikipedia: Pınarhisar; TIB 12 (Külzer 2008); Le Quien, Oriens Christianus</t>
  </si>
  <si>
    <t xml:space="preserve">archbishop John at Nicaea II (787)</t>
  </si>
  <si>
    <t xml:space="preserve">Turkish sources date the town to Theodosius II; the castle is early Byzantine and no Thracian or earlier settlement is reported at Pınarhisar.</t>
  </si>
  <si>
    <t xml:space="preserve">en.wikipedia.org/wiki/Brysis; castles.nl/pinarhisar-castle</t>
  </si>
  <si>
    <t xml:space="preserve">C035</t>
  </si>
  <si>
    <t xml:space="preserve">Tzurulum</t>
  </si>
  <si>
    <t xml:space="preserve">Τζουρουλός</t>
  </si>
  <si>
    <t xml:space="preserve">Tzirallum (Lactantius); Tyroloe; Zorolus (titular see)</t>
  </si>
  <si>
    <t xml:space="preserve">Çorlu</t>
  </si>
  <si>
    <t xml:space="preserve">Çorlu (Çorlu, Tekirdağ)</t>
  </si>
  <si>
    <t xml:space="preserve">The name is probably Thracian (Tzirallum/Syrallum), known only from Latin and Greek sources.</t>
  </si>
  <si>
    <t xml:space="preserve">bishop 787; later metropolis; major medieval Roman fortress town (Pecheneg siege 1090)</t>
  </si>
  <si>
    <t xml:space="preserve">The Thracian origin of the name is likely but unproven. The Ottomans took it in the 1350s/60s under Murad I.</t>
  </si>
  <si>
    <t xml:space="preserve">Pleiades 511456; Council seed (Nicaea 787); TIB 12</t>
  </si>
  <si>
    <t xml:space="preserve">Roman station (Tzirallum, 313); fortified by Justinian; first bishop at Nicaea II (787)</t>
  </si>
  <si>
    <t xml:space="preserve">C036</t>
  </si>
  <si>
    <t xml:space="preserve">Drizipara</t>
  </si>
  <si>
    <t xml:space="preserve">Δριζίπαρα</t>
  </si>
  <si>
    <t xml:space="preserve">Drousipara / Drusipara; Mesene (from the 9th c.)</t>
  </si>
  <si>
    <t xml:space="preserve">Misinli</t>
  </si>
  <si>
    <t xml:space="preserve">Misinli near Büyükkarıştıran (Lüleburgaz, Kırklareli)</t>
  </si>
  <si>
    <t xml:space="preserve">AD 553</t>
  </si>
  <si>
    <t xml:space="preserve">Thracian name (-para 'village'), known only from Greek and Latin sources.</t>
  </si>
  <si>
    <t xml:space="preserve">bishops 553, 787; later autocephalous archbishopric (as Mesene); shrine of St Alexander</t>
  </si>
  <si>
    <t xml:space="preserve">The see may date from the 4th c., but 553 is the first certain bishop. The Avars sacked it in 591. Misinli continues the medieval name Mesene.</t>
  </si>
  <si>
    <t xml:space="preserve">Pleiades 511241; Wikipedia: Drizipara; TIB 12</t>
  </si>
  <si>
    <t xml:space="preserve">Thracian-named town (Ptolemy, itineraries); first bishop attested 553</t>
  </si>
  <si>
    <t xml:space="preserve">C037</t>
  </si>
  <si>
    <t xml:space="preserve">Chariopolis</t>
  </si>
  <si>
    <t xml:space="preserve">Χαριούπολις</t>
  </si>
  <si>
    <t xml:space="preserve">Charioupolis</t>
  </si>
  <si>
    <t xml:space="preserve">Hayrabolu</t>
  </si>
  <si>
    <t xml:space="preserve">Hayrabolu (Hayrabolu, Tekirdağ)</t>
  </si>
  <si>
    <t xml:space="preserve">bishops 787-1351 (suffragan of Herakleia)</t>
  </si>
  <si>
    <t xml:space="preserve">Nothing is known of an ancient predecessor. It was sacked by the Pechenegs in 1087.</t>
  </si>
  <si>
    <t xml:space="preserve">Pleiades 511206; Catholic Encyclopedia: Chariopolis; TIB 12</t>
  </si>
  <si>
    <t xml:space="preserve">Nothing is known of an ancient predecessor at Hayrabolu; the district has Thracian dolmens and tumuli, but no settlement under the town is reported.</t>
  </si>
  <si>
    <t xml:space="preserve">en.wikipedia.org/wiki/Hayrabolu; Pleiades 511206</t>
  </si>
  <si>
    <t xml:space="preserve">C038</t>
  </si>
  <si>
    <t xml:space="preserve">Arcadiopolis</t>
  </si>
  <si>
    <t xml:space="preserve">Ἀρκαδιούπολις</t>
  </si>
  <si>
    <t xml:space="preserve">Bergule / Bergoule (Thracian town)</t>
  </si>
  <si>
    <t xml:space="preserve">Lüleburgaz</t>
  </si>
  <si>
    <t xml:space="preserve">Lüleburgaz (Lüleburgaz, Kırklareli)</t>
  </si>
  <si>
    <t xml:space="preserve">c. AD 395</t>
  </si>
  <si>
    <t xml:space="preserve">Theodosius I or Arcadius</t>
  </si>
  <si>
    <t xml:space="preserve">emperors in Constantinople 330–1461</t>
  </si>
  <si>
    <t xml:space="preserve">Bergule, a town of the Thracian Astai (Ptolemy, itineraries); the name has no native-script attestation.</t>
  </si>
  <si>
    <t xml:space="preserve">Hierocles (Europa); bishops 553, 787; archbishopric</t>
  </si>
  <si>
    <t xml:space="preserve">It was briefly the capital of Europa. The medieval Romans defeated the Rus' here in 970.</t>
  </si>
  <si>
    <t xml:space="preserve">Pleiades 511185; TIB 12 (Külzer 2008); Wikipedia: Lüleburgaz</t>
  </si>
  <si>
    <t xml:space="preserve">Thracian Bergule raised to city status and renamed for Arcadius by Theodosius I (or Arcadius), c. 390s</t>
  </si>
  <si>
    <t xml:space="preserve">C039</t>
  </si>
  <si>
    <t xml:space="preserve">Bulgarophygon</t>
  </si>
  <si>
    <t xml:space="preserve">Βουλγαρόφυγον</t>
  </si>
  <si>
    <t xml:space="preserve">Bourtoudizos / Burtudizon (Roman station); Arteskos (later Greek)</t>
  </si>
  <si>
    <t xml:space="preserve">Babaeski</t>
  </si>
  <si>
    <t xml:space="preserve">Babaeski (Babaeski, Kırklareli)</t>
  </si>
  <si>
    <t xml:space="preserve">Roman station Burtudizon/Bourdizos with a Thracian name; no native-script attestation.</t>
  </si>
  <si>
    <t xml:space="preserve">bishop 787 (council seed); see in the Notitiae; Catholic titular see Bulgarophygum</t>
  </si>
  <si>
    <t xml:space="preserve">The council seed records a bishop in 787; the name Bulgarophygon is otherwise first known from the battle of 896.</t>
  </si>
  <si>
    <t xml:space="preserve">Pleiades 511195; Council seed (Nicaea 787); TIB 12</t>
  </si>
  <si>
    <t xml:space="preserve">bishop at Nicaea II (787) per council list; earlier the Thracian-named station Bourtoudizos, fortified by Justinian</t>
  </si>
  <si>
    <t xml:space="preserve">C040</t>
  </si>
  <si>
    <t xml:space="preserve">Hadrianopolis</t>
  </si>
  <si>
    <t xml:space="preserve">Ἁδριανούπολις</t>
  </si>
  <si>
    <t xml:space="preserve">Adrianople; Uskudama / Uscudama (earlier Thracian town); Orestias (learned medieval Roman name)</t>
  </si>
  <si>
    <t xml:space="preserve">Edirne (Merkez, Edirne)</t>
  </si>
  <si>
    <t xml:space="preserve">Merkez</t>
  </si>
  <si>
    <t xml:space="preserve">Latin/Roman name</t>
  </si>
  <si>
    <t xml:space="preserve">Hadrian</t>
  </si>
  <si>
    <t xml:space="preserve">Uskudama/Uscudama, a town of the Bessi or Odrysae (Ammianus, Eutropius); known only from Latin, so not entered as a pre-Greek name.</t>
  </si>
  <si>
    <t xml:space="preserve">Roman provincial coins (Greek legends); Hierocles (Haemimontus, metropolis); bishops 553, 787; medieval Roman metropolis</t>
  </si>
  <si>
    <t xml:space="preserve">Scene of the Gothic victory of 378. Taken by the Ottomans c. 1369 (dates 1361-1371 are debated) and their capital until 1453.</t>
  </si>
  <si>
    <t xml:space="preserve">Pleiades 501428; TIB 6 (Soustal 1991); Jones 1971; Wikipedia: Edirne</t>
  </si>
  <si>
    <t xml:space="preserve">founded by Hadrian c. AD 124/125 on the site of Thracian Uskudama</t>
  </si>
  <si>
    <t xml:space="preserve">C041</t>
  </si>
  <si>
    <t xml:space="preserve">Bithynia</t>
  </si>
  <si>
    <t xml:space="preserve">Chalcedon</t>
  </si>
  <si>
    <t xml:space="preserve">Χαλκηδών</t>
  </si>
  <si>
    <t xml:space="preserve">Kalchedon</t>
  </si>
  <si>
    <t xml:space="preserve">Kadıköy</t>
  </si>
  <si>
    <t xml:space="preserve">Kadıköy (Kadıköy, İstanbul)</t>
  </si>
  <si>
    <t xml:space="preserve">685 BC</t>
  </si>
  <si>
    <t xml:space="preserve">IACP (Chalkedon); ATL; coins Classical-Roman; Hierocles (Bithynia); metropolitan see; Council of Chalcedon 451</t>
  </si>
  <si>
    <t xml:space="preserve">The Neolithic Fikirtepe mound lies c. 2 km away in Kadıköy but not on the city site. The Ottomans took it in the mid-14th c. (Orhan).</t>
  </si>
  <si>
    <t xml:space="preserve">IACP (Chalkedon); Hdt. 4.144; Pleiades 520988; TIB 13 (Belke 2020)</t>
  </si>
  <si>
    <t xml:space="preserve">Megarian colony, 685/4 BC (Eusebius); 17 years before Byzantium (Hdt. 4.144)</t>
  </si>
  <si>
    <t xml:space="preserve">Excavations in Kadıköy (Haydarpaşa, Altıyol) go back only to Classical/Hellenistic levels, and no pre-Greek level is reported on the city site. The Neolithic-Chalcolithic Fikirtepe mound lies c. 2 km east, across the Kurbağalıdere. There is no positive evidence of new ground either, so the 'no known' value is changed.</t>
  </si>
  <si>
    <t xml:space="preserve">Hürriyet Daily News 145537 &amp; 152786; Habertürk 2509981 (Haydarpaşa); en.wikipedia Fikirtepe; Hdt. 4.144</t>
  </si>
  <si>
    <t xml:space="preserve">C042</t>
  </si>
  <si>
    <t xml:space="preserve">Myrleia / Apamea Myrlea</t>
  </si>
  <si>
    <t xml:space="preserve">Μύρλεια</t>
  </si>
  <si>
    <t xml:space="preserve">Brylleion? (earlier or neighbouring town, Pliny); Apameia (Prusias I, after Queen Apama, c. 202 BC); Colonia Iulia Concordia Apamea (Caesar or Augustus)</t>
  </si>
  <si>
    <t xml:space="preserve">Mudanya</t>
  </si>
  <si>
    <t xml:space="preserve">Mudanya (Bursa); ruins at and just south of the town</t>
  </si>
  <si>
    <t xml:space="preserve">Bursa</t>
  </si>
  <si>
    <t xml:space="preserve">Colophon</t>
  </si>
  <si>
    <t xml:space="preserve">Coins (Myrleia; Apameia Myrleanon; C.I.C.A. colonial issues); Hierocles; bishops 431, 451, 787; later autocephalous archbishopric</t>
  </si>
  <si>
    <t xml:space="preserve">Given by Philip V to Prusias I (202 BC) and renamed Apameia; Roman colony under Caesar or Augustus. Turkish Mudanya continues medieval Roman Moudania, not Myrleia/Apamea.</t>
  </si>
  <si>
    <t xml:space="preserve">Pliny NH 5.143; Pleiades 511194; IK 32 (Apameia); Wikipedia: Apamea Myrlea</t>
  </si>
  <si>
    <t xml:space="preserve">Colophonian colony (Pliny NH 5.143; Steph. Byz.); foundation date unknown (probably Archaic); attested as a Greek city by the Classical period</t>
  </si>
  <si>
    <t xml:space="preserve">Not excavated. Barrington gives the Classical name Brylleion for the same site, but its origin (Greek or native) is unknown; the eponym Myrlos is legendary.</t>
  </si>
  <si>
    <t xml:space="preserve">Pleiades 511194; RE s.v. Bryllion; Plin. NH 5.143</t>
  </si>
  <si>
    <t xml:space="preserve">C043</t>
  </si>
  <si>
    <t xml:space="preserve">Kios / Prusias ad Mare</t>
  </si>
  <si>
    <t xml:space="preserve">Κίος</t>
  </si>
  <si>
    <t xml:space="preserve">Cius; Prusias pros thalassei (Prusias I, 202 BC); Kios again under Claudius, Prusias again Flavian (coins, Sommer)</t>
  </si>
  <si>
    <t xml:space="preserve">Gemlik</t>
  </si>
  <si>
    <t xml:space="preserve">Gemlik (Bursa)</t>
  </si>
  <si>
    <t xml:space="preserve">c. 610 BC</t>
  </si>
  <si>
    <t xml:space="preserve">Miletus (mythical founder Polyphemus/an Argonaut)</t>
  </si>
  <si>
    <t xml:space="preserve">IACP (Propontic coast); Athenian tribute lists; Classical silver coins; Hellenistic &amp; Roman coins; Hierocles; bishops 325–787; later archbishopric</t>
  </si>
  <si>
    <t xml:space="preserve">Razed by Philip V (202 BC) and refounded by Prusias I as Prusias ad Mare. Gemlik is thought to derive from Turkish gemi ('ship'), not from Kios.</t>
  </si>
  <si>
    <t xml:space="preserve">IACP (Avram); IK 29 (Kios, Corsten 1985); Pleiades 511385; Wikipedia: Cius</t>
  </si>
  <si>
    <t xml:space="preserve">Milesian colony (Pliny NH 5.144); founded as an emporion at the end of the 7th c. BC (pottery from rescue excavations)</t>
  </si>
  <si>
    <t xml:space="preserve">Rescue excavations give nothing before the late 7th-c. BC emporion. A tradition attributed to Aristotle's Constitution of the Kianoi (schol. Ap. Rhod. 1.1177) says Mysians, then Carians, lived there before the Milesians. This is a succession legend, not counted alone.</t>
  </si>
  <si>
    <t xml:space="preserve">Plin. NH 5.144; knowledge: Arist. fr. 514 Rose ap. schol. Ap. Rhod. 1.1177; en.wikipedia Cius</t>
  </si>
  <si>
    <t xml:space="preserve">C044</t>
  </si>
  <si>
    <t xml:space="preserve">Neocaesarea (Bithynia)</t>
  </si>
  <si>
    <t xml:space="preserve">Νεοκαισάρεια</t>
  </si>
  <si>
    <t xml:space="preserve">Neokaisareia</t>
  </si>
  <si>
    <t xml:space="preserve">Armutlu peninsula, perhaps near Arnaköy (Armutlu, Yalova)</t>
  </si>
  <si>
    <t xml:space="preserve">Yalova</t>
  </si>
  <si>
    <t xml:space="preserve">region only</t>
  </si>
  <si>
    <t xml:space="preserve">unknown emperor (name 'New Caesarea')</t>
  </si>
  <si>
    <t xml:space="preserve">Hierocles; Notitiae (suffragan of Nicomedia); titular see</t>
  </si>
  <si>
    <t xml:space="preserve">Location unknown; the Catholic titular-see register (GCatholic) places it at Arnaköy on the Armutlu peninsula. Date and founder of the 'Neo-Caesarea' are not documented, so founder_group is a guess from the name.</t>
  </si>
  <si>
    <t xml:space="preserve">Hierocles 691; GCatholic: Neocaesarea in Bithynia; TIB 13 (Belke 2020)</t>
  </si>
  <si>
    <t xml:space="preserve">city of Bithynia in Hierocles (c. 527); later a see under Nicomedia</t>
  </si>
  <si>
    <t xml:space="preserve">Unlocated.</t>
  </si>
  <si>
    <t xml:space="preserve">Hierocles 691; GCatholic titular see</t>
  </si>
  <si>
    <t xml:space="preserve">C045</t>
  </si>
  <si>
    <t xml:space="preserve">Helenopolis</t>
  </si>
  <si>
    <t xml:space="preserve">Ἑλενόπολις</t>
  </si>
  <si>
    <t xml:space="preserve">Drepanon/Drepana (earlier village); Kibotos/Civetot fort nearby (Alexios I)</t>
  </si>
  <si>
    <t xml:space="preserve">Hersek</t>
  </si>
  <si>
    <t xml:space="preserve">Hersek (Altınova, Yalova)</t>
  </si>
  <si>
    <t xml:space="preserve">c. AD 327</t>
  </si>
  <si>
    <t xml:space="preserve">Constantine I</t>
  </si>
  <si>
    <t xml:space="preserve">Socrates HE 1.17; Procopius Aed. 5.2 (Justinian's works); Hierocles; bishops 553–879; Notitiae to 12th–13th c.</t>
  </si>
  <si>
    <t xml:space="preserve">Earlier village Drepanon, traditionally Helena's birthplace. Justinian added an aqueduct and baths; the town stayed small.</t>
  </si>
  <si>
    <t xml:space="preserve">Socrates HE 1.17; Procopius Aed. 5.2; Pleiades 511240; Wikipedia: Helenopolis (Bithynia)</t>
  </si>
  <si>
    <t xml:space="preserve">village Drepanon raised to city and renamed Helenopolis by Constantine, c. 327 (in honour of his mother Helena)</t>
  </si>
  <si>
    <t xml:space="preserve">The earlier village Drepanon has a Greek name. Surface work and underwater survey at Hersek report nothing before the Roman period.</t>
  </si>
  <si>
    <t xml:space="preserve">Pleiades 511240; Hürriyet Daily News 188429 (georadar 2023-24); en.wikipedia Hersek Headland</t>
  </si>
  <si>
    <t xml:space="preserve">C046</t>
  </si>
  <si>
    <t xml:space="preserve">Prainetos</t>
  </si>
  <si>
    <t xml:space="preserve">Πραίνετος</t>
  </si>
  <si>
    <t xml:space="preserve">Praenetus; Prinetos; Pronektos (Steph. Byz.)</t>
  </si>
  <si>
    <t xml:space="preserve">Karamürsel</t>
  </si>
  <si>
    <t xml:space="preserve">Karamürsel (Kocaeli)</t>
  </si>
  <si>
    <t xml:space="preserve">Kocaeli</t>
  </si>
  <si>
    <t xml:space="preserve">unknown (Phoenician foundation per Steph. Byz., legendary)</t>
  </si>
  <si>
    <t xml:space="preserve">Hierocles; bishops 553, 680–81, 787; Notitiae</t>
  </si>
  <si>
    <t xml:space="preserve">Late-attested coastal town on the south shore of the Gulf of Nicomedia; date of city status unknown.</t>
  </si>
  <si>
    <t xml:space="preserve">Hierocles 691; Pleiades 511372; Wikipedia: Praenetus</t>
  </si>
  <si>
    <t xml:space="preserve">city in Hierocles (c. 527); mentioned c. 400 (Palladius, Socrates); bishops 553–787</t>
  </si>
  <si>
    <t xml:space="preserve">Stephanus' Phoenician foundation is legendary; no archaeology at Karamürsel.</t>
  </si>
  <si>
    <t xml:space="preserve">Steph. Byz. s.v. Prainetos; Pleiades 511372</t>
  </si>
  <si>
    <t xml:space="preserve">C047</t>
  </si>
  <si>
    <t xml:space="preserve">Astakos</t>
  </si>
  <si>
    <t xml:space="preserve">Ἀστακός</t>
  </si>
  <si>
    <t xml:space="preserve">Astacus; Olbia (alternative name)</t>
  </si>
  <si>
    <t xml:space="preserve">near Başiskele (Kocaeli)</t>
  </si>
  <si>
    <t xml:space="preserve">712 BC</t>
  </si>
  <si>
    <t xml:space="preserve">Megara (later reinforced by Athens, 435/4 BC)</t>
  </si>
  <si>
    <t xml:space="preserve">IACP (Propontic coast); Athenian tribute lists; Classical coins</t>
  </si>
  <si>
    <t xml:space="preserve">Destroyed by Lysimachus (c. 301 BC); its people were moved to the new Nicomedia (264 BC). Exact site unlocated; placed near Başiskele at the head of the gulf.</t>
  </si>
  <si>
    <t xml:space="preserve">Memnon FGrH 434 F 12; Strabo 12.4.2; Diodorus 12.34.5; Pleiades 511169; Wikipedia: Astacus (Bithynia)</t>
  </si>
  <si>
    <t xml:space="preserve">Megarian colony founded 712/11 BC (Memnon: Ol. 17.1); Athenian colonists added 435/4 BC (Diodorus 12.34)</t>
  </si>
  <si>
    <t xml:space="preserve">The site is unlocated and unexcavated. Its eponym (Astakos son of Poseidon and the nymph Olbia) is mythical.</t>
  </si>
  <si>
    <t xml:space="preserve">Memnon FGrH 434 F 12; Strabo 12.4.2; Pleiades 511169</t>
  </si>
  <si>
    <t xml:space="preserve">C048</t>
  </si>
  <si>
    <t xml:space="preserve">Nicomedia</t>
  </si>
  <si>
    <t xml:space="preserve">Νικομήδεια</t>
  </si>
  <si>
    <t xml:space="preserve">Nikomedeia; medieval Roman Nikomedeia; Ottoman İznikmid/İzmid, Kocaeli</t>
  </si>
  <si>
    <t xml:space="preserve">İzmit</t>
  </si>
  <si>
    <t xml:space="preserve">İzmit (Kocaeli)</t>
  </si>
  <si>
    <t xml:space="preserve">264 BC</t>
  </si>
  <si>
    <t xml:space="preserve">Nicomedes I of Bithynia</t>
  </si>
  <si>
    <t xml:space="preserve">Bithynian kings</t>
  </si>
  <si>
    <t xml:space="preserve">no known</t>
  </si>
  <si>
    <t xml:space="preserve">new site (archaeology)</t>
  </si>
  <si>
    <t xml:space="preserve">royal capital; Hellenistic &amp; Roman coins; metropolis of Bithynia; Diocletian's capital; Hierocles; bishops 325–787</t>
  </si>
  <si>
    <t xml:space="preserve">Synoecism of the people of Astakos (Megarian colony, 712/11 BC), which is listed separately. Ottoman conquest 1337.</t>
  </si>
  <si>
    <t xml:space="preserve">Memnon FGrH 434 F 12; Strabo 12.4.2; Pleiades 511337; Wikipedia: Nicomedia</t>
  </si>
  <si>
    <t xml:space="preserve">founded by Nicomedes I in 264 BC as the new royal capital, opposite the destroyed Astakos</t>
  </si>
  <si>
    <t xml:space="preserve">A new royal capital founded by Nicomedes I (264 BC) 'opposite' the destroyed Megarian Astakos, with Astakos' people moved in. No native settlement is known at İzmit, and the Çukurbağ excavations report Roman levels. (Pausanias 5.12.7 equates it with Astakos, which would be Greek occupation in any case.)</t>
  </si>
  <si>
    <t xml:space="preserve">Memnon FGrH 434 F 12.1; Strabo 12.4.2; Paus. 5.12.7; Journal of Urban Archaeology (Brepols), Çukurbağ excavations</t>
  </si>
  <si>
    <t xml:space="preserve">C049</t>
  </si>
  <si>
    <t xml:space="preserve">Daphnousia</t>
  </si>
  <si>
    <t xml:space="preserve">Δαφνουσία</t>
  </si>
  <si>
    <t xml:space="preserve">Thynias / Apollonia (ancient island names)</t>
  </si>
  <si>
    <t xml:space="preserve">Kefken Adası, off Cebeci/Kefken (Kandıra, Kocaeli)</t>
  </si>
  <si>
    <t xml:space="preserve">AD 869</t>
  </si>
  <si>
    <t xml:space="preserve">none recorded (episcopal see)</t>
  </si>
  <si>
    <t xml:space="preserve">bishops 869, 879; Notitiae from Leo VI; titular see</t>
  </si>
  <si>
    <t xml:space="preserve">Ancient Thynias/Apollonia was a dependency of Heraclea, not a polis. Counted only by the medieval-see rule; the settlement stayed small (fortress besieged by the Latins in 1261).</t>
  </si>
  <si>
    <t xml:space="preserve">Wikipedia: Daphnusia; Darrouzès, Notitiae 7; TIB 13 (Belke 2020)</t>
  </si>
  <si>
    <t xml:space="preserve">island fortress-town made a bishopric in the 9th c.: bishop Leo at the council of 869, Antonius 879; see in the Notitia of Leo VI (c. 901–907)</t>
  </si>
  <si>
    <t xml:space="preserve">Earlier occupation of the island was Greek (Thynias/Apollonia, Heraclea's dependency). The island's name evokes the Thracian Thynoi, but no Thracian settlement is attested there.</t>
  </si>
  <si>
    <t xml:space="preserve">Arrian Periplus 13; Ap. Rhod. 2.672-719; Pleiades (Thynias)</t>
  </si>
  <si>
    <t xml:space="preserve">C050</t>
  </si>
  <si>
    <t xml:space="preserve">Dia / Diospolis</t>
  </si>
  <si>
    <t xml:space="preserve">Δῖα</t>
  </si>
  <si>
    <t xml:space="preserve">Diospolis (Ptolemy); Diaspolis (Marcian)</t>
  </si>
  <si>
    <t xml:space="preserve">Akçakoca</t>
  </si>
  <si>
    <t xml:space="preserve">Akçakoca (Düzce)</t>
  </si>
  <si>
    <t xml:space="preserve">Düzce</t>
  </si>
  <si>
    <t xml:space="preserve">Black Sea</t>
  </si>
  <si>
    <t xml:space="preserve">c. 90 BC</t>
  </si>
  <si>
    <t xml:space="preserve">unknown (probably a Heracleote emporion)</t>
  </si>
  <si>
    <t xml:space="preserve">coins (ΔΙΑΣ, Mithradates VI era); Pliny; Ptolemy (Diospolis); Marcian of Heraclea</t>
  </si>
  <si>
    <t xml:space="preserve">Port 60 stadia east of the Hypios mouth. City status rests on the small coinage; not in Hierocles.</t>
  </si>
  <si>
    <t xml:space="preserve">Marcian, Peripl. 2.8; Ptol. 5.1.3; TIB 9 (Belke 1996); Pleiades 844907; Wikipedia: Dia (Bithynia)</t>
  </si>
  <si>
    <t xml:space="preserve">civic bronze coins inscribed ΔΙΑΣ, of the Mithradatic series (c. 95–70 BC)</t>
  </si>
  <si>
    <t xml:space="preserve">No archaeological or textual evidence for a pre-Greek settlement at Akçakoca has been reported.</t>
  </si>
  <si>
    <t xml:space="preserve">Pleiades 844907</t>
  </si>
  <si>
    <t xml:space="preserve">C051</t>
  </si>
  <si>
    <t xml:space="preserve">Caesarea Germanica</t>
  </si>
  <si>
    <t xml:space="preserve">Καισάρεια Γερμανική</t>
  </si>
  <si>
    <t xml:space="preserve">Helge/Helgas, Booskoite (Pliny); Germanikopolis</t>
  </si>
  <si>
    <t xml:space="preserve">Tahtalı/Çalı area (Nilüfer, Bursa); alt. Kapanca harbour (Şahin 2011)</t>
  </si>
  <si>
    <t xml:space="preserve">c. AD 18</t>
  </si>
  <si>
    <t xml:space="preserve">Tiberius (renamed for Germanicus)</t>
  </si>
  <si>
    <t xml:space="preserve">Roman provincial coins (RPC city 49); Hierocles (Kaisareia); bishops 325–879</t>
  </si>
  <si>
    <t xml:space="preserve">Pliny NH 5.143 calls the earlier town Helge alias Booskoite; its people's language is unknown. Site disputed between Tahtalı/Çalı west of Bursa and a coastal harbour at Kapanca.</t>
  </si>
  <si>
    <t xml:space="preserve">Pliny NH 5.143; RPC I 2017; Pleiades 511267; Şahin, Olba 19 (2011); Wikipedia: Germanicopolis (Bithynia)</t>
  </si>
  <si>
    <t xml:space="preserve">town Helge renamed Kaisareia Germanike in honour of Germanicus; coins with Germanicus' portrait (Tiberian/Caligulan)</t>
  </si>
  <si>
    <t xml:space="preserve">Pliny (NH 5.143) names the earlier town Helge alias Booskoite, so a settlement preceded the renaming. Its ethnicity is unknown (Booskoite is Greek) and the site is disputed.</t>
  </si>
  <si>
    <t xml:space="preserve">Plin. NH 5.143; Pleiades 511267; Şahin 2011</t>
  </si>
  <si>
    <t xml:space="preserve">C052</t>
  </si>
  <si>
    <t xml:space="preserve">Prusa</t>
  </si>
  <si>
    <t xml:space="preserve">Προῦσα</t>
  </si>
  <si>
    <t xml:space="preserve">Prusa ad Olympum; medieval Roman Prousa</t>
  </si>
  <si>
    <t xml:space="preserve">Bursa (Osmangazi, Bursa)</t>
  </si>
  <si>
    <t xml:space="preserve">Osmangazi</t>
  </si>
  <si>
    <t xml:space="preserve">c. 185 BC</t>
  </si>
  <si>
    <t xml:space="preserve">Prusias I of Bithynia</t>
  </si>
  <si>
    <t xml:space="preserve">Roman provincial coins; Dio Chrysostom; Hierocles; bishops 325–787; later metropolis</t>
  </si>
  <si>
    <t xml:space="preserve">Strabo 12.4.3 confuses the founder; a minority attributes the foundation to Prusias II. Ottoman capital after the conquest of 1326.</t>
  </si>
  <si>
    <t xml:space="preserve">Pliny NH 5.148; Strabo 12.4.3; IK 39–40 (Prusa); Pleiades 511384; Wikipedia: Prusa (Bithynia)</t>
  </si>
  <si>
    <t xml:space="preserve">founded by Prusias I, traditionally with Hannibal's advice (Pliny NH 5.148), i.e. c. 186–183 BC</t>
  </si>
  <si>
    <t xml:space="preserve">Downgraded from 'yes'. The Classical plates and bowls from the Tophane rescue excavations (Şahin &amp; Gülsefa 2017, a Turkish academic ceramic study I could not re-read) show pottery of pre-Prusias date on the citadel. No stratified pre-186 BC occupation level is documented, and calling it a native settlement is an inference. Strabo 12.4.3 ('Prusias who fought Croesus') is a recognised garble, not a reliable report of a pre-Hellenistic town, and Pliny NH 5.148 gives Prusias I and Hannibal as founders. This is a real lead, but it falls short under rule 3.</t>
  </si>
  <si>
    <t xml:space="preserve">Strabo 12.4.3; Pliny NH 5.148; Şahin &amp; Gülsefa, Uludağ Üniv. FEF Sos. Bil. Derg. 18/32 (2017) 77–104 (first-pass ref, not accessible here); Pleiades 511384 (not retrievable)</t>
  </si>
  <si>
    <t xml:space="preserve">C053</t>
  </si>
  <si>
    <t xml:space="preserve">Nicaea</t>
  </si>
  <si>
    <t xml:space="preserve">Νίκαια</t>
  </si>
  <si>
    <t xml:space="preserve">Ankore/Helikore (earlier settlement, Steph. Byz.); Antigoneia (Antigonus I, c. 315 BC); Nikaia (Lysimachus, c. 301 BC)</t>
  </si>
  <si>
    <t xml:space="preserve">İznik</t>
  </si>
  <si>
    <t xml:space="preserve">İznik (Bursa)</t>
  </si>
  <si>
    <t xml:space="preserve">c. 315 BC</t>
  </si>
  <si>
    <t xml:space="preserve">Antigonus I Monophthalmus; refounded/renamed by Lysimachus</t>
  </si>
  <si>
    <t xml:space="preserve">Steph. Byz. records an earlier settlement Ankore/Helikore, said to be a Bottiaean colony destroyed by the Mysians; no native-script name attested.</t>
  </si>
  <si>
    <t xml:space="preserve">Hellenistic &amp; Roman coins; rival metropolis of Bithynia; Hierocles; bishops 325–787 (councils of 325 and 787); capital of the Empire of Nicaea 1204–1261</t>
  </si>
  <si>
    <t xml:space="preserve">Ottoman conquest 1331.</t>
  </si>
  <si>
    <t xml:space="preserve">Steph. Byz. s.v. Νίκαια; Strabo 12.4.7; IK 9–10 (Nikaia, Şahin); Pleiades 511268; Cohen 1995</t>
  </si>
  <si>
    <t xml:space="preserve">founded as Antigoneia by Antigonus I c. 315 BC (after Eumenes' defeat); renamed Nicaea by Lysimachus c. 301 BC</t>
  </si>
  <si>
    <t xml:space="preserve">Antigonus' Antigoneia replaced an earlier Ankore/Helikore. The tradition calls it a Bottiaean (i.e. Greek-type) colony destroyed by Mysians. No pre-Greek name or prehistoric level is known at İznik.</t>
  </si>
  <si>
    <t xml:space="preserve">Steph. Byz. s.v. Nikaia; Pleiades 511268 (Helikore); en.wikipedia Nicaea</t>
  </si>
  <si>
    <t xml:space="preserve">C054</t>
  </si>
  <si>
    <t xml:space="preserve">Basilinopolis</t>
  </si>
  <si>
    <t xml:space="preserve">Βασιλινούπολις</t>
  </si>
  <si>
    <t xml:space="preserve">near Yalakdere (Kocaeli); alt. Pazarköy (Orhangazi, Bursa) per Ramsay</t>
  </si>
  <si>
    <t xml:space="preserve">c. AD 362</t>
  </si>
  <si>
    <t xml:space="preserve">Julian (or Constantius II), named after Basilina</t>
  </si>
  <si>
    <t xml:space="preserve">Council of Chalcedon 451 (dispute Nicaea/Nicomedia); Hierocles; bishops c. 400–879</t>
  </si>
  <si>
    <t xml:space="preserve">Site not securely located; Pleiades/modern view near Yalakdere, Ramsay on the west shore of Lake Askania.</t>
  </si>
  <si>
    <t xml:space="preserve">ACO II (Chalcedon, session 13); Hierocles 691; Pleiades 511180; Wikipedia: Basilinopolis</t>
  </si>
  <si>
    <t xml:space="preserve">district (regio) of Nicaea raised to city rank under, or shortly before, Julian and named after his mother Basilina (c. 361–363)</t>
  </si>
  <si>
    <t xml:space="preserve">Unlocated (Yalakdere vs Pazarköy).</t>
  </si>
  <si>
    <t xml:space="preserve">Pleiades 511180</t>
  </si>
  <si>
    <t xml:space="preserve">C055</t>
  </si>
  <si>
    <t xml:space="preserve">Linoe</t>
  </si>
  <si>
    <t xml:space="preserve">Λινόη</t>
  </si>
  <si>
    <t xml:space="preserve">unlocated; old proposal Bilecik (Bilecik)</t>
  </si>
  <si>
    <t xml:space="preserve">Bilecik</t>
  </si>
  <si>
    <t xml:space="preserve">AD 692</t>
  </si>
  <si>
    <t xml:space="preserve">none recorded</t>
  </si>
  <si>
    <t xml:space="preserve">bishops 692, 787, 879; Notitiae (suffragan of Nicaea) to the 12th–13th c.</t>
  </si>
  <si>
    <t xml:space="preserve">Known only from church lists. The identification with Bilecik (Catholic Encyclopedia) is old and unproven; coordinates are a regional placeholder.</t>
  </si>
  <si>
    <t xml:space="preserve">Le Quien, Oriens Christianus I 657; Catholic Encyclopedia: Linoe; TIB 13 (Belke 2020)</t>
  </si>
  <si>
    <t xml:space="preserve">see under Nicaea: bishop Anastasius at the Council in Trullo (692); Leo 787; two bishops 879</t>
  </si>
  <si>
    <t xml:space="preserve">Unlocated; known only from church lists.</t>
  </si>
  <si>
    <t xml:space="preserve">Notitiae; Catholic Encyclopedia s.v. Linoe</t>
  </si>
  <si>
    <t xml:space="preserve">C056</t>
  </si>
  <si>
    <t xml:space="preserve">Mela / Justinianopolis Nova (Malagina)</t>
  </si>
  <si>
    <t xml:space="preserve">Μέλα</t>
  </si>
  <si>
    <t xml:space="preserve">Justinianopolis Nova (Justinian); Malagina/Melangeia (medieval Roman); Modrene? (equated in 12th-c. Notitiae)</t>
  </si>
  <si>
    <t xml:space="preserve">Metabole castle above Paşalar (Pamukova, Sakarya); alt. Günüören (Osmaneli, Bilecik)</t>
  </si>
  <si>
    <t xml:space="preserve">Sakarya</t>
  </si>
  <si>
    <t xml:space="preserve">c. AD 553</t>
  </si>
  <si>
    <t xml:space="preserve">Justinian I</t>
  </si>
  <si>
    <t xml:space="preserve">bishops 553, 680, 787, 869, 879; Malagina archbishopric, later metropolis (13th c.); aplekton and imperial stud</t>
  </si>
  <si>
    <t xml:space="preserve">Mela is identified with the army base Malagina by Pétridès and others (not certain). The seed's unnamed council row (553; 680–81; 787) fits this see. Ottoman conquest 1306.</t>
  </si>
  <si>
    <t xml:space="preserve">Foss, AnatSt 40 (1990); Ramsay, HGAM; Wikipedia: Mela (Bithynia); Wikipedia: Malagina; TIB 13 (Belke 2020)</t>
  </si>
  <si>
    <t xml:space="preserve">refounded by Justinian as Justinianopolis Nova; bishop Macedonius at the council of 553; Theodorus of 'Justinianopolis Nova or Mela' 680</t>
  </si>
  <si>
    <t xml:space="preserve">The location (Metabole/Paşalar vs Günüören) is uncertain and unexcavated.</t>
  </si>
  <si>
    <t xml:space="preserve">TIB 13 (Bithynien); Pétridès</t>
  </si>
  <si>
    <t xml:space="preserve">C057</t>
  </si>
  <si>
    <t xml:space="preserve">Gordoserba</t>
  </si>
  <si>
    <t xml:space="preserve">Γορδόσερβα</t>
  </si>
  <si>
    <t xml:space="preserve">Gordoservon; Gordoserboi</t>
  </si>
  <si>
    <t xml:space="preserve">unlocated (Bithynia, probably east of Nicaea)</t>
  </si>
  <si>
    <t xml:space="preserve">Bolu</t>
  </si>
  <si>
    <t xml:space="preserve">c. AD 640</t>
  </si>
  <si>
    <t xml:space="preserve">none recorded (Serb settlers? hypothesis)</t>
  </si>
  <si>
    <t xml:space="preserve">Ps.-Epiphanius (c. 640); bishop 692; later Notitiae</t>
  </si>
  <si>
    <t xml:space="preserve">possibly settled by Slavs (Serbs) in the 7th c., if the name reflects that; no Slavic bishops' names</t>
  </si>
  <si>
    <t xml:space="preserve">Site unknown; the coordinates are only a placeholder in the lower Sangarius region, and the province is unknown. The Serb-origin theory conflicts with the c. 640 date.</t>
  </si>
  <si>
    <t xml:space="preserve">Wikipedia: Gordoservon; Charanis 1961; Ramsay, HGAM</t>
  </si>
  <si>
    <t xml:space="preserve">see under Nicaea in the Ecthesis of Ps.-Epiphanius (c. 640); bishop Isidore at the Council in Trullo (692)</t>
  </si>
  <si>
    <t xml:space="preserve">Unlocated; known only from bishop lists.</t>
  </si>
  <si>
    <t xml:space="preserve">knowledge: Ps.-Epiphanius Ecthesis; Trullo 692 subscriptions</t>
  </si>
  <si>
    <t xml:space="preserve">C058</t>
  </si>
  <si>
    <t xml:space="preserve">Modra / Modrene</t>
  </si>
  <si>
    <t xml:space="preserve">Μόδρα</t>
  </si>
  <si>
    <t xml:space="preserve">Modrene (medieval Roman see and district); Modrina</t>
  </si>
  <si>
    <t xml:space="preserve">Mudurnu</t>
  </si>
  <si>
    <t xml:space="preserve">Mudurnu or nearby (Mudurnu, Bolu)</t>
  </si>
  <si>
    <t xml:space="preserve">c. 1100</t>
  </si>
  <si>
    <t xml:space="preserve">Modra is a non-Greek (probably Phrygian/Bithynian) name known only from Greek sources.</t>
  </si>
  <si>
    <t xml:space="preserve">Notitiae (Modrene, suffragan of Nicaea); titular see Modra</t>
  </si>
  <si>
    <t xml:space="preserve">May be the same see as Mela (12th-c. Notitiae: 'Modrene, that is Mela'), which would make it a double count; the Annuario Pontificio treats them as separate. The see may be older than the 12th c.</t>
  </si>
  <si>
    <t xml:space="preserve">Strabo 12.3.7; Pleiades 845022; Wikipedia: Modra (Bithynia); Wikipedia: Mela (Bithynia)</t>
  </si>
  <si>
    <t xml:space="preserve">Modra a town at the source of the Gallos (Strabo 12.3.7); attested as a see under Nicaea only in the Notitiae, securely in the 12th c. ('Modrene, that is Mela')</t>
  </si>
  <si>
    <t xml:space="preserve">C059</t>
  </si>
  <si>
    <t xml:space="preserve">Prusias ad Hypium</t>
  </si>
  <si>
    <t xml:space="preserve">Προυσιὰς πρὸς Ὑπίῳ</t>
  </si>
  <si>
    <t xml:space="preserve">Kieros (earlier town, Heracleote possession); Ottoman Üskübü</t>
  </si>
  <si>
    <t xml:space="preserve">Konuralp</t>
  </si>
  <si>
    <t xml:space="preserve">Konuralp (Düzce)</t>
  </si>
  <si>
    <t xml:space="preserve">Kieros/Kios (named after its river) is known only from Greek sources (Memnon, Photius).</t>
  </si>
  <si>
    <t xml:space="preserve">Roman provincial coins; Greek civic inscriptions (IK 27); Hierocles; bishops 325–879</t>
  </si>
  <si>
    <t xml:space="preserve">Kieros belonged to Heraclea Pontica before its capture; whether it was then a polis is unclear. Prusias' date is approximate.</t>
  </si>
  <si>
    <t xml:space="preserve">Memnon FGrH 434 F 19; IK 27 (Prusias ad Hypium, Ameling 1985); Pleiades 845049; Wikipedia: Prusias ad Hypium; TIB 9 (Belke 1996)</t>
  </si>
  <si>
    <t xml:space="preserve">Kieros taken from Heraclea by Prusias I and refounded as Prusias, c. 190–185 BC (Memnon)</t>
  </si>
  <si>
    <t xml:space="preserve">C060</t>
  </si>
  <si>
    <t xml:space="preserve">Bithynion / Claudiopolis</t>
  </si>
  <si>
    <t xml:space="preserve">Βιθύνιον</t>
  </si>
  <si>
    <t xml:space="preserve">Claudiopolis (Claudius); Hadriana (Hadrian); medieval Roman Klaudioupolis, Boli</t>
  </si>
  <si>
    <t xml:space="preserve">Bolu (Bolu)</t>
  </si>
  <si>
    <t xml:space="preserve">c. 64 BC</t>
  </si>
  <si>
    <t xml:space="preserve">none recorded (claimed descent from Mantineia)</t>
  </si>
  <si>
    <t xml:space="preserve">Name 'town of the Bithynians' (Thracian-speaking Bithynoi); no native-script form attested.</t>
  </si>
  <si>
    <t xml:space="preserve">Roman provincial coins (Claudiopolis, Hadriana); Pliny Ep. 10.39; Hierocles (metropolis of Honorias); bishops 431–787</t>
  </si>
  <si>
    <t xml:space="preserve">Birthplace of Antinous. The city's start date is approximate: the Mantinean link is a later kinship claim, and no pre-Roman coinage is known. Bolu comes from (Klaudiou)polis.</t>
  </si>
  <si>
    <t xml:space="preserve">Strabo 12.4.7; Paus. 8.9.7; IK 31 (Klaudiupolis, Becker-Bertau 1986); Pleiades 844879; TIB 9 (Belke 1996)</t>
  </si>
  <si>
    <t xml:space="preserve">Bithynian town that was a city of the Roman province by Pompey's organisation (64/63 BC) at the latest; Strabo 12.4.7 gives it the Salon district; claimed Mantinean (Arcadian) origin (Paus. 8.9.7)</t>
  </si>
  <si>
    <t xml:space="preserve">C061</t>
  </si>
  <si>
    <t xml:space="preserve">Krateia / Flaviopolis</t>
  </si>
  <si>
    <t xml:space="preserve">Κράτεια</t>
  </si>
  <si>
    <t xml:space="preserve">Flaviopolis (Vespasian); Agrippeia?; medieval Roman Kreteia</t>
  </si>
  <si>
    <t xml:space="preserve">Gerede</t>
  </si>
  <si>
    <t xml:space="preserve">Gerede (Bolu)</t>
  </si>
  <si>
    <t xml:space="preserve">Vespasian (as Flaviopolis)</t>
  </si>
  <si>
    <t xml:space="preserve">Roman provincial coins (Antoninus Pius–Gallienus); Greek civic inscriptions; Hierocles; bishops 431–787</t>
  </si>
  <si>
    <t xml:space="preserve">A small autonomous coin with ΚΡΗ is attributed to it, which would suggest earlier civic status. The origin of the name Krateia (Greek or native) is unclear.</t>
  </si>
  <si>
    <t xml:space="preserve">TIB 9 (Belke 1996, Paphlagonien und Honorias); Pleiades 844991; Wikipedia: Cratia (Bithynia)</t>
  </si>
  <si>
    <t xml:space="preserve">raised to city status as Flaviopolis, probably under Vespasian (69–79); imperial coins from Antoninus Pius to Gallienus</t>
  </si>
  <si>
    <t xml:space="preserve">No pre-Hellenistic material is reported at Gerede. The recent study of Krateia and Keçi Kalesi gives the Hellenistic (Bithynian) period as the earliest and notes Hıdırlık Tepesi as the probable acropolis, which is undated.</t>
  </si>
  <si>
    <t xml:space="preserve">https://akmb.gov.tr/wp-content/uploads/2026/06/76-Ercan-VERIM.pdf ; https://en.wikipedia.org/wiki/Gerede</t>
  </si>
  <si>
    <t xml:space="preserve">C062</t>
  </si>
  <si>
    <t xml:space="preserve">Heraclea Pontica</t>
  </si>
  <si>
    <t xml:space="preserve">Ἡράκλεια Ποντική</t>
  </si>
  <si>
    <t xml:space="preserve">Herakleia en Pontoi; Pontoherakleia (medieval Roman); Penderaklia (medieval Italian)</t>
  </si>
  <si>
    <t xml:space="preserve">Ereğli</t>
  </si>
  <si>
    <t xml:space="preserve">Karadeniz Ereğli (Ereğli, Zonguldak)</t>
  </si>
  <si>
    <t xml:space="preserve">Zonguldak</t>
  </si>
  <si>
    <t xml:space="preserve">Megara with Boeotians (Tanagra); oikist Gnesiochos (tradition)</t>
  </si>
  <si>
    <t xml:space="preserve">Megara (with Boeotians)</t>
  </si>
  <si>
    <t xml:space="preserve">Built in the land of the Mariandynoi, who were reduced to dependent status; no pre-Greek settlement known at the site itself.</t>
  </si>
  <si>
    <t xml:space="preserve">IACP (Pontos); coins from 5th c. BC; tyrants and Hellenistic decrees; Hierocles; bishops 431–787; medieval Roman metropolis</t>
  </si>
  <si>
    <t xml:space="preserve">The Mariandynoi became dependent labourers. Herakleia founded Kallatis and Chersonesos (outside Turkey).</t>
  </si>
  <si>
    <t xml:space="preserve">IACP (Pontos), Herakleia; Burstein 1976, Outpost of Hellenism; Ps.-Scymnus; Pleiades 844944; Wikipedia: Heraclea Pontica</t>
  </si>
  <si>
    <t xml:space="preserve">c. 560 BC (Ps.-Scymnus: founded 'when Cyrus took Media', i.e. c. 560/554 BC) by Megarians and Boeotians of Tanagra; no earlier Greek material known</t>
  </si>
  <si>
    <t xml:space="preserve">Founded in Mariandynian territory and the Mariandynoi were reduced to dependants, but no native settlement on the site is attested archaeologically or textually. The Lykos/Herakles stories are myth, and it is even unclear whether the Roman city overlies the colony.</t>
  </si>
  <si>
    <t xml:space="preserve">https://samos-web.aegean.gr/mediawiki/index.php/Herakleia_Pontica ; knowledge: Burstein 1976</t>
  </si>
  <si>
    <t xml:space="preserve">C063</t>
  </si>
  <si>
    <t xml:space="preserve">Mysia and the Troad</t>
  </si>
  <si>
    <t xml:space="preserve">Troas</t>
  </si>
  <si>
    <t xml:space="preserve">Tenedos</t>
  </si>
  <si>
    <t xml:space="preserve">Τένεδος</t>
  </si>
  <si>
    <t xml:space="preserve">Leukophrys (poetic, Strabo)</t>
  </si>
  <si>
    <t xml:space="preserve">Bozcaada</t>
  </si>
  <si>
    <t xml:space="preserve">Bozcaada town (Bozcaada, Çanakkale)</t>
  </si>
  <si>
    <t xml:space="preserve">c. 700 BC</t>
  </si>
  <si>
    <t xml:space="preserve">migration</t>
  </si>
  <si>
    <t xml:space="preserve">Aeolians (tradition: Penthilids)</t>
  </si>
  <si>
    <t xml:space="preserve">Aeolians</t>
  </si>
  <si>
    <t xml:space="preserve">Early Bronze Age (EBA II, c. 3000-2700 BC) settlement and cemetery on the island; no pre-Greek name attested in native sources.</t>
  </si>
  <si>
    <t xml:space="preserve">IACP (Aeolian islands/Troas); Hdt. 1.151; Archaic and later coins; Hierocles (Insulae); medieval Roman bishopric, later metropolis (14th c.)</t>
  </si>
  <si>
    <t xml:space="preserve">The excavators note that early Iron Age burial customs look Anatolian rather than mainland Greek, so the date of Aeolian settlement is uncertain. The island was evacuated by treaty in 1383 and found empty by the Ottomans in 1455.</t>
  </si>
  <si>
    <t xml:space="preserve">IACP (Tenedos); Strabo 13.1.46; Pleiades 550911; Wikipedia: Tenedos</t>
  </si>
  <si>
    <t xml:space="preserve">Aeolian polis; tradition of settlement by Penthilos' Aeolians after the Trojan War (Strabo); excavated Iron Age (Archaic) necropolis from c. 7th c. BC</t>
  </si>
  <si>
    <t xml:space="preserve">C066</t>
  </si>
  <si>
    <t xml:space="preserve">Mysia</t>
  </si>
  <si>
    <t xml:space="preserve">Daskyleion (on the Propontis)</t>
  </si>
  <si>
    <t xml:space="preserve">Δασκύλειον</t>
  </si>
  <si>
    <t xml:space="preserve">Dascylium; Daskylion; medieval Dyaquis?</t>
  </si>
  <si>
    <t xml:space="preserve">near Eşkel harbour (Mudanya/Karacabey border, Bursa)</t>
  </si>
  <si>
    <t xml:space="preserve">c. 450 BC</t>
  </si>
  <si>
    <t xml:space="preserve">Athenian tribute lists (Daskyleion on the Propontis); IACP (Propontic coast); Steph. Byz.</t>
  </si>
  <si>
    <t xml:space="preserve">Distinct from the Persian satrapal seat Daskyleion at Ergili (Balıkesir, TRO batch). The Athenian tribute-list entry is usually referred to this coastal town; the medieval Roman see 'Daskylion' is placed at Ergili by the council seeds but may have been this town. Mother city unknown.</t>
  </si>
  <si>
    <t xml:space="preserve">IACP (Avram, Propontic coast); Pleiades 511226; Barrington 52 D4; Wikipedia: Dascylium (Bithynia)</t>
  </si>
  <si>
    <t xml:space="preserve">coastal Greek town paying tribute to Athens in the mid-5th c. BC (Athenian tribute lists)</t>
  </si>
  <si>
    <t xml:space="preserve">Coastal Daskyleion near Eşkel is known only from the tribute lists and later texts; no excavation, and no native predecessor is recorded.</t>
  </si>
  <si>
    <t xml:space="preserve">Pleiades 511226</t>
  </si>
  <si>
    <t xml:space="preserve">C067</t>
  </si>
  <si>
    <t xml:space="preserve">Miletopolis</t>
  </si>
  <si>
    <t xml:space="preserve">Μιλητούπολις</t>
  </si>
  <si>
    <t xml:space="preserve">Melde, near Tatkavaklı (Mustafakemalpaşa, Bursa)</t>
  </si>
  <si>
    <t xml:space="preserve">c. 350 BC</t>
  </si>
  <si>
    <t xml:space="preserve">4th-c. BC and Roman provincial coins; Strabo 12.8.10–11; Hierocles; bishops 680–81, 787</t>
  </si>
  <si>
    <t xml:space="preserve">Possibly the successor of Miletouteichos (attested 410–330 BC); some scholars identify the two. Site at the Makestos–Rhyndakos confluence; Wikipedia gives coordinates nearer Karacabey.</t>
  </si>
  <si>
    <t xml:space="preserve">Strabo 12.8.10; Pleiades 511318; IK 26 (Kyzikos II, Miletupolis); Wikipedia: Miletopolis</t>
  </si>
  <si>
    <t xml:space="preserve">Milesian foundation (name; 'Milesian colony' in later sources); first civic coins 4th c. BC</t>
  </si>
  <si>
    <t xml:space="preserve">Located at Melde Bayırı/Üç Kurnalı near Mustafakemalpaşa after a 1975 Bursa Museum rescue excavation; published evidence (coins 4th c. BC onward, stelae) is Greek and later, and no pre-Greek levels are reported.</t>
  </si>
  <si>
    <t xml:space="preserve">Güzelsoy, Yazıtlar ve sikkeler ışığında Miletopolis kenti (MA, ÇOMÜ 2014); Pleiades 511318</t>
  </si>
  <si>
    <t xml:space="preserve">C068</t>
  </si>
  <si>
    <t xml:space="preserve">Miletouteichos / Lopadion</t>
  </si>
  <si>
    <t xml:space="preserve">Μιλήτου τεῖχος / Λοπάδιον</t>
  </si>
  <si>
    <t xml:space="preserve">Miletoteichos; Lopadion (medieval fortress town; archbishopric from 1178)</t>
  </si>
  <si>
    <t xml:space="preserve">Uluabat</t>
  </si>
  <si>
    <t xml:space="preserve">Uluabat (Karacabey, Bursa)</t>
  </si>
  <si>
    <t xml:space="preserve">c. 410 BC</t>
  </si>
  <si>
    <t xml:space="preserve">Miletus (implied by name)</t>
  </si>
  <si>
    <t xml:space="preserve">Athenian decree 410/09 BC; Hell. Oxy. 25.3; theorodokoi list c. 330 BC; IACP (Propontic coast)</t>
  </si>
  <si>
    <t xml:space="preserve">Pleiades places Miletouteichos at Uluabat, the site of the medieval fortress town of Lopadion (fortified by John II Komnenos, c. 1130); others identify it with Miletopolis or put it at Dedebayırı Tepe.</t>
  </si>
  <si>
    <t xml:space="preserve">Hell. Oxy. 25.3; IACP (Avram); Pleiades 511320; Wikipedia: Miletouteichos</t>
  </si>
  <si>
    <t xml:space="preserve">'Wall of the Milesians', named in an Athenian decree of 410/09 BC; attacked unsuccessfully by Agesilaus in 395 BC (Hell. Oxy. 25.3); theorodokos c. 330 BC</t>
  </si>
  <si>
    <t xml:space="preserve">Site uncertain (Uluabat/Lopadion vs. Miletopolis vs. Dedebayırı Tepe); nothing pre-Classical reported at any candidate.</t>
  </si>
  <si>
    <t xml:space="preserve">Pleiades 511320</t>
  </si>
  <si>
    <t xml:space="preserve">C069</t>
  </si>
  <si>
    <t xml:space="preserve">Apollonia ad Rhyndacum</t>
  </si>
  <si>
    <t xml:space="preserve">Ἀπολλωνία ἐπὶ Ῥυνδάκῳ</t>
  </si>
  <si>
    <t xml:space="preserve">Apollonias; Ottoman Apolyont</t>
  </si>
  <si>
    <t xml:space="preserve">Gölyazı</t>
  </si>
  <si>
    <t xml:space="preserve">Gölyazı (Nilüfer, Bursa)</t>
  </si>
  <si>
    <t xml:space="preserve">Miletus (city's own tradition)</t>
  </si>
  <si>
    <t xml:space="preserve">Hellenistic &amp; Roman provincial coins; decree on kinship with Miletus; Strabo 12.8.11; Hierocles (Apollonias); bishops 325, 787</t>
  </si>
  <si>
    <t xml:space="preserve">Milesian origin rests on the city's Hellenistic claim; some scholars suspect an Attalid-era foundation. greek_from is therefore only a terminus ante quem. Village of Gölyazı (formerly Apolyont) on the lake peninsula.</t>
  </si>
  <si>
    <t xml:space="preserve">Strabo 12.8.11; Robert 1980; Pleiades 511151; Wikipedia: Apollonia ad Rhyndacum</t>
  </si>
  <si>
    <t xml:space="preserve">claimed to be a Milesian colony under Apollo of Didyma (kinship decree with Miletus, 2nd c. BC); first coins Hellenistic; foundation date unknown</t>
  </si>
  <si>
    <t xml:space="preserve">Gölyazı has a Hellenistic-Roman necropolis and walls; the settlement is dated from the 6th c. BC at the earliest, and no prehistoric or native levels are reported on the lake peninsula.</t>
  </si>
  <si>
    <t xml:space="preserve">Pleiades 511151; kureansiklopedi.com/tr/detay/golyazi-14d2b; acikerisim.uludag.edu.tr/handle/11452/7637</t>
  </si>
  <si>
    <t xml:space="preserve">C070</t>
  </si>
  <si>
    <t xml:space="preserve">Hadrianoi</t>
  </si>
  <si>
    <t xml:space="preserve">Ἀδριανοί</t>
  </si>
  <si>
    <t xml:space="preserve">Hadriani ad Olympum; Ottoman Adranos/Atranos</t>
  </si>
  <si>
    <t xml:space="preserve">Orhaneli</t>
  </si>
  <si>
    <t xml:space="preserve">Orhaneli (Bursa); ruins at the edge of the town</t>
  </si>
  <si>
    <t xml:space="preserve">Roman provincial coins; Greek civic inscriptions (IK 33); Hierocles; bishops 451–787</t>
  </si>
  <si>
    <t xml:space="preserve">The Ottoman name Adranos continued Hadrianoi; the modern name Orhaneli does not.</t>
  </si>
  <si>
    <t xml:space="preserve">IK 33 (Hadrianoi, Schwertheim 1987); Pleiades 609396; Wikipedia: Hadriani ad Olympum</t>
  </si>
  <si>
    <t xml:space="preserve">founded by Hadrian (c. AD 124–131) on the Rhyndakos below Mysian Olympus</t>
  </si>
  <si>
    <t xml:space="preserve">Hadrianic foundation (c. AD 123-131) where excavations by the Bursa Museum have recently begun. Reports describe only Roman and later remains. They do not say the site was new ground, and no earlier settlement is reported either.</t>
  </si>
  <si>
    <t xml:space="preserve">hurriyetdailynews.com/excavations-begin-at-hadrians-city-226501; Pleiades 609396</t>
  </si>
  <si>
    <t xml:space="preserve">C071</t>
  </si>
  <si>
    <t xml:space="preserve">Proconnesus</t>
  </si>
  <si>
    <t xml:space="preserve">Προκόννησος</t>
  </si>
  <si>
    <t xml:space="preserve">Elaphonnesos / Neuris (older names of the island, Strabo, Pliny); Marmara (medieval Roman name of island and town)</t>
  </si>
  <si>
    <t xml:space="preserve">Marmara town, Marmara Island (Marmara, Balıkesir)</t>
  </si>
  <si>
    <t xml:space="preserve">Balıkesir</t>
  </si>
  <si>
    <t xml:space="preserve">c. 675 BC</t>
  </si>
  <si>
    <t xml:space="preserve">Milesians</t>
  </si>
  <si>
    <t xml:space="preserve">IACP (Propontic coast); Athenian tribute lists; coins; Hierocles; bishops 431, 787; autocephalous archbishopric (Notitiae)</t>
  </si>
  <si>
    <t xml:space="preserve">Turkish Marmara continues the medieval Roman Greek name of the island (from marmaron, 'marble'), not the ancient city name. Exact centre of the ancient town at modern Marmara is approximate.</t>
  </si>
  <si>
    <t xml:space="preserve">Strabo 13.1.12-16; Hdt. 4.14; IACP (Propontic coast); Pleiades 511378; TIB 13</t>
  </si>
  <si>
    <t xml:space="preserve">Milesian colony, early 7th c. BC (traditionally contemporary with Abydos, c. 680-670 BC); home of Aristeas of Proconnesus</t>
  </si>
  <si>
    <t xml:space="preserve">No pre-Greek settlement known at the town of Proconnesus (Marmara town); the island's alternative names (Elaphonnesos/Neuris) are not attested as a native town.</t>
  </si>
  <si>
    <t xml:space="preserve">Pleiades 511378; Strabo 13.1.16; Plin. NH 5.151</t>
  </si>
  <si>
    <t xml:space="preserve">C072</t>
  </si>
  <si>
    <t xml:space="preserve">Artace</t>
  </si>
  <si>
    <t xml:space="preserve">Ἀρτάκη</t>
  </si>
  <si>
    <t xml:space="preserve">Artake</t>
  </si>
  <si>
    <t xml:space="preserve">Erdek</t>
  </si>
  <si>
    <t xml:space="preserve">Erdek town (Erdek, Balıkesir)</t>
  </si>
  <si>
    <t xml:space="preserve">IACP (Propontic coast); Athenian tribute lists; later a dependency of Cyzicus; medieval town that received the population of Cyzicus</t>
  </si>
  <si>
    <t xml:space="preserve">Origin of the name Artake is unclear (possibly non-Greek); 'Greek name' used as instructed for uncertain cases. In the Middle Ages the population of Cyzicus moved to Artake, later seat of the metropolitans of Cyzicus.</t>
  </si>
  <si>
    <t xml:space="preserve">Strabo 14.1.6; Hdt. 4.14; 6.33; IACP (Propontic coast); Pleiades 511158; TIB 13</t>
  </si>
  <si>
    <t xml:space="preserve">Archaic Milesian colony (Strabo 14.1.6); already mentioned in the Aristeas story (Hdt. 4.14); burnt by the Phoenician fleet 493 BC (Hdt. 6.33)</t>
  </si>
  <si>
    <t xml:space="preserve">Erdek is unexcavated for early levels. The name Artake may be pre-Greek (Homer's spring Artakie, Od. 10.108), but it is not attested as the name of a native town at the site, and the Odyssey setting is legendary.</t>
  </si>
  <si>
    <t xml:space="preserve">Hdt. 4.14, 6.33; Strabo 14.1.6; Pleiades 511158</t>
  </si>
  <si>
    <t xml:space="preserve">C073</t>
  </si>
  <si>
    <t xml:space="preserve">Cyzicus</t>
  </si>
  <si>
    <t xml:space="preserve">Κύζικος</t>
  </si>
  <si>
    <t xml:space="preserve">Kyzikos</t>
  </si>
  <si>
    <t xml:space="preserve">Belkıs (Balkız), near Erdek (Erdek, Balıkesir)</t>
  </si>
  <si>
    <t xml:space="preserve">c. 679 BC</t>
  </si>
  <si>
    <t xml:space="preserve">IACP (Propontic coast); electrum and silver coinage from the Archaic period; Roman free city and assize centre; Hierocles; metropolis of Hellespontus; bishops 325-787</t>
  </si>
  <si>
    <t xml:space="preserve">Eusebius gives two foundations (756 and 679 BC); the later, Milesian one fits the archaeological evidence better. Myth places the Doliones (a pre-Greek people) here, but there is no archaeological proof of a native town at the site.</t>
  </si>
  <si>
    <t xml:space="preserve">Eusebius, Chron.; Strabo 12.8.11; 14.1.6; IACP (Propontic coast); Pleiades 511218; Wikipedia: Cyzicus</t>
  </si>
  <si>
    <t xml:space="preserve">Milesian colony 679 BC (Eusebius' second foundation date); Eusebius also gives an earlier foundation in 756 BC</t>
  </si>
  <si>
    <t xml:space="preserve">Tradition makes the Doliones (said to come from Thessaly) the first inhabitants and Pliny gives older island names (Arctonnesus, Dolionis), but no pre-Milesian levels have been found in the Belkıs excavations; legendary traditions alone.</t>
  </si>
  <si>
    <t xml:space="preserve">Plin. NH 5.142; Ap. Rhod. 1.936ff.; kureansiklopedi.com/tr/detay/kyzikos-3d75d; Pleiades 511218</t>
  </si>
  <si>
    <t xml:space="preserve">C074</t>
  </si>
  <si>
    <t xml:space="preserve">Priapus</t>
  </si>
  <si>
    <t xml:space="preserve">Πρίαπος</t>
  </si>
  <si>
    <t xml:space="preserve">Pegai (Πηγαί, medieval Roman town and bishopric at the same site)</t>
  </si>
  <si>
    <t xml:space="preserve">Karabiga</t>
  </si>
  <si>
    <t xml:space="preserve">Karabiga (Biga, Çanakkale)</t>
  </si>
  <si>
    <t xml:space="preserve">Milesians (or Cyzicenes)</t>
  </si>
  <si>
    <t xml:space="preserve">Miletus (or Cyzicus)</t>
  </si>
  <si>
    <t xml:space="preserve">IACP (Propontic coast); Athenian tribute lists; coins; medieval Pegai a bishopric/archbishopric, united with Parion in the 14th c.</t>
  </si>
  <si>
    <t xml:space="preserve">Karabiga ('Black Biga') continues the medieval Greek name Pegai, not Priapos. Metropolis disputed: Strabo gives Miletus or Cyzicus.</t>
  </si>
  <si>
    <t xml:space="preserve">Strabo 13.1.12; Thuc. 8.107; IACP (Propontic coast); Pleiades 511375; TIB 13 (Pegai)</t>
  </si>
  <si>
    <t xml:space="preserve">Archaic colony of Miletus (or of Cyzicus), Strabo 13.1.12; no foundation date; attested in the Athenian tribute lists and Thuc. 8.107</t>
  </si>
  <si>
    <t xml:space="preserve">Karabiga castle hill unexcavated for early levels; no native predecessor or pre-Greek name recorded.</t>
  </si>
  <si>
    <t xml:space="preserve">Strabo 13.1.12; Pleiades 511375</t>
  </si>
  <si>
    <t xml:space="preserve">C075</t>
  </si>
  <si>
    <t xml:space="preserve">Didyma Teiche</t>
  </si>
  <si>
    <t xml:space="preserve">Δίδυμα Τείχη</t>
  </si>
  <si>
    <t xml:space="preserve">Didymon Teichos; Didymoteichitai (tribute lists)</t>
  </si>
  <si>
    <t xml:space="preserve">near Dimetoka village, north of Biga (Biga, Çanakkale)</t>
  </si>
  <si>
    <t xml:space="preserve">IACP (p. 979); Athenian tribute lists 454/3-418/7 BC; Polybius 5.77.8 (taken by Attalus I)</t>
  </si>
  <si>
    <t xml:space="preserve">Site identified by L. Robert (1937) at Dimetoka, a village name that preserves 'Didymoteichos'. Origin of the community unknown.</t>
  </si>
  <si>
    <t xml:space="preserve">IACP p. 979; Polyb. 5.77.8; Robert 1937; Pleiades 511235; Wikipedia: Didymateiche</t>
  </si>
  <si>
    <t xml:space="preserve">first attested in the Athenian tribute lists, 454/3 BC (to 418/7)</t>
  </si>
  <si>
    <t xml:space="preserve">Known only from the tribute lists; site at Dimetoka unexcavated; no native predecessor recorded.</t>
  </si>
  <si>
    <t xml:space="preserve">Pleiades 511235; L. Robert 1937</t>
  </si>
  <si>
    <t xml:space="preserve">C076</t>
  </si>
  <si>
    <t xml:space="preserve">Parium</t>
  </si>
  <si>
    <t xml:space="preserve">Πάριον</t>
  </si>
  <si>
    <t xml:space="preserve">Parion; Colonia Pariana Iulia Augusta (Caesar/Augustus); Colonia Gemella Iulia Hadriana Pariana (Hadrian)</t>
  </si>
  <si>
    <t xml:space="preserve">Kemer</t>
  </si>
  <si>
    <t xml:space="preserve">Kemer village (Biga, Çanakkale)</t>
  </si>
  <si>
    <t xml:space="preserve">c. 709 BC</t>
  </si>
  <si>
    <t xml:space="preserve">Parians, Erythraeans and Milesians</t>
  </si>
  <si>
    <t xml:space="preserve">Paros (with Erythrae and Miletus)</t>
  </si>
  <si>
    <t xml:space="preserve">IACP (Propontic coast); Athenian tribute lists; coins Archaic-Roman; Roman colony; Hierocles; bishops 431, 451, 787; autocephalous archbishopric, metropolis in the 14th c.</t>
  </si>
  <si>
    <t xml:space="preserve">Pleiades lists prehistoric periods for the site, but no pre-Greek town is documented; left 'unknown'.</t>
  </si>
  <si>
    <t xml:space="preserve">Strabo 13.1.14; Eusebius, Chron.; IACP (Propontic coast); Pleiades 511354; Wikipedia: Parium</t>
  </si>
  <si>
    <t xml:space="preserve">colony of Paros, Erythrae and Miletus, 709 BC (Eusebius)</t>
  </si>
  <si>
    <t xml:space="preserve">Excavations since 2005 (Başaran) report Archaic and later material only; no prehistoric levels have been published. Pleiades' Neolithic/Iron Age tags come from an automated OSM location and are not backed by a publication. The foundation legend (Parion son of Jason) is mythical.</t>
  </si>
  <si>
    <t xml:space="preserve">turkisharchaeonews.net/node/190; ark-itbf.omu.edu.tr Parion kazıları page; Pleiades 511354</t>
  </si>
  <si>
    <t xml:space="preserve">C077</t>
  </si>
  <si>
    <t xml:space="preserve">Paesus</t>
  </si>
  <si>
    <t xml:space="preserve">Παισός</t>
  </si>
  <si>
    <t xml:space="preserve">Apaisos (Homer, Il. 2.828)</t>
  </si>
  <si>
    <t xml:space="preserve">c. 9 km NE of Çardak (Lapseki, Çanakkale)</t>
  </si>
  <si>
    <t xml:space="preserve">IACP (p. 991); Athenian tribute lists 453/2-430/29 BC; Hdt. 5.117</t>
  </si>
  <si>
    <t xml:space="preserve">Abandoned before Strabo's time; its people moved to Lampsacus. A Hittite form 'Apaššawa' proposed by Zangger &amp; Woudhuizen (2018) rests on the doubtful Beyköy 2 text and is not used here.</t>
  </si>
  <si>
    <t xml:space="preserve">IACP p. 991; Strabo 13.1.19; Hdt. 5.117; Pleiades 501544</t>
  </si>
  <si>
    <t xml:space="preserve">Archaic Milesian colony (Strabo 13.1.19; 14.1.6); taken by the Persians 497 BC (Hdt. 5.117); no foundation date</t>
  </si>
  <si>
    <t xml:space="preserve">Survey pottery from Adatepe (Paisos) in the northern Troad is 'probably Troy VI/VII' (Late Bronze Age), and two NAA samples match Troy fabrics. This archaeological evidence is independent of the doubtful 'Apaššawa' identification.</t>
  </si>
  <si>
    <t xml:space="preserve">Pavúk &amp; Schubert 2014, Studia Troica Monogr. 5 (hdl.handle.net/10900/73590); LuwianSiteAtlas site 33 'Apaisos' (zenodo.org/records/17128262)</t>
  </si>
  <si>
    <t xml:space="preserve">C078</t>
  </si>
  <si>
    <t xml:space="preserve">Lampsacus</t>
  </si>
  <si>
    <t xml:space="preserve">Λάμψακος</t>
  </si>
  <si>
    <t xml:space="preserve">Pityoussa (earlier name, Charon of Lampsacus)</t>
  </si>
  <si>
    <t xml:space="preserve">Lapseki</t>
  </si>
  <si>
    <t xml:space="preserve">Lapseki town (Lapseki, Çanakkale)</t>
  </si>
  <si>
    <t xml:space="preserve">654 BC</t>
  </si>
  <si>
    <t xml:space="preserve">Phocaeans (Phobos; Charon ap. Plutarch, Mul. virt. 18)</t>
  </si>
  <si>
    <t xml:space="preserve">Phocaea (Miletus per Strabo)</t>
  </si>
  <si>
    <t xml:space="preserve">IACP (Propontic coast); Athenian tribute lists (12 talents); gold and silver coinage; Hierocles; bishops 4th c., 451, 680, 787</t>
  </si>
  <si>
    <t xml:space="preserve">Tradition (Charon ap. Plutarch) has the Phocaeans received at Pityoussa by Mandron, king of the Bebrykes, so a native settlement is implied; no archaeology. The origin of the name Lampsakos is unclear; 'Greek name' used as instructed for uncertain cases.</t>
  </si>
  <si>
    <t xml:space="preserve">Plutarch, Mul. virt. 18; Strabo 13.1.18-19; IACP (Propontic coast); Pleiades 501570; Wikipedia: Lampsacus</t>
  </si>
  <si>
    <t xml:space="preserve">Phocaean colony, 654/3 BC (Eusebius); Strabo implies Milesian participation</t>
  </si>
  <si>
    <t xml:space="preserve">C079</t>
  </si>
  <si>
    <t xml:space="preserve">Palaeperkote</t>
  </si>
  <si>
    <t xml:space="preserve">Παλαιπερκώτη</t>
  </si>
  <si>
    <t xml:space="preserve">Palaiperkote; Palaiperkosioi (tribute lists)</t>
  </si>
  <si>
    <t xml:space="preserve">near Umurbey (Lapseki, Çanakkale)</t>
  </si>
  <si>
    <t xml:space="preserve">IACP (Troas); Athenian tribute lists (Palaiperkosioi)</t>
  </si>
  <si>
    <t xml:space="preserve">Small community near Perkote ('Old Perkote'); its relationship to Perkote and the exact site are uncertain.</t>
  </si>
  <si>
    <t xml:space="preserve">IACP (Troas); ATL; Leaf 1923; Pleiades 501547</t>
  </si>
  <si>
    <t xml:space="preserve">first attested as a tribute-paying community in the Athenian tribute lists (mid-5th c. BC)</t>
  </si>
  <si>
    <t xml:space="preserve">Site and its relation to Perkote uncertain; no archaeological data.</t>
  </si>
  <si>
    <t xml:space="preserve">Barrington 51 H4; Pleiades 501547</t>
  </si>
  <si>
    <t xml:space="preserve">C080</t>
  </si>
  <si>
    <t xml:space="preserve">Percote</t>
  </si>
  <si>
    <t xml:space="preserve">Περκώτη</t>
  </si>
  <si>
    <t xml:space="preserve">Perkote</t>
  </si>
  <si>
    <t xml:space="preserve">near Umurbey / Bergaz (Lapseki, Çanakkale)</t>
  </si>
  <si>
    <t xml:space="preserve">c. 497 BC</t>
  </si>
  <si>
    <t xml:space="preserve">IACP (Troas); Hdt. 5.117; Xen. Hell. 5.1.25</t>
  </si>
  <si>
    <t xml:space="preserve">Homeric Perkote (Il. 2.835) suggests an older settlement, but there is no archaeological evidence. Origin of the Greek community unrecorded.</t>
  </si>
  <si>
    <t xml:space="preserve">IACP (Troas); Hdt. 5.117; Strabo 13.1.20; Pleiades 501556</t>
  </si>
  <si>
    <t xml:space="preserve">first attested as a town taken by Daurises in 497 BC (Hdt. 5.117); later given to Themistocles</t>
  </si>
  <si>
    <t xml:space="preserve">Site only approximately located (east of Umurbey); no archaeological data. Homeric Perkote (Il. 2.835) is epic only.</t>
  </si>
  <si>
    <t xml:space="preserve">Barrington 51 H4; https://en.wikipedia.org/wiki/Percote</t>
  </si>
  <si>
    <t xml:space="preserve">C081</t>
  </si>
  <si>
    <t xml:space="preserve">Arisbe</t>
  </si>
  <si>
    <t xml:space="preserve">Ἀρίσβη</t>
  </si>
  <si>
    <t xml:space="preserve">possibly near Musaköy (Çanakkale)</t>
  </si>
  <si>
    <t xml:space="preserve">IACP (Troas); Alexander's muster point 334 BC (Arrian 1.12.6)</t>
  </si>
  <si>
    <t xml:space="preserve">In ruins by Strabo's time. Site identification (Musaköy) is tentative.</t>
  </si>
  <si>
    <t xml:space="preserve">Strabo 13.1.21; 14.1.6; IACP (Troas); Arrian, Anab. 1.12.6; Pleiades 501359</t>
  </si>
  <si>
    <t xml:space="preserve">Archaic Milesian colony (Anaximenes of Lampsacus ap. Strabo 14.1.6); no foundation date</t>
  </si>
  <si>
    <t xml:space="preserve">The Musaköy identification is tentative and no pre-Greek finds are reported. Homeric Arisbe (Il. 2.836) is epic, not evidence.</t>
  </si>
  <si>
    <t xml:space="preserve">Pleiades 501359; Strabo 13.1.20, 14.1.6</t>
  </si>
  <si>
    <t xml:space="preserve">C082</t>
  </si>
  <si>
    <t xml:space="preserve">Abydus</t>
  </si>
  <si>
    <t xml:space="preserve">Ἄβυδος</t>
  </si>
  <si>
    <t xml:space="preserve">Abydos; Avido (medieval)</t>
  </si>
  <si>
    <t xml:space="preserve">Mal Tepe, Nara Burnu (Merkez, Çanakkale)</t>
  </si>
  <si>
    <t xml:space="preserve">Milesians (with Gyges' consent)</t>
  </si>
  <si>
    <t xml:space="preserve">IACP (Troas); Athenian tribute lists; coins Archaic-Roman; Hierocles; bishops 451 (seed)/458, 680, 787; metropolis from 1084</t>
  </si>
  <si>
    <t xml:space="preserve">Homer lists Abydos among Trojan allies and Strabo says Thracians held it before the Milesians (text only). Major medieval Roman customs port; abandoned c. 1304-1318.</t>
  </si>
  <si>
    <t xml:space="preserve">Strabo 13.1.22; IACP (Troas); Pleiades 501325; Wikipedia: Abydos, Hellespont; TIB 13</t>
  </si>
  <si>
    <t xml:space="preserve">Milesian colony c. 680-670 BC, with the consent of Gyges of Lydia (Strabo 13.1.22)</t>
  </si>
  <si>
    <t xml:space="preserve">C083</t>
  </si>
  <si>
    <t xml:space="preserve">Dardanus</t>
  </si>
  <si>
    <t xml:space="preserve">Δάρδανος</t>
  </si>
  <si>
    <t xml:space="preserve">Dardania</t>
  </si>
  <si>
    <t xml:space="preserve">Mal Tepe, near Kepez (Merkez, Çanakkale)</t>
  </si>
  <si>
    <t xml:space="preserve">Aeolians (metropolis unrecorded)</t>
  </si>
  <si>
    <t xml:space="preserve">Aeolians (Lesbos or Kyme)</t>
  </si>
  <si>
    <t xml:space="preserve">IACP (Troas); Athenian tribute lists; coins 5th c. BC-3rd c. AD; Roman free city (peace of Dardanus 85 BC); Hierocles; bishops 451, 787</t>
  </si>
  <si>
    <t xml:space="preserve">The Dardanoi of Homer and the Drdny of Egyptian Kadesh texts are a people, not this town; no pre-Greek town is attested at the site.</t>
  </si>
  <si>
    <t xml:space="preserve">Hdt. 5.117; Strabo 13.1.28; IACP (Troas); Pleiades 501393</t>
  </si>
  <si>
    <t xml:space="preserve">first attested 497 BC, taken by Daurises (Hdt. 5.117); Aeolian city (Strabo)</t>
  </si>
  <si>
    <t xml:space="preserve">Cook reported grey ware of supposed 2nd-millennium date on the Dardanos hill, but its Bronze Age date has since been doubted (it may be Archaic Aeolic grey ware). A 2001 rescue dig on the disturbed bastion found nothing before the mid-7th c. BC. Homeric Dardanos/Dardanoi is legend only.</t>
  </si>
  <si>
    <t xml:space="preserve">Cook 1973, 60 (cited by R. Körpe, Çanakkale Araştırmaları Türk Yıllığı, cdn.comu.edu.tr/cms/ckalearastirma/files/411-dardanos-tabyasinda-savas-alani-arkeolojisi-ve-son.pdf); Pavúk &amp; Schubert 2014, Studia Troica Monogr. 5</t>
  </si>
  <si>
    <t xml:space="preserve">C084</t>
  </si>
  <si>
    <t xml:space="preserve">Ophrynium</t>
  </si>
  <si>
    <t xml:space="preserve">Ὀφρύνειον</t>
  </si>
  <si>
    <t xml:space="preserve">Ophryneion</t>
  </si>
  <si>
    <t xml:space="preserve">c. 1.5 km NE of İntepe (Merkez, Çanakkale)</t>
  </si>
  <si>
    <t xml:space="preserve">IACP (Troas); coins 4th c. BC; member of the Ilian koinon</t>
  </si>
  <si>
    <t xml:space="preserve">Absorbed by Ilion in the Hellenistic period. Necropolis finds may push the Greek settlement into the 6th c. BC.</t>
  </si>
  <si>
    <t xml:space="preserve">Xen. Anab. 7.8.5; Strabo 13.1.29; IACP (Troas); Pleiades 550787</t>
  </si>
  <si>
    <t xml:space="preserve">first attested c. 400 BC (Xen. Anab. 7.8.5); coins 4th c. BC; Archaic-Classical necropolis</t>
  </si>
  <si>
    <t xml:space="preserve">Cook's survey found nothing earlier than the 6th c. BC on the Ophryneion hill. The Troia-area Bronze Age surveys record sites at neighbouring Rhoiteion and Işıldak Tepe but none here. The Akamas foundation legend is myth.</t>
  </si>
  <si>
    <t xml:space="preserve">Cook 1973, The Troad, 77; https://en.wikipedia.org/wiki/Ophryneion; Pavúk &amp; Schubert 2014, 'Die Troas in der Mittel- und Spätbronzezeit', Studia Troica Monogr. 5 (hdl.handle.net/10900/73590)</t>
  </si>
  <si>
    <t xml:space="preserve">C085</t>
  </si>
  <si>
    <t xml:space="preserve">Rhoeteum</t>
  </si>
  <si>
    <t xml:space="preserve">Ῥοίτειον</t>
  </si>
  <si>
    <t xml:space="preserve">Rhoiteion</t>
  </si>
  <si>
    <t xml:space="preserve">near İntepe (Merkez, Çanakkale)</t>
  </si>
  <si>
    <t xml:space="preserve">c. 480 BC</t>
  </si>
  <si>
    <t xml:space="preserve">IACP (Troas); Athenian tribute lists; coins; member of the Ilian koinon</t>
  </si>
  <si>
    <t xml:space="preserve">Later absorbed by Ilion.</t>
  </si>
  <si>
    <t xml:space="preserve">Hdt. 7.43; Thuc. 4.52; IACP (Troas); Pleiades 550856</t>
  </si>
  <si>
    <t xml:space="preserve">first attested 480 BC on Xerxes' route (Hdt. 7.43); Aeolian town</t>
  </si>
  <si>
    <t xml:space="preserve">Survey sherds of middle/late Troy VI date (2nd millennium BC) come from Eski Kale/Baba Kale, the Rhoiteion site; the Greek town is attested from the late 8th c. BC. The evidence is small: three sherds.</t>
  </si>
  <si>
    <t xml:space="preserve">Pavúk &amp; Schubert 2014, Studia Troica Monogr. 5 (hdl.handle.net/10900/73590); Aslan &amp; Polat 2012; Cook 1973, 77-90; LuwianSiteAtlas site 111 (zenodo.org/records/17128262)</t>
  </si>
  <si>
    <t xml:space="preserve">C086</t>
  </si>
  <si>
    <t xml:space="preserve">Ilium</t>
  </si>
  <si>
    <t xml:space="preserve">Ἴλιον</t>
  </si>
  <si>
    <t xml:space="preserve">Ilios / Troia (Homer); Troy; Wilusa (Hittite, Bronze Age city)</t>
  </si>
  <si>
    <t xml:space="preserve">Hisarlık, near Tevfikiye (Merkez, Çanakkale)</t>
  </si>
  <si>
    <t xml:space="preserve">Aeolian Greeks (metropolis unrecorded)</t>
  </si>
  <si>
    <t xml:space="preserve">Wilusa (Hittite)</t>
  </si>
  <si>
    <t xml:space="preserve">Hittite Wilusa (Alaksandu treaty, Manapa-Tarhunta and Milawata letters, from c. 1400 BC) = Greek (W)ilios; widely accepted since Forrer 1924 (Starke, Hawkins, Latacz), not by all. Taruisa (Annals of Tudhaliya I) is sometimes equated with Troia.</t>
  </si>
  <si>
    <t xml:space="preserve">IACP (Troas); coins from 4th c. BC; head of the Ilian koinon; Roman free city; Hierocles; bishops 325, 451, 553, 787</t>
  </si>
  <si>
    <t xml:space="preserve">Troy VI-VIIb was an Anatolian (probably Luwian-speaking) city; Mycenaean pottery there is imported or imitated, so it was not a Greek city. Protogeometric pottery appears in VIIb3 (10th c. BC), but Greek settlement proper starts c. 700 BC.</t>
  </si>
  <si>
    <t xml:space="preserve">Wikipedia: Troy; Rose 2014; Latacz 2004; IACP (Troas); Pleiades 550595</t>
  </si>
  <si>
    <t xml:space="preserve">Greek (Aeolian) resettlement of Hisarlık c. 700 BC (Troy VIII); sparse occupation continued after Troy VIIb (ended c. 950 BC)</t>
  </si>
  <si>
    <t xml:space="preserve">C087</t>
  </si>
  <si>
    <t xml:space="preserve">Sigeum</t>
  </si>
  <si>
    <t xml:space="preserve">Σίγειον</t>
  </si>
  <si>
    <t xml:space="preserve">Sigeion</t>
  </si>
  <si>
    <t xml:space="preserve">Yenişehir</t>
  </si>
  <si>
    <t xml:space="preserve">Yenişehir, near Kumkale (Merkez, Çanakkale)</t>
  </si>
  <si>
    <t xml:space="preserve">c. 620 BC</t>
  </si>
  <si>
    <t xml:space="preserve">Mytilenaeans (Archeanax); later Athenians (Phrynon, Peisistratus)</t>
  </si>
  <si>
    <t xml:space="preserve">Mytilene (then Athens)</t>
  </si>
  <si>
    <t xml:space="preserve">IACP (Troas); Athenian tribute lists; coins 4th c. BC; Athenian decree for Sigeion (IG I³ 17, 451/0 BC)</t>
  </si>
  <si>
    <t xml:space="preserve">Fought over by Mytilene and Athens c. 607-530 BC; Peisistratus installed his son Hegesistratus. Destroyed by the Ilians in the Hellenistic period.</t>
  </si>
  <si>
    <t xml:space="preserve">Hdt. 5.94-95; Strabo 13.1.38-39; IACP (Troas); Pleiades 550877</t>
  </si>
  <si>
    <t xml:space="preserve">Mytilenaean fortified town (Archeanax), late 7th c. BC; captured by Athens under Phrynon c. 607 BC</t>
  </si>
  <si>
    <t xml:space="preserve">No pre-Greek finds are reported from the Yenişehir ridge itself. The Chalcolithic-EBA mound of Kumtepe, with one Troy VI sherd, lies c. 1.8 km E on the Scamander plain, but it is a separate site rather than the same nucleus. Epic and Athenian Trojan-war claims are legend.</t>
  </si>
  <si>
    <t xml:space="preserve">LuwianSiteAtlas site 85 Kumtepe; Pavúk &amp; Schubert 2014, 'Die Troas in der Mittel- und Spätbronzezeit', Studia Troica Monogr. 5 (hdl.handle.net/10900/73590); https://en.wikipedia.org/wiki/Sigeion</t>
  </si>
  <si>
    <t xml:space="preserve">C088</t>
  </si>
  <si>
    <t xml:space="preserve">Achilleum</t>
  </si>
  <si>
    <t xml:space="preserve">Ἀχίλλειον</t>
  </si>
  <si>
    <t xml:space="preserve">Achilleion (Ἀχιλλήιον, Herodotus)</t>
  </si>
  <si>
    <t xml:space="preserve">Beşika Burnu, c. 2 km S of Yeniköy (Ezine, Çanakkale)</t>
  </si>
  <si>
    <t xml:space="preserve">Mytilenaeans</t>
  </si>
  <si>
    <t xml:space="preserve">Mytilene</t>
  </si>
  <si>
    <t xml:space="preserve">IACP 766; Athenian tribute lists 425/4 and 422/1 BC; possible coins c. 350-300 BC</t>
  </si>
  <si>
    <t xml:space="preserve">Merged into Ilion by Lysimachus (306-281 BC); a hamlet by the 2nd c. BC.</t>
  </si>
  <si>
    <t xml:space="preserve">IACP 766; Hdt. 5.94; Strabo 13.1.39; Pleiades 550401; Wikipedia: Achilleion (Troad)</t>
  </si>
  <si>
    <t xml:space="preserve">Mytilenaean fortified base against Sigeion, c. 600 BC; walls first half of 6th c. BC</t>
  </si>
  <si>
    <t xml:space="preserve">Beşik-Yassıtepe, at the Achilleion site on Beşika Burnu, has Troy I (EBA) occupation and Late Bronze Age (Troy VI late/VIIa) material (Korfmann's excavations); a 13th-c. BC cemetery of c. 100 graves lies c. 250 m away. The Greek fort's material begins in the 6th c. BC.</t>
  </si>
  <si>
    <t xml:space="preserve">Korfmann, AA 1986, 1988 (Beşik-Tepe reports); Pavúk &amp; Schubert 2014, Studia Troica Monogr. 5 (publikationen.uni-tuebingen.de handle 10900/73590); LuwianSiteAtlas site 80 (zenodo.org/records/17128262); vici.org/vici/57675</t>
  </si>
  <si>
    <t xml:space="preserve">C089</t>
  </si>
  <si>
    <t xml:space="preserve">Alexandria Troas</t>
  </si>
  <si>
    <t xml:space="preserve">Ἀλεξάνδρεια Τρῳάς</t>
  </si>
  <si>
    <t xml:space="preserve">Antigoneia (Antigonus I, c. 311-306 BC); Alexandreia (Lysimachus, after 301 BC); Colonia Augusta Troas (Augustus); Troas (Late Roman)</t>
  </si>
  <si>
    <t xml:space="preserve">Dalyan</t>
  </si>
  <si>
    <t xml:space="preserve">Dalyan (Ezine, Çanakkale)</t>
  </si>
  <si>
    <t xml:space="preserve">c. 311 BC</t>
  </si>
  <si>
    <t xml:space="preserve">Antigonus I Monophthalmus; renamed by Lysimachus</t>
  </si>
  <si>
    <t xml:space="preserve">Cohen 1995; Hellenistic and Roman coins; Roman colony; Hierocles; bishops (Troas) 451 and later</t>
  </si>
  <si>
    <t xml:space="preserve">Pliny (NH 5.124) says the site was earlier called Sigia; no pre-Greek settlement is attested archaeologically. Greek remained the main language despite the Roman colony.</t>
  </si>
  <si>
    <t xml:space="preserve">Strabo 13.1.26; 13.1.47; Cohen 1995; Pleiades 550434; Wikipedia: Alexandria Troas</t>
  </si>
  <si>
    <t xml:space="preserve">founded as Antigoneia by Antigonus I c. 311-306 BC by synoecism of Neandreia, Kebren, Kolonai, Hamaxitos, Larisa and others</t>
  </si>
  <si>
    <t xml:space="preserve">Pliny (NH 5.124) gives an earlier name Sigia, but nothing shows it was a non-Greek town. The LuwianSiteAtlas lists a Bronze Age find-spot 'Dalyan' (after Cook 1973) c. 1.3 km N of the city centre, but its nature is unpublished online, and Feuser's harbour survey found no pre-Roman material. The new-ground status is also unproven.</t>
  </si>
  <si>
    <t xml:space="preserve">Pliny NH 5.124; LuwianSiteAtlas site 115 (zenodo.org/records/17128262); Feuser 2011, harbour survey (ancientportsantiques.com AlexTroas-Feuser2011.pdf)</t>
  </si>
  <si>
    <t xml:space="preserve">C090</t>
  </si>
  <si>
    <t xml:space="preserve">Colonae</t>
  </si>
  <si>
    <t xml:space="preserve">Κολωναί</t>
  </si>
  <si>
    <t xml:space="preserve">Kolonai (Troad)</t>
  </si>
  <si>
    <t xml:space="preserve">Beşiktepe, south of Alexandria Troas (Ezine/Ayvacık, Çanakkale)</t>
  </si>
  <si>
    <t xml:space="preserve">c. 477 BC</t>
  </si>
  <si>
    <t xml:space="preserve">Aeolians (metropolis unrecorded; probably Lesbian)</t>
  </si>
  <si>
    <t xml:space="preserve">IACP (Troas); Athenian tribute lists; Xen. Hell. 3.1.13</t>
  </si>
  <si>
    <t xml:space="preserve">The Greek settlement is probably Archaic (6th c. BC or earlier), so the date given is a minimum. Synoecised into Antigoneia/Alexandria Troas c. 310 BC.</t>
  </si>
  <si>
    <t xml:space="preserve">Thuc. 1.131; Strabo 13.1.19; IACP (Troas); Cook 1973; Pleiades 550661</t>
  </si>
  <si>
    <t xml:space="preserve">first attested c. 477 BC as the seat of Pausanias (Thuc. 1.131); Archaic finds at the site (excavated by Akurgal)</t>
  </si>
  <si>
    <t xml:space="preserve">Cook found prehistoric pottery on Beşiktepe, and the Bronze Age survey material from 'Beşik Tepe (Kolonai)' covers Troy VI early to VIIa (KP 2-5). Greek material begins in the 7th c. BC; continuity is unclear.</t>
  </si>
  <si>
    <t xml:space="preserve">Cook 1973, The Troad, 216-220; Pavúk &amp; Schubert 2014, Studia Troica Monogr. 5 (hdl.handle.net/10900/73590); https://en.wikipedia.org/wiki/Kolonai</t>
  </si>
  <si>
    <t xml:space="preserve">C091</t>
  </si>
  <si>
    <t xml:space="preserve">Larisa (Troas)</t>
  </si>
  <si>
    <t xml:space="preserve">Λάρισα</t>
  </si>
  <si>
    <t xml:space="preserve">Ptolemais? (Robert)</t>
  </si>
  <si>
    <t xml:space="preserve">Limantepe (Ayvacık, Çanakkale)</t>
  </si>
  <si>
    <t xml:space="preserve">c. 399 BC</t>
  </si>
  <si>
    <t xml:space="preserve">IACP (Troas); Xen. Hell. 3.1.13</t>
  </si>
  <si>
    <t xml:space="preserve">Strabo placed Homer's 'Pelasgian Larisa' here, but that is epic, not evidence of a native town. Possibly renamed Ptolemais (L. Robert); synoecised into Alexandria Troas.</t>
  </si>
  <si>
    <t xml:space="preserve">Xen. Hell. 3.1.13; Strabo 13.3.2; IACP (Troas); Robert 1987; Pleiades 550685</t>
  </si>
  <si>
    <t xml:space="preserve">first attested 399 BC, taken by Dercylidas (Xen. Hell. 3.1.13)</t>
  </si>
  <si>
    <t xml:space="preserve">Surface pottery of Early Bronze Age III and Troy VI (Late Bronze Age) type at Limantepe shows a pre-Greek settlement from the mid-3rd millennium BC on the same hill.</t>
  </si>
  <si>
    <t xml:space="preserve">Cook 1973, The Troad, 219; Akalın 1991, 'Larisa und der Liman-Tepe in der Troas', Asia Minor Studien 3, 65-66; https://en.wikipedia.org/wiki/Larisa_(Troad)</t>
  </si>
  <si>
    <t xml:space="preserve">C092</t>
  </si>
  <si>
    <t xml:space="preserve">Hamaxitus</t>
  </si>
  <si>
    <t xml:space="preserve">Ἁμαξιτός</t>
  </si>
  <si>
    <t xml:space="preserve">Hamaxitos</t>
  </si>
  <si>
    <t xml:space="preserve">near Gülpınar (Ayvacık, Çanakkale)</t>
  </si>
  <si>
    <t xml:space="preserve">Aeolians (probably Mytilenaean peraia)</t>
  </si>
  <si>
    <t xml:space="preserve">IACP (Troas); coins (Apollo Smintheus) 4th c. BC</t>
  </si>
  <si>
    <t xml:space="preserve">Controlled the sanctuary of Apollo Smintheus (Chrysa). Probably an older Aeolian foundation; date given is a minimum. Synoecised into Alexandria Troas.</t>
  </si>
  <si>
    <t xml:space="preserve">Xen. Hell. 3.1.13; Strabo 13.1.47-48; IACP (Troas); Pleiades 550565</t>
  </si>
  <si>
    <t xml:space="preserve">first securely attested 399 BC (Xen. Hell. 3.1.13); coins 4th c. BC</t>
  </si>
  <si>
    <t xml:space="preserve">Rejected the proposed 'yes'. The Late Neolithic/Chalcolithic village at Gülpınar is internationally published (Takaoğlu, Hesperia 75, 2006). But it lies under the Smintheion, c. 2.1 km from the city hill of Beşiktepe, which puts it at or beyond the 1–2 km limit, on a separate hill, and millennia before the Greek town (rule 8). No prehistoric finds are reported from Beşiktepe itself (Cook 1973, 231-5: the earliest material noted there is Classical). The Teucrian/Smintheus traditions are legendary.</t>
  </si>
  <si>
    <t xml:space="preserve">en.wikipedia.org/wiki/Hamaxitus (Cook, The Troad 1973, 231-5; Cook ABSA 83, 1988); en.wikipedia.org/wiki/Smintheion (coordinates); distance computed 2.1 km; knowledge: Takaoğlu, Hesperia 75 (2006) 289-315</t>
  </si>
  <si>
    <t xml:space="preserve">C093</t>
  </si>
  <si>
    <t xml:space="preserve">Assos</t>
  </si>
  <si>
    <t xml:space="preserve">Ἄσσος</t>
  </si>
  <si>
    <t xml:space="preserve">Apollonia (Pliny); Machramion (medieval Roman)</t>
  </si>
  <si>
    <t xml:space="preserve">Behramkale</t>
  </si>
  <si>
    <t xml:space="preserve">Behramkale (Ayvacık, Çanakkale)</t>
  </si>
  <si>
    <t xml:space="preserve">Methymnaeans (Lesbos)</t>
  </si>
  <si>
    <t xml:space="preserve">Methymna</t>
  </si>
  <si>
    <t xml:space="preserve">IACP (Troas); Athenian tribute lists; coins; Hierocles; bishops 431, 787</t>
  </si>
  <si>
    <t xml:space="preserve">Some popular sources date the foundation to 1000-900 BC without support. Behramkale may continue the medieval Roman name Machramion (uncertain).</t>
  </si>
  <si>
    <t xml:space="preserve">Strabo 13.1.57-58; IACP (Troas); Pleiades 550463; Wikipedia: Assos</t>
  </si>
  <si>
    <t xml:space="preserve">Methymnaean colony (Myrsilos ap. Strabo 13.1.58), Archaic, probably 7th c. BC; temple of Athena c. 530 BC</t>
  </si>
  <si>
    <t xml:space="preserve">Ministry of Culture and UNESCO tentative-list texts say 'recent research' dates Assos to the Bronze Age (Assuwa/Lelegian Pedasos equations are speculative), but no stratified pre-Greek finds are published. The only find is a surface Chalcolithic stone axe from the necropolis, and the Troad Bronze Age site corpus does not list Assos.</t>
  </si>
  <si>
    <t xml:space="preserve">whc.unesco.org/en/tentativelists/6242; turkishmuseums.kprod.kultur.gov.tr (Assos); cnnturk.com (2019 axe find); Pavúk &amp; Schubert 2014, 'Die Troas in der Mittel- und Spätbronzezeit', Studia Troica Monogr. 5 (hdl.handle.net/10900/73590)</t>
  </si>
  <si>
    <t xml:space="preserve">C094</t>
  </si>
  <si>
    <t xml:space="preserve">Lamponia</t>
  </si>
  <si>
    <t xml:space="preserve">Λαμπώνεια</t>
  </si>
  <si>
    <t xml:space="preserve">Lamponion (Hdt.)</t>
  </si>
  <si>
    <t xml:space="preserve">Kozlu Dağ, near Ayvacık (Ayvacık, Çanakkale)</t>
  </si>
  <si>
    <t xml:space="preserve">c. 511 BC</t>
  </si>
  <si>
    <t xml:space="preserve">IACP (Troas); Athenian tribute lists; coins</t>
  </si>
  <si>
    <t xml:space="preserve">Herodotus calls it Lamponion; Strabo (13.1.58) says it was Aeolian.</t>
  </si>
  <si>
    <t xml:space="preserve">Hdt. 5.26; Strabo 13.1.58; IACP (Troas); Cook 1973; Pleiades 550678</t>
  </si>
  <si>
    <t xml:space="preserve">first attested c. 511 BC, taken by Otanes (Hdt. 5.26)</t>
  </si>
  <si>
    <t xml:space="preserve">Four Middle/Late Bronze Age sherds from Kozlu Dağ (Lamponeia) appear in the survey corpus, one of them analysed by NAA. The Greek circuit wall dates to the 6th c. BC.</t>
  </si>
  <si>
    <t xml:space="preserve">Pavúk &amp; Schubert 2014, Studia Troica Monogr. 5 (hdl.handle.net/10900/73590); Cook 1973; https://en.wikipedia.org/wiki/Lamponeia</t>
  </si>
  <si>
    <t xml:space="preserve">C095</t>
  </si>
  <si>
    <t xml:space="preserve">Gargara</t>
  </si>
  <si>
    <t xml:space="preserve">Γάργαρα</t>
  </si>
  <si>
    <t xml:space="preserve">Palaia Gargara (earlier site)</t>
  </si>
  <si>
    <t xml:space="preserve">near Arıklı, west of Küçükkuyu (Ayvacık, Çanakkale)</t>
  </si>
  <si>
    <t xml:space="preserve">Assians</t>
  </si>
  <si>
    <t xml:space="preserve">IACP (Troas); Athenian tribute lists; coins; Hierocles; bishops 553, 787</t>
  </si>
  <si>
    <t xml:space="preserve">The city moved from Palaia Gargara (upland) to the coastal site; Strabo says the kings later added settlers from Miletopolis, making it 'half-barbarian'.</t>
  </si>
  <si>
    <t xml:space="preserve">Strabo 13.1.58; IACP (Troas); Clarke 1888; Pleiades 550544</t>
  </si>
  <si>
    <t xml:space="preserve">first attested in the Athenian tribute lists (mid-5th c. BC); colony of Assos (Strabo 13.1.58), so Archaic in origin</t>
  </si>
  <si>
    <t xml:space="preserve">At the original (upland) Gargara the earliest remains are 6th c. BC walls and temple foundations. The coastal site near Arıklı is a 4th c. BC relocation. Alcman's mention of Leleges at Gargara is an ethnographic or legendary tradition only, and no prehistoric finds are reported.</t>
  </si>
  <si>
    <t xml:space="preserve">Cook 1973, 255-261; Stüpperich 1995; https://en.wikipedia.org/wiki/Gargara</t>
  </si>
  <si>
    <t xml:space="preserve">C096</t>
  </si>
  <si>
    <t xml:space="preserve">Antandrus</t>
  </si>
  <si>
    <t xml:space="preserve">Ἄντανδρος</t>
  </si>
  <si>
    <t xml:space="preserve">Edonis; Kimmeris (Aristotle ap. Pliny NH 5.123)</t>
  </si>
  <si>
    <t xml:space="preserve">Devren hill, between Avcılar and Altınoluk (Edremit, Balıkesir)</t>
  </si>
  <si>
    <t xml:space="preserve">Aeolians (probably from Lesbos/Mytilene)</t>
  </si>
  <si>
    <t xml:space="preserve">IACP (Troas); coins; Hierocles; bishops 553, 787</t>
  </si>
  <si>
    <t xml:space="preserve">Ancient traditions name Leleges (Alcaeus), Pelasgians (Hdt. 7.42), Edonian Thracians and Cimmerians as earlier inhabitants; the early material from the necropolis is reported as largely Greek. Later one of Mytilene's Aktaean cities.</t>
  </si>
  <si>
    <t xml:space="preserve">Hdt. 5.26; 7.42; Thuc. 4.52; 8.108; IACP (Troas); Pleiades 550433; Wikipedia: Antandrus</t>
  </si>
  <si>
    <t xml:space="preserve">Greek pottery in the necropolis from the late 8th/early 7th c. BC (recent excavations); Aeolian city (Thucydides); first attested c. 511 BC (Hdt. 5.26)</t>
  </si>
  <si>
    <t xml:space="preserve">C097</t>
  </si>
  <si>
    <t xml:space="preserve">Astyra</t>
  </si>
  <si>
    <t xml:space="preserve">Ἄστυρα</t>
  </si>
  <si>
    <t xml:space="preserve">Astyra in the Adramyttene; sanctuary of Artemis Astyrene</t>
  </si>
  <si>
    <t xml:space="preserve">coast between Antandros and Adramyttion, near Akçay (Edremit, Balıkesir)</t>
  </si>
  <si>
    <t xml:space="preserve">IACP (Troas: Astyra); Athenian tribute lists (Astyrenoi, partly 'Astyrenoi Mysoi'); coins 4th c. BC; Strabo 13.1.51, 13.1.65 (sanctuary of Artemis Astyrene)</t>
  </si>
  <si>
    <t xml:space="preserve">The tribute lists call the Astyrenoi partly 'Mysians', so a native community is implied. Attribution of the tribute entries and coins to this Astyra, rather than the Astyra above Abydos, is the usual view but not certain. Barrington offers two possible sites (550468 coastal, 550467 near Havran).</t>
  </si>
  <si>
    <t xml:space="preserve">Strabo 13.1.51; 13.1.65; IACP (Troas); ATL; Pleiades 550468</t>
  </si>
  <si>
    <t xml:space="preserve">Astyrenoi in the Athenian tribute lists (mid-5th c. BC); coins c. 400 BC (some with the name of Tissaphernes)</t>
  </si>
  <si>
    <t xml:space="preserve">C098</t>
  </si>
  <si>
    <t xml:space="preserve">Adramyttium</t>
  </si>
  <si>
    <t xml:space="preserve">Ἀδραμύττιον</t>
  </si>
  <si>
    <t xml:space="preserve">Atramyttion; Adramytteion; Edremit (medieval Adramyttion, rebuilt inland)</t>
  </si>
  <si>
    <t xml:space="preserve">Ören</t>
  </si>
  <si>
    <t xml:space="preserve">Ören, c. 4 km W of Burhaniye (Burhaniye, Balıkesir)</t>
  </si>
  <si>
    <t xml:space="preserve">Adramys, son of Alyattes of Lydia (Aristotle ap. Steph. Byz.); 'Athenian colony' (Strabo 13.1.51)</t>
  </si>
  <si>
    <t xml:space="preserve">IACP (Aiolis); coins; Roman assize centre (conventus); Hierocles; bishops 431-787 and to the 13th c.</t>
  </si>
  <si>
    <t xml:space="preserve">Origin disputed: Lydian royal foundation or Athenian colony. The medieval Roman town was rebuilt c. 13 km NE at Edremit (date debated: 1109 or after 1197); Edremit preserves the name. Pre-Greek naming is Lydian by tradition only, with no native-script form.</t>
  </si>
  <si>
    <t xml:space="preserve">Hdt. 7.42; Thuc. 5.1; Strabo 13.1.51; Pleiades 550403; Wikipedia: Adramyttium</t>
  </si>
  <si>
    <t xml:space="preserve">first attested 480 BC on Xerxes' route (Hdt. 7.42); traditions of a Lydian foundation by Adramys/Adramytes (6th c. BC) and of an Athenian colony (Strabo); Delian refugees settled 422 BC</t>
  </si>
  <si>
    <t xml:space="preserve">C099</t>
  </si>
  <si>
    <t xml:space="preserve">Cisthene</t>
  </si>
  <si>
    <t xml:space="preserve">Κισθήνη</t>
  </si>
  <si>
    <t xml:space="preserve">Kisthene</t>
  </si>
  <si>
    <t xml:space="preserve">Kızçiftlik, Gömeç plain (Gömeç, Balıkesir)</t>
  </si>
  <si>
    <t xml:space="preserve">Aeolians (metropolis unrecorded; Lesbian peraia?)</t>
  </si>
  <si>
    <t xml:space="preserve">Strabo 13.1.51; coins (4th c. BC, attributed)</t>
  </si>
  <si>
    <t xml:space="preserve">Site proposed by Beksaç's survey (1997) at Kızçiftlik, with surface finds from the Early Bronze Age to Late medieval Roman. Not confirmed as an IACP polis.</t>
  </si>
  <si>
    <t xml:space="preserve">Strabo 13.1.51; Beksaç 1999; Pleiades 550648; Wikipedia: Cisthene (Mysia)</t>
  </si>
  <si>
    <t xml:space="preserve">4th c. BC: coins attributed to Kisthene; Strabo (13.1.51) calls it a deserted city (polis) with a harbour</t>
  </si>
  <si>
    <t xml:space="preserve">C100</t>
  </si>
  <si>
    <t xml:space="preserve">Carene</t>
  </si>
  <si>
    <t xml:space="preserve">Καρήνη</t>
  </si>
  <si>
    <t xml:space="preserve">Karene; Karine</t>
  </si>
  <si>
    <t xml:space="preserve">Asar Kaya, near Altınova (Ayvalık, Balıkesir)</t>
  </si>
  <si>
    <t xml:space="preserve">IACP (Aiolis); Hdt. 7.42</t>
  </si>
  <si>
    <t xml:space="preserve">Site tentative. Close to the İzmir (Dikili) border; check for a duplicate in the ION batch.</t>
  </si>
  <si>
    <t xml:space="preserve">Hdt. 7.42; IACP (Aiolis); Pleiades 550621; Wikipedia: Carene (Mysia)</t>
  </si>
  <si>
    <t xml:space="preserve">first attested 480 BC on Xerxes' route (Hdt. 7.42); Ephorus says Karene sent settlers to Ephesus</t>
  </si>
  <si>
    <t xml:space="preserve">Site tentative (Asar Kaya/Taşağıl); no excavation and no recorded native predecessor.</t>
  </si>
  <si>
    <t xml:space="preserve">Pleiades 550621; Hdt. 7.42</t>
  </si>
  <si>
    <t xml:space="preserve">C101</t>
  </si>
  <si>
    <t xml:space="preserve">Birytis</t>
  </si>
  <si>
    <t xml:space="preserve">Βίρυτις</t>
  </si>
  <si>
    <t xml:space="preserve">Berysioi? (tribute lists)</t>
  </si>
  <si>
    <t xml:space="preserve">tentatively near Mersinoba (Merkez, Çanakkale)</t>
  </si>
  <si>
    <t xml:space="preserve">IACP (p. 1006); coins 4th-3rd c. BC; Athenian tribute lists (if = Berysioi)</t>
  </si>
  <si>
    <t xml:space="preserve">Site not securely identified. If the Berysioi of the tribute lists are the same people, the date goes back to 454 BC. Origin unrecorded.</t>
  </si>
  <si>
    <t xml:space="preserve">IACP p. 1006; Steph. Byz. s.v.; Pleiades 550486; Wikipedia: Birytis</t>
  </si>
  <si>
    <t xml:space="preserve">silver and bronze coins inscribed ΒΙΡΥ, 4th-3rd c. BC; probably the Berysioi of the tribute lists (454/3-446/5 BC)</t>
  </si>
  <si>
    <t xml:space="preserve">The site is unidentified: Barrington places it at Mersinoba (with '?'), while Cook and the LuwianSiteAtlas place it at Ada Tepe. Ada Tepe has a few weathered grey-ware sherds, probably Early Iron Age, which is not enough for a 'yes'.</t>
  </si>
  <si>
    <t xml:space="preserve">Pleiades 550486; Pavúk &amp; Schubert 2014, 'Die Troas in der Mittel- und Spätbronzezeit', Studia Troica Monogr. 5 (hdl.handle.net/10900/73590); LuwianSiteAtlas site 84</t>
  </si>
  <si>
    <t xml:space="preserve">C102</t>
  </si>
  <si>
    <t xml:space="preserve">Gentinus</t>
  </si>
  <si>
    <t xml:space="preserve">Γεντῖνος</t>
  </si>
  <si>
    <t xml:space="preserve">Gentinos</t>
  </si>
  <si>
    <t xml:space="preserve">Ballı Dağ, near Pınarbaşı (Çanakkale)</t>
  </si>
  <si>
    <t xml:space="preserve">c. 452 BC</t>
  </si>
  <si>
    <t xml:space="preserve">IACP (p. 1008); Athenian tribute lists 452/1-444/3 BC; bronze coins ΓΕΝ / ΓΕΝΤΙ</t>
  </si>
  <si>
    <t xml:space="preserve">Location at Ballı Dağ is tentative (Cook 1973; Barrington). Origin unrecorded.</t>
  </si>
  <si>
    <t xml:space="preserve">IACP p. 1008; ATL; Cook 1973; Pleiades 550546</t>
  </si>
  <si>
    <t xml:space="preserve">first attested in the Athenian tribute lists 452/1 BC (to 444/3)</t>
  </si>
  <si>
    <t xml:space="preserve">Late Bronze Age sherds from Ballı Dağ (Schliemann/Calvert trenches, published by Lamb) and clearer LBA surface finds on the east slope suggest occupation from middle Troy VI, though Pavúk &amp; Schubert call it still questionable. The Gentinos identification is itself tentative.</t>
  </si>
  <si>
    <t xml:space="preserve">Pavúk &amp; Schubert 2014, Studia Troica Monogr. 5 (hdl.handle.net/10900/73590); Korfmann 1996; Hohfeld 2009; Pleiades 550546</t>
  </si>
  <si>
    <t xml:space="preserve">C103</t>
  </si>
  <si>
    <t xml:space="preserve">Scamander (Scamandria)</t>
  </si>
  <si>
    <t xml:space="preserve">Σκάμανδρος</t>
  </si>
  <si>
    <t xml:space="preserve">Skamandreia / Scamandria (Pliny, 'civitas parva')</t>
  </si>
  <si>
    <t xml:space="preserve">Skamander valley near Ezine (Ezine, Çanakkale)</t>
  </si>
  <si>
    <t xml:space="preserve">c. AD 77</t>
  </si>
  <si>
    <t xml:space="preserve">Pliny NH 5.124; Hierocles</t>
  </si>
  <si>
    <t xml:space="preserve">Barrington gives separate sites for Hellenistic-Roman Skamandreia (Pleiades 550888, near Adatepe) and Late Roman Skamandros (550889), c. 4 km apart; treated here as one community. 4th c. BC bronzes are sometimes attributed to Skamandreia.</t>
  </si>
  <si>
    <t xml:space="preserve">Plin. NH 5.124; Hierocles, Synecdemus; Cook 1973; Pleiades 550889; 550888</t>
  </si>
  <si>
    <t xml:space="preserve">Pliny (NH 5.124) calls Scamandria a small city (civitas parva); listed by Hierocles (c. 527) as Skamandros</t>
  </si>
  <si>
    <t xml:space="preserve">The Late Roman Skamandros site is unexcavated. At Ada Tepe (Barrington's Skamandreia, which Cook and the LuwianSiteAtlas call Birytis), a few weathered grey-ware sherds are 'probably Early Iron Age rather than LBA', which is too ambiguous to count.</t>
  </si>
  <si>
    <t xml:space="preserve">Pavúk &amp; Schubert 2014, 'Die Troas in der Mittel- und Spätbronzezeit', Studia Troica Monogr. 5 (hdl.handle.net/10900/73590); LuwianSiteAtlas site 84; Pleiades 550888, 550889</t>
  </si>
  <si>
    <t xml:space="preserve">C104</t>
  </si>
  <si>
    <t xml:space="preserve">Neandria</t>
  </si>
  <si>
    <t xml:space="preserve">Νεάνδρεια</t>
  </si>
  <si>
    <t xml:space="preserve">Neandreia</t>
  </si>
  <si>
    <t xml:space="preserve">Çığrı Dağ (Ezine, Çanakkale)</t>
  </si>
  <si>
    <t xml:space="preserve">c. 550 BC</t>
  </si>
  <si>
    <t xml:space="preserve">IACP (Troas); Athenian tribute lists 454/3-410/9 BC; coins; Ps.-Skylax 96</t>
  </si>
  <si>
    <t xml:space="preserve">No 2nd-millennium occupation found. Synoecised into Antigoneia/Alexandria Troas c. 310 BC.</t>
  </si>
  <si>
    <t xml:space="preserve">Strabo 13.1.47; IACP (Troas); Schulz 2000; Pleiades 550772; Wikipedia: Neandreia</t>
  </si>
  <si>
    <t xml:space="preserve">earliest remains on Çığrı Dağ 6th c. BC, with Aeolic inscriptions and an Aeolic temple</t>
  </si>
  <si>
    <t xml:space="preserve">Excavation (Koldewey 1889) and the Münster survey/excavation of Çığrı Dağ found nothing earlier than the 6th c. BC and no 2nd-millennium occupation, so the Greek city appears to stand on new ground.</t>
  </si>
  <si>
    <t xml:space="preserve">Schwertheim 1994; Schulz 2000; Wiegartz 1994 (Asia Minor Studien 11); https://en.wikipedia.org/wiki/Neandreia</t>
  </si>
  <si>
    <t xml:space="preserve">C105</t>
  </si>
  <si>
    <t xml:space="preserve">Cocylium</t>
  </si>
  <si>
    <t xml:space="preserve">Κοκύλιον</t>
  </si>
  <si>
    <t xml:space="preserve">Kokylion</t>
  </si>
  <si>
    <t xml:space="preserve">tentatively near Karaev (Çanakkale)</t>
  </si>
  <si>
    <t xml:space="preserve">IACP (Troas); Xen. Hell. 3.1.16</t>
  </si>
  <si>
    <t xml:space="preserve">Site uncertain; Pliny (5.122) lists it among vanished Troad towns. Origin unrecorded.</t>
  </si>
  <si>
    <t xml:space="preserve">Xen. Hell. 3.1.16; Plin. NH 5.122; IACP (Troas); Pleiades 550658</t>
  </si>
  <si>
    <t xml:space="preserve">first attested 399 BC, joining Dercylidas with Ilion and Neandreia (Xen. Hell. 3.1.16)</t>
  </si>
  <si>
    <t xml:space="preserve">Site not securely located (near Karaev?) and unexplored; no evidence either way.</t>
  </si>
  <si>
    <t xml:space="preserve">Pleiades 550658; Barrington 56 C2</t>
  </si>
  <si>
    <t xml:space="preserve">C106</t>
  </si>
  <si>
    <t xml:space="preserve">Cebren</t>
  </si>
  <si>
    <t xml:space="preserve">Κεβρήν</t>
  </si>
  <si>
    <t xml:space="preserve">Kebrene; Antiocheia? (Seleucid refoundation)</t>
  </si>
  <si>
    <t xml:space="preserve">Çal Dağı / Fuğla Tepe (Bayramiç, Çanakkale)</t>
  </si>
  <si>
    <t xml:space="preserve">Kymaeans</t>
  </si>
  <si>
    <t xml:space="preserve">Kyme (Aeolis)</t>
  </si>
  <si>
    <t xml:space="preserve">IACP (Troas); coins from c. 500 BC; Athenian tribute lists; Xen. Hell. 3.1.17</t>
  </si>
  <si>
    <t xml:space="preserve">Moved into Antigoneia c. 310 BC; probably refounded as Antiocheia under Antiochus I (coins ΑΝΤΙΟΧΕΩΝ with Kebren types; Cohen 1995). Metropolis per Ephorus.</t>
  </si>
  <si>
    <t xml:space="preserve">Strabo 13.1.33; IACP (Troas); Cohen 1995; Cook 1973; Pleiades 550633</t>
  </si>
  <si>
    <t xml:space="preserve">Greek city by c. 500 BC (earliest silver coins, ram's head); Athenian tribute lists; colony of Aeolian Kyme (Ephorus)</t>
  </si>
  <si>
    <t xml:space="preserve">Jewell (1974) recorded 2nd-millennium BC surface material at Çal Dağ (Kebren) and judged it the largest Bronze Age site in the Troad; later surveys neither confirmed nor refuted this.</t>
  </si>
  <si>
    <t xml:space="preserve">Jewell 1974 (diss.), cited in Pavúk &amp; Schubert 2014, Studia Troica Monogr. 5 (hdl.handle.net/10900/73590); LuwianSiteAtlas site 39</t>
  </si>
  <si>
    <t xml:space="preserve">C107</t>
  </si>
  <si>
    <t xml:space="preserve">Scepsis</t>
  </si>
  <si>
    <t xml:space="preserve">Σκῆψις</t>
  </si>
  <si>
    <t xml:space="preserve">Palaiskepsis (older upland site)</t>
  </si>
  <si>
    <t xml:space="preserve">Kurşunlu</t>
  </si>
  <si>
    <t xml:space="preserve">Kurşunlu Tepe, Kurşunlu village (Bayramiç, Çanakkale)</t>
  </si>
  <si>
    <t xml:space="preserve">Milesians (joined an earlier community; local tradition: Skamandrios and Askanios)</t>
  </si>
  <si>
    <t xml:space="preserve">IACP (Troas); coins from c. 480 BC; Athenian tribute lists; home of Demetrius of Skepsis; bishop 431</t>
  </si>
  <si>
    <t xml:space="preserve">Moved to Antigoneia by Antigonus and restored by Lysimachus. Local tradition makes Aeneas' descendants the founders; Strabo lists Skepsis among Milesian colonies.</t>
  </si>
  <si>
    <t xml:space="preserve">Strabo 13.1.52; 14.1.6; IACP (Troas); Cook 1973; Pleiades 550890</t>
  </si>
  <si>
    <t xml:space="preserve">coins from c. 480 BC; Athenian tribute lists; Milesian settlers (Strabo 14.1.6) joined the community</t>
  </si>
  <si>
    <t xml:space="preserve">The Kurşunlu Tepe site has no reported pre-Greek finds. Strabo's tradition that Skamandrios and Askanios moved the Skepsians down from Palaiskepsis is legendary, and the Milesian settlement is undated.</t>
  </si>
  <si>
    <t xml:space="preserve">Strabo 13.1.52, 14.1.6; https://en.wikipedia.org/wiki/Scepsis; Pleiades 550890</t>
  </si>
  <si>
    <t xml:space="preserve">C108</t>
  </si>
  <si>
    <t xml:space="preserve">Gergis</t>
  </si>
  <si>
    <t xml:space="preserve">Γέργις</t>
  </si>
  <si>
    <t xml:space="preserve">Gergitha; Gergithes (people)</t>
  </si>
  <si>
    <t xml:space="preserve">near Yiğitler (Bayramiç, Çanakkale)</t>
  </si>
  <si>
    <t xml:space="preserve">IACP (Troas); coins c. 400 BC; Athenian tribute lists (Gergithioi); Hierocles</t>
  </si>
  <si>
    <t xml:space="preserve">Herodotus (5.122; 7.43) calls the Gergithes a remnant of the ancient Teucrians, that is a non-Greek people. Attalus I moved part of the population to Gergitha near the Kaikos. Site location approximate.</t>
  </si>
  <si>
    <t xml:space="preserve">Hdt. 5.122; 7.43; Xen. Hell. 3.1.15; Strabo 13.1.70; IACP (Troas); Pleiades 550547</t>
  </si>
  <si>
    <t xml:space="preserve">Greek coin legends (ΓΕΡ, head of the Sibyl) from c. 400 BC; fortified town in 399 BC (Xen. Hell. 3.1.15)</t>
  </si>
  <si>
    <t xml:space="preserve">C109</t>
  </si>
  <si>
    <t xml:space="preserve">Azeia</t>
  </si>
  <si>
    <t xml:space="preserve">Ἄζεια</t>
  </si>
  <si>
    <t xml:space="preserve">Azeiotai (Hellanicus)</t>
  </si>
  <si>
    <t xml:space="preserve">unlocated (Troad)</t>
  </si>
  <si>
    <t xml:space="preserve">IACP (p. 1006); Athenian tribute lists 452/1-415/4 BC</t>
  </si>
  <si>
    <t xml:space="preserve">Polis status is secure but the site is unknown; coordinates are the centre of the Troad. Province (il) assumed.</t>
  </si>
  <si>
    <t xml:space="preserve">IACP p. 1006; ATL; Steph. Byz. s.v. Ἀζεία; Wikipedia: Azeia</t>
  </si>
  <si>
    <t xml:space="preserve">first attested in the Athenian tribute lists 452/1 BC (to 415/4)</t>
  </si>
  <si>
    <t xml:space="preserve">Unlocated; no archaeological evidence possible.</t>
  </si>
  <si>
    <t xml:space="preserve">IACP (Hansen &amp; Nielsen 2004) s.v. Azeia</t>
  </si>
  <si>
    <t xml:space="preserve">C110</t>
  </si>
  <si>
    <t xml:space="preserve">Polichna</t>
  </si>
  <si>
    <t xml:space="preserve">Πολίχνα</t>
  </si>
  <si>
    <t xml:space="preserve">Polichne</t>
  </si>
  <si>
    <t xml:space="preserve">unlocated, upper Aesepus (Gönen Çayı) valley (Çanakkale/Balıkesir)</t>
  </si>
  <si>
    <t xml:space="preserve">Strabo 13.1.45; Pliny NH 5.122; Hierocles 662</t>
  </si>
  <si>
    <t xml:space="preserve">If the classical Polichna that IACP lists for the Troad is this town, greek_from goes back to the 5th c. BC; not verified here. Site unknown; coordinates and province are guesses for the upper Aesepus valley.</t>
  </si>
  <si>
    <t xml:space="preserve">Strabo 13.1.45; Hierocles 662; Wikipedia: Polichna (Troad)</t>
  </si>
  <si>
    <t xml:space="preserve">walled place (teichos) in Strabo 13.1.45; named by Pliny (NH 5.122); city in Hierocles (c. 527)</t>
  </si>
  <si>
    <t xml:space="preserve">Strabo 13.1.45; Pliny NH 5.122</t>
  </si>
  <si>
    <t xml:space="preserve">C111</t>
  </si>
  <si>
    <t xml:space="preserve">Zeleia</t>
  </si>
  <si>
    <t xml:space="preserve">Ζέλεια</t>
  </si>
  <si>
    <t xml:space="preserve">Zele</t>
  </si>
  <si>
    <t xml:space="preserve">Sarıköy</t>
  </si>
  <si>
    <t xml:space="preserve">Sarıköy (Gönen, Balıkesir)</t>
  </si>
  <si>
    <t xml:space="preserve">c. 470 BC</t>
  </si>
  <si>
    <t xml:space="preserve">IACP (Propontic coast); decree of boule and demos c. 334 BC (Syll.3 279); Arrian 1.12.8</t>
  </si>
  <si>
    <t xml:space="preserve">Homer's Zeleia of the 'Lycians' under Pandaros (Il. 2.824-827) implies a pre-Greek town, but that is epic tradition only. Persian base before the Granicus (334 BC); disappears after Strabo.</t>
  </si>
  <si>
    <t xml:space="preserve">Dem. 9.42; Syll.3 279; Arrian, Anab. 1.12.8; IACP (Propontic coast); Pleiades 511461</t>
  </si>
  <si>
    <t xml:space="preserve">c. 470/460 BC: Arthmios son of Pythonax of Zeleia outlawed by Athens (Dem. 9.42); civic decree c. 334 BC (Syll.3 279)</t>
  </si>
  <si>
    <t xml:space="preserve">C112</t>
  </si>
  <si>
    <t xml:space="preserve">Baris (in Hellesponto)</t>
  </si>
  <si>
    <t xml:space="preserve">Βάρις</t>
  </si>
  <si>
    <t xml:space="preserve">Gönen</t>
  </si>
  <si>
    <t xml:space="preserve">Gönen town (Gönen, Balıkesir)</t>
  </si>
  <si>
    <t xml:space="preserve">c. AD 451</t>
  </si>
  <si>
    <t xml:space="preserve">Hierocles; bishops 451, 458; suffragan of Cyzicus (Notitia c. 640)</t>
  </si>
  <si>
    <t xml:space="preserve">Barrington places Baris at Gönen; Pleiades periods suggest Hellenistic-Roman occupation, but civic status is attested only in Late Antiquity.</t>
  </si>
  <si>
    <t xml:space="preserve">Price &amp; Gaddis 2005 (Chalcedon); Hierocles; Pleiades 511178; Wikipedia: Baris in Hellesponto</t>
  </si>
  <si>
    <t xml:space="preserve">first bishop attested at Chalcedon 451 (Eutychianus); city in Hierocles</t>
  </si>
  <si>
    <t xml:space="preserve">Baris is placed at Gönen only by the Barrington Atlas, and nothing pre-Roman is reported from the town. The LuwianSiteAtlas links Baris (Pleiades 511178) to Tütüncüyolu Üyücek, a höyük with Chalcolithic, EBA, LBA, Roman and Byzantine levels, but it lies c. 5 km SE of Gönen. If Baris was actually at that mound it would be a 'yes', but this is not established.</t>
  </si>
  <si>
    <t xml:space="preserve">LuwianSiteAtlas (Zangger &amp; Aşınmaz, Zenodo 10.5281/zenodo.17128262) site 186 + pleiades.csv; Pleiades 511178; en.wikipedia.org/wiki/Gönen</t>
  </si>
  <si>
    <t xml:space="preserve">C113</t>
  </si>
  <si>
    <t xml:space="preserve">Poemanenum</t>
  </si>
  <si>
    <t xml:space="preserve">Ποιμανηνόν</t>
  </si>
  <si>
    <t xml:space="preserve">Poimanenon; Poimanenos (Niketas Choniates)</t>
  </si>
  <si>
    <t xml:space="preserve">Eskimanyas</t>
  </si>
  <si>
    <t xml:space="preserve">Eski Manyas (Manyas, Balıkesir)</t>
  </si>
  <si>
    <t xml:space="preserve">Pliny NH 5.123; Hierocles 662; bishops 451, 680, 787; medieval Roman fortress (battle of Poimanenon 1224)</t>
  </si>
  <si>
    <t xml:space="preserve">In the territory of Cyzicus, with a noted Asklepieion. A link between the name Manyas and Poimanenon has been suggested but is not verified, so turkish_from is left as 'unrelated'.</t>
  </si>
  <si>
    <t xml:space="preserve">Plin. NH 5.123; Hierocles 662; Hasluck 1909; Pleiades 511368</t>
  </si>
  <si>
    <t xml:space="preserve">Poemaneni listed by Pliny (NH 5.123); earlier a fortified dependency of Cyzicus (Steph. Byz.)</t>
  </si>
  <si>
    <t xml:space="preserve">Hasluck located Poimanenon at the Byzantine castle of Eski Manyas; the site is unexcavated and no pre-Greek settlement or name is recorded (Radet's link to the Macedonian Poemenii is only an etymology).</t>
  </si>
  <si>
    <t xml:space="preserve">Hasluck, JHS 26 (1906) 23-31; Pleiades 511368</t>
  </si>
  <si>
    <t xml:space="preserve">C114</t>
  </si>
  <si>
    <t xml:space="preserve">Argiza</t>
  </si>
  <si>
    <t xml:space="preserve">Ἄργιζα</t>
  </si>
  <si>
    <t xml:space="preserve">Argesis (Tabula Peutingeriana); Erizii? (Pliny)</t>
  </si>
  <si>
    <t xml:space="preserve">near Pazarköy (Yenice, Çanakkale)</t>
  </si>
  <si>
    <t xml:space="preserve">Hierocles; bishopric (Notitiae)</t>
  </si>
  <si>
    <t xml:space="preserve">Probably a Mysian community. If Pliny's Erizii (5.123, conventus of Adramyttium) are the same people, it is attested in the 1st c. AD. Not in the seed.</t>
  </si>
  <si>
    <t xml:space="preserve">Hierocles; Plin. NH 5.123; RE II.1 721; Pleiades 550450</t>
  </si>
  <si>
    <t xml:space="preserve">city in Hierocles (c. 527); later a bishopric</t>
  </si>
  <si>
    <t xml:space="preserve">C115</t>
  </si>
  <si>
    <t xml:space="preserve">Pionia</t>
  </si>
  <si>
    <t xml:space="preserve">Πιονία</t>
  </si>
  <si>
    <t xml:space="preserve">Pioniai</t>
  </si>
  <si>
    <t xml:space="preserve">near Gömeniç (Balıkesir)</t>
  </si>
  <si>
    <t xml:space="preserve">c. 30 BC</t>
  </si>
  <si>
    <t xml:space="preserve">Pionis, a Heraclid (local legend)</t>
  </si>
  <si>
    <t xml:space="preserve">coins (RPC I 1348 and later); Hierocles 663; bishop at Ephesus 431, Chalcedon 451</t>
  </si>
  <si>
    <t xml:space="preserve">Site at Gömeniç (L. Robert; Barrington). Some coins may be Hellenistic; the earliest date is not fixed here.</t>
  </si>
  <si>
    <t xml:space="preserve">RPC I 1348; Paus. 9.18.4; Hierocles 663; Pleiades 550832; Wikipedia: Pionia (Mysia)</t>
  </si>
  <si>
    <t xml:space="preserve">civic coins ΠΙΟΝΙΤΩΝ of the early Imperial period (RPC I 1348); named by Strabo (p. 610 Cas.) and Pausanias (9.18.4)</t>
  </si>
  <si>
    <t xml:space="preserve">C116</t>
  </si>
  <si>
    <t xml:space="preserve">Germe</t>
  </si>
  <si>
    <t xml:space="preserve">Γέρμη</t>
  </si>
  <si>
    <t xml:space="preserve">Hiera Germe; Germa in Hellesponto</t>
  </si>
  <si>
    <t xml:space="preserve">near Karaçam, east of Savaştepe (Savaştepe, Balıkesir)</t>
  </si>
  <si>
    <t xml:space="preserve">c. AD 150</t>
  </si>
  <si>
    <t xml:space="preserve">Ptolemy 5.2.14; Hierocles 663; bishops at Ephesus 431, Chalcedon 451, Nicaea 787; suffragan of Cyzicus</t>
  </si>
  <si>
    <t xml:space="preserve">Civic coins with ΓΕΡΜΗΝΩΝ (Domitian onward) may belong here or to another Germe; not used for the date. The seed puts the see at Savaştepe town, about 4 km west of the Barrington location.</t>
  </si>
  <si>
    <t xml:space="preserve">Ptol. 5.2.14; Hierocles 663; Pleiades 550577; Wikipedia: Germe (Mysia)</t>
  </si>
  <si>
    <t xml:space="preserve">first attested as a city in the 2nd c. AD (Ptolemy 5.2.14)</t>
  </si>
  <si>
    <t xml:space="preserve">C117</t>
  </si>
  <si>
    <t xml:space="preserve">Hadrianutherae</t>
  </si>
  <si>
    <t xml:space="preserve">Ἁδριανοῦ Θῆραι</t>
  </si>
  <si>
    <t xml:space="preserve">Hadrianoutherai</t>
  </si>
  <si>
    <t xml:space="preserve">Balıkesir city (Karesi/Altıeylül, Balıkesir)</t>
  </si>
  <si>
    <t xml:space="preserve">Karesi</t>
  </si>
  <si>
    <t xml:space="preserve">c. AD 124</t>
  </si>
  <si>
    <t xml:space="preserve">coins from Hadrian onward (mention a boule); Hierocles 663; bishops 451, 553, 680, 787</t>
  </si>
  <si>
    <t xml:space="preserve">Usually located at or just outside modern Balıkesir. The often-cited derivation of 'Balıkesir' from medieval Roman Palaiokastron is uncertain and does not continue the ancient name.</t>
  </si>
  <si>
    <t xml:space="preserve">Cass. Dio 69.10; HA Hadr. 20; Hierocles 663; Pleiades 550560; Robert 1962</t>
  </si>
  <si>
    <t xml:space="preserve">founded by Hadrian c. 124 AD to mark a successful hunt (Cass. Dio 69.10; HA Hadr. 20)</t>
  </si>
  <si>
    <t xml:space="preserve">Cassius Dio 69.10 and HA Hadr. 20.13 say Hadrian founded the city where he had a successful (bear) hunt, which suggests a new foundation. But the site near Balıkesir is not fixed, and the LuwianSiteAtlas links Hadrianoutherai to two nearby Bronze Age mounds with later levels: Ovaköy Üyücek (EBA-LBA, Roman, Byzantine; c. 5 km E of Balıkesir) and Emre Mevkii. So there is no positive evidence of new ground; previously 'no known'.</t>
  </si>
  <si>
    <t xml:space="preserve">Cass. Dio 69.10; HA Hadr. 20.13; LuwianSiteAtlas sites 183, 184 + pleiades.csv (Zenodo 17128262); acikbilim.yok.gov.tr/handle/20.500.12812/147588</t>
  </si>
  <si>
    <t xml:space="preserve">C118</t>
  </si>
  <si>
    <t xml:space="preserve">Attaea</t>
  </si>
  <si>
    <t xml:space="preserve">Ἀτταία</t>
  </si>
  <si>
    <t xml:space="preserve">Attaia; coins ΑΤΤΑΙΤΩΝ / ΑΤΤΕΑΤΩΝ</t>
  </si>
  <si>
    <t xml:space="preserve">Barrington: between Kepsut and Bigadiç (Balıkesir); RE: Ayazment near Altınova (Ayvalık, Balıkesir)</t>
  </si>
  <si>
    <t xml:space="preserve">c. AD 200</t>
  </si>
  <si>
    <t xml:space="preserve">Roman provincial coins; bishopric, suffragan of Ephesus (Notitiae)</t>
  </si>
  <si>
    <t xml:space="preserve">Location disputed: Barrington puts the coin-issuing city inland (56 G2) and a separate 'Attea?' near Atarneus (Pleiades 550473), while RE (Bürchner) puts it at Ayazment near the coast. Both are in Balıkesir. The coins may begin before Caracalla.</t>
  </si>
  <si>
    <t xml:space="preserve">RE II.2 2154 (Bürchner); Pleiades 550474; 550473; Wikipedia: Attaea</t>
  </si>
  <si>
    <t xml:space="preserve">civic coins (ΑΤΤΑΙΤΩΝ, ΑΤΤΕΑΤΩΝ) of the Severan period</t>
  </si>
  <si>
    <t xml:space="preserve">C119</t>
  </si>
  <si>
    <t xml:space="preserve">Hadrianeia</t>
  </si>
  <si>
    <t xml:space="preserve">Ἁδριάνεια</t>
  </si>
  <si>
    <t xml:space="preserve">Hadriane (council list)</t>
  </si>
  <si>
    <t xml:space="preserve">Dursunbey</t>
  </si>
  <si>
    <t xml:space="preserve">Dursunbey town (Dursunbey, Balıkesir)</t>
  </si>
  <si>
    <t xml:space="preserve">Hadrianic city name; bishop at Nicaea 787 (seed); Barrington 62 A2</t>
  </si>
  <si>
    <t xml:space="preserve">The foundation is inferred from the name and Hadrian's 124 AD journey, not from an explicit text. The council list puts the see under Bithynia, while Hierocles' province is unverified. Not to be confused with Hadrianoi (Orhaneli, Bursa) or Hadrianoutherai.</t>
  </si>
  <si>
    <t xml:space="preserve">Barrington 62 A2; Pleiades 609395; Wikipedia: Hadrianeia</t>
  </si>
  <si>
    <t xml:space="preserve">Hadrianic foundation, one of three Mysian cities named after Hadrian (c. 124 AD)</t>
  </si>
  <si>
    <t xml:space="preserve">Hadrianic foundation inferred from the name; Dursunbey is unexcavated and no earlier settlement or new-site statement is known.</t>
  </si>
  <si>
    <t xml:space="preserve">Pleiades 609395</t>
  </si>
  <si>
    <t xml:space="preserve">C121</t>
  </si>
  <si>
    <t xml:space="preserve">Perperene</t>
  </si>
  <si>
    <t xml:space="preserve">Περπερήνη</t>
  </si>
  <si>
    <t xml:space="preserve">Theodosioupolis (Hierocles 661)</t>
  </si>
  <si>
    <t xml:space="preserve">near Aşağıbey, Kozak plateau (Bergama, İzmir)</t>
  </si>
  <si>
    <t xml:space="preserve">İzmir</t>
  </si>
  <si>
    <t xml:space="preserve">Aegean</t>
  </si>
  <si>
    <t xml:space="preserve">Hellenistic &amp; Roman coins; Strabo 13.1.51; Hierocles 661; bishop 451</t>
  </si>
  <si>
    <t xml:space="preserve">Non-Greek name in inland Mysia; native origin is inferred, not documented (older literature calls it an Aeolian colony). Earliest dated civic evidence not verified here; the 4th-c. date is a rough estimate.</t>
  </si>
  <si>
    <t xml:space="preserve">Pleiades 550814; Strabo 13.1.51; Hierocles 661; Wikipedia: Perperene</t>
  </si>
  <si>
    <t xml:space="preserve">Classical-period town (Pleiades/BAtlas); securely a Greek city by the Hellenistic period (coins); renamed Theodosioupolis in Late Antiquity</t>
  </si>
  <si>
    <t xml:space="preserve">C122</t>
  </si>
  <si>
    <t xml:space="preserve">Gambrium (Gambreion)</t>
  </si>
  <si>
    <t xml:space="preserve">Γάμβρειον</t>
  </si>
  <si>
    <t xml:space="preserve">Hisarlık hill near Poyracık (Kınık, İzmir)</t>
  </si>
  <si>
    <t xml:space="preserve">IACP (Aiolis/SW Mysia); Xen. Hell. 3.1.6; coins 4th c. BC and Roman; civic decree on mourning (3rd c. BC)</t>
  </si>
  <si>
    <t xml:space="preserve">Pleiades coordinates are a grid placeholder; the site is the Hisarlık hill at Poyracık in the Bakırçay valley. Neighbouring Palaigambreion (Xen.) is unlocated.</t>
  </si>
  <si>
    <t xml:space="preserve">Xen. Hell. 3.1.6; Pleiades 550542; Wikipedia: Gambrion</t>
  </si>
  <si>
    <t xml:space="preserve">Held by the Gongylid family (Greek dynasts under Persia) since Xerxes; first attested c. 399 BC (Xen. Hell. 3.1.6); coins 4th c. BC; famous sumptuary-law inscription (3rd c. BC)</t>
  </si>
  <si>
    <t xml:space="preserve">C123</t>
  </si>
  <si>
    <t xml:space="preserve">Pergamon (Pergamum)</t>
  </si>
  <si>
    <t xml:space="preserve">Πέργαμον</t>
  </si>
  <si>
    <t xml:space="preserve">Pergamos</t>
  </si>
  <si>
    <t xml:space="preserve">Bergama</t>
  </si>
  <si>
    <t xml:space="preserve">Bergama (İzmir)</t>
  </si>
  <si>
    <t xml:space="preserve">(legend: Telephos' Arcadians; Pergamos son of Neoptolemos)</t>
  </si>
  <si>
    <t xml:space="preserve">IACP (Aiolis/SW Mysia); coins c. 450 BC on; Attalid capital 281–133 BC; Hierocles; bishops from 1st/2nd c. AD; metropolis under Isaac II</t>
  </si>
  <si>
    <t xml:space="preserve">Bronze Age habitation not demonstrated on the acropolis. Whether the Archaic settlement was Greek or Mysian is unclear. Refortified by Constans II (663/4) and Manuel I (c. 1170); taken by the Karasids soon after 1300.</t>
  </si>
  <si>
    <t xml:space="preserve">IACP (Aiolis); Xen. Anab. 7.8.8; Pleiades 550812; Wikipedia: Pergamon</t>
  </si>
  <si>
    <t xml:space="preserve">Settlement from the late 8th c. BC (East Greek and Corinthian imports); first Greek coin legend ΠΕΡΓ c. 450 BC under the Gongylid dynasts; Xen. Anab. 7.8.8 (399 BC)</t>
  </si>
  <si>
    <t xml:space="preserve">Changed from 'no known'. Bronze Age habitation on the acropolis is not demonstrated (Bronze Age stone tools only in the surroundings). The earliest settlement is late 8th-c. BC, with East Greek and Corinthian imports, but whether it was Aeolian or Mysian is unresolved. So there is no positive evidence either of new ground or of a native nucleus.</t>
  </si>
  <si>
    <t xml:space="preserve">https://en.wikipedia.org/wiki/Pergamon (citing Pirson); https://www.dailysabah.com/life/history/new-findings-to-change-history-of-pergamon-ancient-city/amp</t>
  </si>
  <si>
    <t xml:space="preserve">C124</t>
  </si>
  <si>
    <t xml:space="preserve">Teuthrania</t>
  </si>
  <si>
    <t xml:space="preserve">Τευθρανία</t>
  </si>
  <si>
    <t xml:space="preserve">Kalarga Tepe, Kaikos plain SW of Bergama (Bergama, İzmir)</t>
  </si>
  <si>
    <t xml:space="preserve">IACP (Aiolis/SW Mysia); Xen. Hell. 3.1.6, Anab. 7.8.17; coins 4th c. BC</t>
  </si>
  <si>
    <t xml:space="preserve">Legendary seat of the Mysian king Teuthras; native (Mysian) origin follows the tradition. Identification with Kalarga Tepe from the DAI Pergamon micro-region survey.</t>
  </si>
  <si>
    <t xml:space="preserve">Xen. Hell. 3.1.6; Strabo 13.1.69; Pleiades 550916; Wikipedia: Teuthrania</t>
  </si>
  <si>
    <t xml:space="preserve">Given by Darius/Xerxes to the exiled Spartan king Demaratos (c. 486 BC); held by his descendants, attested c. 399 BC (Xen. Hell. 3.1.6); 4th-c. coins</t>
  </si>
  <si>
    <t xml:space="preserve">C125</t>
  </si>
  <si>
    <t xml:space="preserve">Halisarna</t>
  </si>
  <si>
    <t xml:space="preserve">Ἁλίσαρνα</t>
  </si>
  <si>
    <t xml:space="preserve">Kaikos valley W of Bergama (Bergama, İzmir)</t>
  </si>
  <si>
    <t xml:space="preserve">IACP (Aiolis/SW Mysia); Xen. Hell. 3.1.6; coins 4th c. BC</t>
  </si>
  <si>
    <t xml:space="preserve">Non-Greek name; native origin inferred. Site placement follows BAtlas.</t>
  </si>
  <si>
    <t xml:space="preserve">Xen. Hell. 3.1.6; Pleiades 550562</t>
  </si>
  <si>
    <t xml:space="preserve">Demaratid town attested c. 399 BC (Xen. Hell. 3.1.6); coins 4th c. BC</t>
  </si>
  <si>
    <t xml:space="preserve">C126</t>
  </si>
  <si>
    <t xml:space="preserve">Aeolis and Ionia</t>
  </si>
  <si>
    <t xml:space="preserve">Aeolis</t>
  </si>
  <si>
    <t xml:space="preserve">Pordoselene (Nasos)</t>
  </si>
  <si>
    <t xml:space="preserve">Ποροσελήνη</t>
  </si>
  <si>
    <t xml:space="preserve">Nasos / Nesos (Aeolic Νᾶσος, the city); Poroselene (Late Roman see); Cunda / Moschonisi (island)</t>
  </si>
  <si>
    <t xml:space="preserve">southern part of Cunda (Alibey) island (Ayvalık, Balıkesir)</t>
  </si>
  <si>
    <t xml:space="preserve">Aeolians of Lesbos</t>
  </si>
  <si>
    <t xml:space="preserve">IACP (Lesbos chapter: Nasos); Thersippos decree (OGIS 4); Strabo 13.2.5; see of Poroselene (Notitiae)</t>
  </si>
  <si>
    <t xml:space="preserve">Pleiades notes there may have been two cities on the island. The date given is a minimum; Lesbian settlement is probably Archaic.</t>
  </si>
  <si>
    <t xml:space="preserve">OGIS 4; Strabo 13.2.5; IACP (Lesbos); Pleiades 550841</t>
  </si>
  <si>
    <t xml:space="preserve">Classical Aeolian island town; civic decree of the Nasiotai for Thersippos c. 319 BC (OGIS 4)</t>
  </si>
  <si>
    <t xml:space="preserve">Survey on Cunda (Alibey) island has published only Palaeolithic lithics. No Bronze Age or other pre-Greek settlement is reported at the city site.</t>
  </si>
  <si>
    <t xml:space="preserve">Pleiades 550841; 'Discovering the Paleolithic Ayvalık' (Ankara/Hacettepe avesis)</t>
  </si>
  <si>
    <t xml:space="preserve">C127</t>
  </si>
  <si>
    <t xml:space="preserve">Atarneus</t>
  </si>
  <si>
    <t xml:space="preserve">Ἀταρνεύς</t>
  </si>
  <si>
    <t xml:space="preserve">Kale Tepe (Kalemkaya), NE of Dikili (Dikili, İzmir)</t>
  </si>
  <si>
    <t xml:space="preserve">c. 546 BC</t>
  </si>
  <si>
    <t xml:space="preserve">IACP (Aiolis/SW Mysia); Hdt. 1.160, 8.106; Xen. Hell. 3.2.11; 4th-c. coins; seat of Hermias (4th c.)</t>
  </si>
  <si>
    <t xml:space="preserve">Herodotus calls Atarneus a district of Mysia opposite Lesbos; whether it was Greek before the Chian grant is unknown. Deserted by Pliny's day (1st c. AD).</t>
  </si>
  <si>
    <t xml:space="preserve">IACP (Aiolis); Hdt. 1.160; Pleiades 550469; Wikipedia: Atarneus</t>
  </si>
  <si>
    <t xml:space="preserve">Given with its territory (Atarneitis) to Chios by the Persians c. 546 BC (Hdt. 1.160); Greek polis thereafter; coins 4th c. BC</t>
  </si>
  <si>
    <t xml:space="preserve">C128</t>
  </si>
  <si>
    <t xml:space="preserve">Kane (Canae)</t>
  </si>
  <si>
    <t xml:space="preserve">Κάναι</t>
  </si>
  <si>
    <t xml:space="preserve">Autokane? (Αὐτοκάνη; IACP polis with 4th-c. coins ΑΥΤΟΚΑΝΑΙΩΝ, unlocated, named after Mt Kane)</t>
  </si>
  <si>
    <t xml:space="preserve">Kane promontory (Kara Dağ peninsula), near Bademli (Dikili, İzmir)</t>
  </si>
  <si>
    <t xml:space="preserve">Lokrians from Kynos (Strabo 13.1.68)</t>
  </si>
  <si>
    <t xml:space="preserve">Kynos (Opuntian Locris)</t>
  </si>
  <si>
    <t xml:space="preserve">Strabo 13.1.68 (polichnion); Livy 36.45; Pliny 5.122 (deserted); Autokane: IACP p. 1040, 4th-c. coins</t>
  </si>
  <si>
    <t xml:space="preserve">City status rests on identifying Kane with the IACP polis Autokane (coins ΑΥΤΟΚΑΝΑ/ΑΥΤΟΚΑΝΑΙΩΝ), which is unlocated but named after Mt Kane; if they are different, Autokane is a separate unlocated polis in this area. Site located by DAI survey (Pirson) 2015.</t>
  </si>
  <si>
    <t xml:space="preserve">Strabo 13.1.68; IACP p. 1040 (Autokane); Wikipedia: Canae; Wikipedia: Autokane; DAI Pergamon micro-region survey (Pirson)</t>
  </si>
  <si>
    <t xml:space="preserve">Lokrian foundation from Kynos (Strabo 13.1.68), undated; if = Autokane, coins c. 400–300 BC; town attested 191 BC (Livy 36.45); survey shows Hellenistic–early Roman town of c. 8 ha</t>
  </si>
  <si>
    <t xml:space="preserve">The DAI Kane survey (Pirson et al.) and harbour geoarchaeology describe a c. 8 ha town with finds from the Hellenistic–early Roman period onward. No pre-Greek material is reported, but the publications do not say the site was virgin ground, and the Lokrian foundation is undated.</t>
  </si>
  <si>
    <t xml:space="preserve">Fediuk et al. 2019, Kane harbour (ancientportsantiques.com/.../Kane-Fediuk2019.pdf); knowledge: Pirson, AA 2015–2017 (Kane survey)</t>
  </si>
  <si>
    <t xml:space="preserve">C129</t>
  </si>
  <si>
    <t xml:space="preserve">Pitane</t>
  </si>
  <si>
    <t xml:space="preserve">Πιτάνη</t>
  </si>
  <si>
    <t xml:space="preserve">Çandarlı</t>
  </si>
  <si>
    <t xml:space="preserve">Çandarlı (Dikili, İzmir)</t>
  </si>
  <si>
    <t xml:space="preserve">c. 1000 BC</t>
  </si>
  <si>
    <t xml:space="preserve">1 Mycenaeans and migrations (to c. 760 BC)</t>
  </si>
  <si>
    <t xml:space="preserve">IACP (Aiolis); Hdt. 1.149; coins; Hierocles; bishops 451, 787</t>
  </si>
  <si>
    <t xml:space="preserve">Late Bronze Age finds including Mycenaean-type (LH IIIC) pottery come from Çandarlı, but no Mycenaean settlement is shown; dated here from the Aeolian city.</t>
  </si>
  <si>
    <t xml:space="preserve">IACP (Aiolis); Hdt. 1.149; Pleiades 550833; Wikipedia: Pitane (Aeolis)</t>
  </si>
  <si>
    <t xml:space="preserve">one of the old Aeolian cities (Hdt. 1.149); settled in the Aeolian migration, by tradition soon after Kyme (c. 1050 BC); no individual foundation date, so c. 1000 BC</t>
  </si>
  <si>
    <t xml:space="preserve">C130</t>
  </si>
  <si>
    <t xml:space="preserve">Elaea (Elaia)</t>
  </si>
  <si>
    <t xml:space="preserve">Ἐλαία</t>
  </si>
  <si>
    <t xml:space="preserve">Kidainis? (Steph. Byz., probably corrupt)</t>
  </si>
  <si>
    <t xml:space="preserve">Kazıkbağları near Zeytindağ (Bergama, İzmir)</t>
  </si>
  <si>
    <t xml:space="preserve">Menestheus and Athenians (legend, Strabo 13.3.5)</t>
  </si>
  <si>
    <t xml:space="preserve">IACP (Aiolis); ATL; coins from later 5th c.; port of Pergamon; Hierocles; bishops 431, 451, 787</t>
  </si>
  <si>
    <t xml:space="preserve">An Aeolic-speaking city not in Herodotus' Aeolian list; certainly older than its first attestation. Harbour of the Attalids.</t>
  </si>
  <si>
    <t xml:space="preserve">IACP (Aiolis); Strabo 13.3.5; Pleiades 550523; Wikipedia: Elaea (Aeolis)</t>
  </si>
  <si>
    <t xml:space="preserve">Athenian tribute lists from the 450s BC; silver coins later 5th c.; Strabo's foundation by Menestheus and Athenians after Troy is legend</t>
  </si>
  <si>
    <t xml:space="preserve">The DAI Elaia team's geoarchaeological study concludes that the later acropolis, then a peninsula, was 'most probably uninhabited' in the Late Bronze Age (c. 1500 BC). It also finds that the settlement period was short (max. c. 1000 years), with intense activity from c. 300 BC. No pre-Greek material is reported from Pirson's survey. The Menestheus foundation story is legend.</t>
  </si>
  <si>
    <t xml:space="preserve">Seeliger et al. 2018, Elaia harbour (ancientportsantiques.com/.../Elaia-Seeliger2018.pdf); Seeliger et al., 'Elaia, Pergamon's maritime satellite' (research.aber.ac.uk)</t>
  </si>
  <si>
    <t xml:space="preserve">C131</t>
  </si>
  <si>
    <t xml:space="preserve">Gryneion (Gryneium)</t>
  </si>
  <si>
    <t xml:space="preserve">Γρύνειον</t>
  </si>
  <si>
    <t xml:space="preserve">Grynion; Grynoi (Hdt.)</t>
  </si>
  <si>
    <t xml:space="preserve">Temaşalık Burnu near Yenişakran (Aliağa, İzmir)</t>
  </si>
  <si>
    <t xml:space="preserve">IACP (Aiolis); Hdt. 1.149; ATL; Xen. Hell. 3.1.6; coins late 4th–3rd c.; oracle of Apollo</t>
  </si>
  <si>
    <t xml:space="preserve">Sacked by Parmenion 335/4 BC; later a dependency of Myrina, mainly a sanctuary of Apollo Gryneios.</t>
  </si>
  <si>
    <t xml:space="preserve">IACP (Aiolis); Hdt. 1.149; Pleiades 550555; Wikipedia: Gryneium</t>
  </si>
  <si>
    <t xml:space="preserve">Rejected 'yes': the claim rests on a CNN Türk news report (not evidence). In it M. Çekilmez says his survey from 2015 found only one body sherd datable to the 2nd millennium BC, inside the temple-like building, and that Özkan's unpublished or unseen 1992 rescue excavation 'mentions' 2nd-millennium pottery. That is a single unstratified survey sherd plus an uncheckable reference, and no non-Turkish scholarship reports pre-Aeolian levels. The French 1883 and Bergama Museum 1959 work found only later material.</t>
  </si>
  <si>
    <t xml:space="preserve">cnnturk.com/turkiye/tarihe-yeni-bir-soluk-kazandiracak-kehanet-merkezi-gun-yuzune-cikiyor-1061539 (read: quotes Çekilmez on one 2nd-mill. BC sherd); en.wikipedia Gryneium; Pleiades 550555 (periods only Hellenistic/Roman)</t>
  </si>
  <si>
    <t xml:space="preserve">C132</t>
  </si>
  <si>
    <t xml:space="preserve">Myrina</t>
  </si>
  <si>
    <t xml:space="preserve">Μύρινα</t>
  </si>
  <si>
    <t xml:space="preserve">Sebastopolis (Augustan/Tiberian honorific)</t>
  </si>
  <si>
    <t xml:space="preserve">Kalabaktepe near Aliağa (Aliağa, İzmir)</t>
  </si>
  <si>
    <t xml:space="preserve">Aeolians (eponym Myrinos, tradition)</t>
  </si>
  <si>
    <t xml:space="preserve">IACP (Aiolis); Hdt. 1.149; ATL; Hellenistic &amp; Roman coins; Hierocles; bishops 431–787</t>
  </si>
  <si>
    <t xml:space="preserve">Famous Hellenistic terracotta necropolis. The name Myrina is also that of an Amazon in legend.</t>
  </si>
  <si>
    <t xml:space="preserve">IACP (Aiolis); Hdt. 1.149; Pleiades 550756; Wikipedia: Myrina (Aeolis)</t>
  </si>
  <si>
    <t xml:space="preserve">Rejected 'no known': the only basis is a Turkish survey and palaeogeographic paper saying no finds earlier than the Aeolian colonisation were encountered. That is absence of finds in an unexcavated acropolis, not positive evidence of new ground (rule 7). The French excavations of 1880–82 explored only the Hellenistic necropolis. The Myrinos/Amazon Myrina founder traditions are legendary. No non-Turkish source addresses pre-Greek occupation either way.</t>
  </si>
  <si>
    <t xml:space="preserve">en.wikipedia Myrina (Aeolis) (necropolis excavations 1880–82; founder traditions in Strabo, Mela, Diodorus); Pleiades 550756 (IACP no. 822, BAtlas 56 D4); first-pass refs Vardar &amp; Yavaşlı, CBÜ SBD 14.3 (2016) and Çekilmez 2011 survey (not re-read)</t>
  </si>
  <si>
    <t xml:space="preserve">C133</t>
  </si>
  <si>
    <t xml:space="preserve">Tisna</t>
  </si>
  <si>
    <t xml:space="preserve">Τίσνα</t>
  </si>
  <si>
    <t xml:space="preserve">Titne?</t>
  </si>
  <si>
    <t xml:space="preserve">twin hills NW of Uzunhasanlar (Aliağa, İzmir)</t>
  </si>
  <si>
    <t xml:space="preserve">c. 900 BC</t>
  </si>
  <si>
    <t xml:space="preserve">own bronze coins 4th–3rd c. BC (ΤΙΣΝΑ); Pleiades</t>
  </si>
  <si>
    <t xml:space="preserve">Not in Herodotus' Aeolian list; city status rests on its coinage. Whether the Geometric settlement was already Greek (Aeolian grey ware) is an inference.</t>
  </si>
  <si>
    <t xml:space="preserve">Pleiades 550933; Erdan 2018; CoinWeek: minor cities of Aiolis</t>
  </si>
  <si>
    <t xml:space="preserve">Settlement from the Early/Middle Geometric period (excavations, Erdan); coins of the city 4th–3rd c. BC</t>
  </si>
  <si>
    <t xml:space="preserve">Downgraded from 'yes'. Gür (TÜBA-AR 27, 2020) reports only surface-survey finds from Sarıkale and Kocakale Tepe (2018–19): a bronze curved-knife fragment, pottery with parallels in Troy's LBA layers, local grey ware and a pendent-semicircle skyphos sherd. He frames them as LBA–EIA transition material and leaves confirmation to future excavation. The finds are unstratified, come from a Turkish academic report only, and the excavations (Erdan) date the earliest settlement to the Early/Middle Geometric. The lead is promising, but per rule 3 it is not enough for 'yes'.</t>
  </si>
  <si>
    <t xml:space="preserve">B. Gür, TÜBA-AR 27 (2020) 113–127, doi:10.22520/tubaar2020.27.007 (abstract via trdizin); Arkhaia Anatolika 2021 (Lydian pottery at Tisna, late 7th–early 6th c., abstract via DOAJ); Pleiades 550933 (Erdan 2018: early- and middle-geometric)</t>
  </si>
  <si>
    <t xml:space="preserve">C134</t>
  </si>
  <si>
    <t xml:space="preserve">Cyme (Kyme)</t>
  </si>
  <si>
    <t xml:space="preserve">Κύμη</t>
  </si>
  <si>
    <t xml:space="preserve">Kyme Phrikonis</t>
  </si>
  <si>
    <t xml:space="preserve">Namurt Limanı (Aliağa, İzmir)</t>
  </si>
  <si>
    <t xml:space="preserve">c. 1050 BC</t>
  </si>
  <si>
    <t xml:space="preserve">Aeolians from Phrikion in Lokris (Strabo 13.3.3)</t>
  </si>
  <si>
    <t xml:space="preserve">IACP (Aiolis); Hdt. 1.149; ATL; coins from c. 500 BC; Hierocles; bishops 431–787</t>
  </si>
  <si>
    <t xml:space="preserve">Leading city of Aeolis and mother city of Cumae in Italy (tradition). Some Bronze Age material has been reported, but no pre-Greek settlement is established.</t>
  </si>
  <si>
    <t xml:space="preserve">IACP (Aiolis); Strabo 13.3.3; Pleiades 550506; Wikipedia: Cyme (Aeolis)</t>
  </si>
  <si>
    <t xml:space="preserve">Tradition: founded by Aeolians from Phrikion in Lokris c. 1050 BC (Ps.-Hdt. Vita Homeri: 20 years after Lesbos); excavated Greek levels from Protogeometric/Geometric times</t>
  </si>
  <si>
    <t xml:space="preserve">The earliest published excavated material is Geometric pottery on the south hill (Akurgal 1953). İdil's report on the Turkish excavations and the Italian work describe no Bronze Age settlement level. The traditions of 'Pelasgian' Larisa and of an Amazon eponym are legend. Stray Bronze Age finds have been mentioned but are not published as a settlement.</t>
  </si>
  <si>
    <t xml:space="preserve">V. İdil, Belleten 53 (1989) 525–544 (belleten.gov.tr/tam-metin/2101/eng); en/de.wikipedia Cyme (Aeolis); Pleiades 550506</t>
  </si>
  <si>
    <t xml:space="preserve">C135</t>
  </si>
  <si>
    <t xml:space="preserve">Boione</t>
  </si>
  <si>
    <t xml:space="preserve">Βοιώνη</t>
  </si>
  <si>
    <t xml:space="preserve">unlocated; perhaps between Larisa and Phokaia (Menemen/Foça, İzmir)</t>
  </si>
  <si>
    <t xml:space="preserve">own coins 4th–3rd c. BC</t>
  </si>
  <si>
    <t xml:space="preserve">Name absent from literary sources; coins found mostly in the lower Hermos valley; Engelmann placed it between Larisa and Phokaia (BAtlas follows), but the reading behind this is disputed.</t>
  </si>
  <si>
    <t xml:space="preserve">Engelmann 1981; Nollé 2012; Wikipedia: Boione</t>
  </si>
  <si>
    <t xml:space="preserve">Known only from bronze coins of the 4th–3rd c. BC (ΒΟΙΩΝΙΤΙΚΟΝ, ΒΟΙΩΝΙΤΗΣ)</t>
  </si>
  <si>
    <t xml:space="preserve">Known only from coins and unlocated, so no archaeological evidence either way.</t>
  </si>
  <si>
    <t xml:space="preserve">input note; knowledge: BAtlas 56</t>
  </si>
  <si>
    <t xml:space="preserve">C136</t>
  </si>
  <si>
    <t xml:space="preserve">Aegiroessa</t>
  </si>
  <si>
    <t xml:space="preserve">Αἰγιρόεσσα</t>
  </si>
  <si>
    <t xml:space="preserve">unlocated, southern Aeolis (İzmir)</t>
  </si>
  <si>
    <t xml:space="preserve">IACP (Aiolis); Hdt. 1.149</t>
  </si>
  <si>
    <t xml:space="preserve">Unlocated; listed by Herodotus among the mainland Aeolian cities between Kyme and the Kaikos. Coordinates are only a regional centre; it may be identical with a site known by another name.</t>
  </si>
  <si>
    <t xml:space="preserve">Hdt. 1.149; IACP (Aiolis)</t>
  </si>
  <si>
    <t xml:space="preserve">Unlocated city of Hdt. 1.149, so no evidence either way.</t>
  </si>
  <si>
    <t xml:space="preserve">Hdt. 1.149; input note</t>
  </si>
  <si>
    <t xml:space="preserve">C137</t>
  </si>
  <si>
    <t xml:space="preserve">Aegae (Aigai)</t>
  </si>
  <si>
    <t xml:space="preserve">Αἰγαί</t>
  </si>
  <si>
    <t xml:space="preserve">Aigaiai (Hdt.)</t>
  </si>
  <si>
    <t xml:space="preserve">Nemrut Kale (Yuntdağı Köseler, Yunusemre, Manisa)</t>
  </si>
  <si>
    <t xml:space="preserve">Manisa</t>
  </si>
  <si>
    <t xml:space="preserve">IACP (Aiolis); Hdt. 1.149; coins; Hierocles; bishops</t>
  </si>
  <si>
    <t xml:space="preserve">Site lies just inside Manisa province on the İzmir border (also in the LYD seed); included here because it belongs to the southern Aeolian group. Excavations show mainly Hellenistic and Roman remains, so the Iron Age date is traditional.</t>
  </si>
  <si>
    <t xml:space="preserve">IACP (Aiolis); Hdt. 1.149; Pleiades 550404; Wikipedia: Aegae (Aeolis)</t>
  </si>
  <si>
    <t xml:space="preserve">Excavations at Nemrut Kale (Manisa Museum/Ege Univ., from 2004) and the DAI necropolis survey conclude that the city was founded at the end of the 8th c. BC. No earlier (Bronze Age/native) levels are reported, so the earliest levels are those of the Greek city.</t>
  </si>
  <si>
    <t xml:space="preserve">U. Kelp, e-Forschungsberichte DAI 2017/2, 168–172 ('dass die Stadt gegen Ende des 8. Jahrhunderts v. Chr. gegründet wurde'); Pleiades 550404</t>
  </si>
  <si>
    <t xml:space="preserve">C138</t>
  </si>
  <si>
    <t xml:space="preserve">Temnos (Temnus)</t>
  </si>
  <si>
    <t xml:space="preserve">Τῆμνος</t>
  </si>
  <si>
    <t xml:space="preserve">Tamnos (Aeolic); Archangelos (medieval Roman, probably)</t>
  </si>
  <si>
    <t xml:space="preserve">near Emiralem (Menemen, İzmir)</t>
  </si>
  <si>
    <t xml:space="preserve">IACP (Aiolis); Hdt. 1.149; coins 4th c. BC–Roman; decrees late 3rd c. BC; bishops 451, 787, 869</t>
  </si>
  <si>
    <t xml:space="preserve">Destroyed by the AD 17 earthquake and later rebuilt; probably the medieval Roman Archangelos (taken by the Turks 1413).</t>
  </si>
  <si>
    <t xml:space="preserve">IACP (Aiolis); Hdt. 1.149; Pleiades 550908; Wikipedia: Temnos</t>
  </si>
  <si>
    <t xml:space="preserve">Unexcavated hill site near Emiralem, attested from 4th-c. BC coins and Hellenistic inscriptions. No survey reports earlier (pre-Greek) material, and none states that it was new ground.</t>
  </si>
  <si>
    <t xml:space="preserve">en.wikipedia Temnos; Pleiades 550908 (classical onward)</t>
  </si>
  <si>
    <t xml:space="preserve">C139</t>
  </si>
  <si>
    <t xml:space="preserve">Larisa Phriconis (Larissa)</t>
  </si>
  <si>
    <t xml:space="preserve">Larisa Phrikonis; Lerisai (Hdt.)</t>
  </si>
  <si>
    <t xml:space="preserve">Buruncuk (Menemen, İzmir)</t>
  </si>
  <si>
    <t xml:space="preserve">IACP (Aiolis); Hdt. 1.149; coins 4th c. BC; Xen. Hell. 3.1.7</t>
  </si>
  <si>
    <t xml:space="preserve">Identification of Buruncuk with Larisa is widely accepted but disputed (Pleiades ‘Laris(s)a?’). Strabo and others take it to be Homer's ‘Pelasgian Larisa’, hence pre-Greek settlement from tradition only.</t>
  </si>
  <si>
    <t xml:space="preserve">IACP (Aiolis); Hdt. 1.149; Pleiades 550683; Bean 1966</t>
  </si>
  <si>
    <t xml:space="preserve">C140</t>
  </si>
  <si>
    <t xml:space="preserve">Neonteichos (Neon Teichos)</t>
  </si>
  <si>
    <t xml:space="preserve">Νέον τεῖχος</t>
  </si>
  <si>
    <t xml:space="preserve">near Yanıkköy (Menemen, İzmir)</t>
  </si>
  <si>
    <t xml:space="preserve">Aeolians (from Kyme)</t>
  </si>
  <si>
    <t xml:space="preserve">IACP (Aiolis); Hdt. 1.149; coins 2nd c. BC</t>
  </si>
  <si>
    <t xml:space="preserve">Site identification tentative. Foundation date is legendary.</t>
  </si>
  <si>
    <t xml:space="preserve">Hdt. 1.149; Strabo 13.3.3; Pleiades 550773; Wikipedia: Neonteichos</t>
  </si>
  <si>
    <t xml:space="preserve">Tradition: Aeolian fort built 8 years after Kyme against the Pelasgians of Larisa (Ps.-Hdt. Vita Homeri); Strabo makes it older than Kyme</t>
  </si>
  <si>
    <t xml:space="preserve">Changed from 'no known'. The only basis for new ground is the tradition (Vita Herodotea) that Kymaeans built the 'New Wall' as a fort against Larisa eight years after Kyme. Strabo instead makes it older than Kyme. The site near Yanıkköy is only tentatively identified and unexcavated, so there is no archaeological evidence either way.</t>
  </si>
  <si>
    <t xml:space="preserve">en.wikipedia Neonteichos; Ps.-Hdt. Vita Homeri 9–10; Strabo 13.3.3; Pleiades 550773</t>
  </si>
  <si>
    <t xml:space="preserve">C141</t>
  </si>
  <si>
    <t xml:space="preserve">Ionia</t>
  </si>
  <si>
    <t xml:space="preserve">New Phocaea (Nea Phokaia)</t>
  </si>
  <si>
    <t xml:space="preserve">Νέα Φώκαια</t>
  </si>
  <si>
    <t xml:space="preserve">Foglia Nuova (Genoese)</t>
  </si>
  <si>
    <t xml:space="preserve">Yenifoça</t>
  </si>
  <si>
    <t xml:space="preserve">Yenifoça (Foça, İzmir)</t>
  </si>
  <si>
    <t xml:space="preserve">c. 1300</t>
  </si>
  <si>
    <t xml:space="preserve">Genoese Zaccaria lords holding Phokaia by grant of Michael VIII (1275); walled c. 1300–1304</t>
  </si>
  <si>
    <t xml:space="preserve">new site (text)</t>
  </si>
  <si>
    <t xml:space="preserve">medieval town (Doukas); named with Pergamon and Klazomenai among the sees granted to the metropolitan of Ephesus c. 1387</t>
  </si>
  <si>
    <t xml:space="preserve">A Genoese colonial town under medieval Roman (later Ottoman) suzerainty with a largely Greek working population; Ottoman 1455. Inclusion depends on accepting its 14th-c. ecclesiastical status; founder_group is a compromise (Latin founders under an imperial grant).</t>
  </si>
  <si>
    <t xml:space="preserve">Wikipedia: Yenifoça; Catholic Encyclopedia: Phocaea; Wikipedia: Metropolis of Ephesus; Doukas</t>
  </si>
  <si>
    <t xml:space="preserve">New walled town founded by the Genoese lords of Phokaia (Zaccaria), c. 1275–1304, for alum workers</t>
  </si>
  <si>
    <t xml:space="preserve">New Phocaea was built as a new stronghold, probably between 1286 and 1296, on a separate site north of Old Phocaea for the Genoese alum concession. No earlier non-Greek settlement is known at Yenifoça.</t>
  </si>
  <si>
    <t xml:space="preserve">thebyzantinelegacy.com/phocaea; en.wikipedia Lordship of Phocaea; knowledge: Doukas 25</t>
  </si>
  <si>
    <t xml:space="preserve">C142</t>
  </si>
  <si>
    <t xml:space="preserve">Phocaea (Phokaia)</t>
  </si>
  <si>
    <t xml:space="preserve">Φώκαια</t>
  </si>
  <si>
    <t xml:space="preserve">Palaia Phokaia (medieval)</t>
  </si>
  <si>
    <t xml:space="preserve">Foça</t>
  </si>
  <si>
    <t xml:space="preserve">Foça (İzmir)</t>
  </si>
  <si>
    <t xml:space="preserve">Phocians under the Athenians Philogenes and Damon (Paus. 7.3.10)</t>
  </si>
  <si>
    <t xml:space="preserve">Ionians</t>
  </si>
  <si>
    <t xml:space="preserve">IACP (Ionia); Panionion member; electrum coins c. 600 BC; Hierocles; bishops 344–879</t>
  </si>
  <si>
    <t xml:space="preserve">Late Bronze Age occupation with LH IIIC sherds and bathtubs (Özyiğit) but not a demonstrable Mycenaean settlement. Mother city of Massalia, Lampsakos, Alalia, Elea. Genoese from 1275, Ottoman 1455.</t>
  </si>
  <si>
    <t xml:space="preserve">IACP (Ionia); Paus. 7.3.10; Pleiades 550823; Wikipedia: Phocaea; Gür, Talanta</t>
  </si>
  <si>
    <t xml:space="preserve">Aeolian (Kymaean) pottery into the 9th c. BC, Ionian from the end of the 9th c.; tradition: Phocians led by the Athenians Philogenes and Damon on land given by Kyme</t>
  </si>
  <si>
    <t xml:space="preserve">C143</t>
  </si>
  <si>
    <t xml:space="preserve">Leucae (Leukai)</t>
  </si>
  <si>
    <t xml:space="preserve">Λευκαί</t>
  </si>
  <si>
    <t xml:space="preserve">Leuke</t>
  </si>
  <si>
    <t xml:space="preserve">Üçtepeler, between Foça and Menemen (İzmir)</t>
  </si>
  <si>
    <t xml:space="preserve">c. 383 BC</t>
  </si>
  <si>
    <t xml:space="preserve">Tachos, Persian admiral (son of Glos)</t>
  </si>
  <si>
    <t xml:space="preserve">Galatian or other dynasts</t>
  </si>
  <si>
    <t xml:space="preserve">Diod. 15.18; Strabo 14.1.38; own coins 3rd c. BC; Pliny 5.119</t>
  </si>
  <si>
    <t xml:space="preserve">Disputed after Tachos' death between Klazomenai and Kyme; Klazomenai won. Base of Aristonikos (133–130 BC). Strabo calls it a polichnion.</t>
  </si>
  <si>
    <t xml:space="preserve">Diod. 15.18; Strabo 14.1.38; Pleiades 550697; Wikipedia: Leucae (Ionia)</t>
  </si>
  <si>
    <t xml:space="preserve">Founded as a city on a coastal height by the Persian admiral Tachos (Diod. 15.18, under 383/2 BC; some modern accounts say 352 BC); coins 3rd c. BC</t>
  </si>
  <si>
    <t xml:space="preserve">Kept 'no known' on the ancient source: Diodorus 15.18.1 says the Persian commander Tachos founded the city of Leuke on a coastal promontory that had a shrine of Apollo, as a new base. That is a city built from scratch, and the shrine, being Greek, does not count. Bean (PECS; Kleinasien I) and Der Neue Pauly treat it as Tachos' 4th-c. foundation. Anabolu's survey (Belleten 1990) found 4th-c. walls and undated sherds, with no prehistoric material. The site is unexcavated and the Bronze Age site of Panaztepe lies several km away in the Gediz delta, so confidence is low.</t>
  </si>
  <si>
    <t xml:space="preserve">Diod. 15.18.1–4 (LacusCurtius, Loeb tr.); M. U. Anabolu, 'Su kuşları ve Leukai', Belleten 54/209 (1990) 29–32 (belleten.gov.tr/tam-metin/2124/tur); de.wikipedia Leukai (Ionien) (lit.: Bean, PECS s.v. Leukai; Bean, Kleinasien I 125–126); Pleiades 550697 (New Pauly s.v. Leucae 2; periods Classical onward)</t>
  </si>
  <si>
    <t xml:space="preserve">C144</t>
  </si>
  <si>
    <t xml:space="preserve">Smyrna</t>
  </si>
  <si>
    <t xml:space="preserve">Σμύρνη</t>
  </si>
  <si>
    <t xml:space="preserve">Zmyrna; Eurydikeia (briefly, under Lysimachus); Naulochon (port, Old Smyrna?)</t>
  </si>
  <si>
    <t xml:space="preserve">İzmir (Konak; Old Smyrna at Bayraklı, Bayraklı, İzmir)</t>
  </si>
  <si>
    <t xml:space="preserve">Konak</t>
  </si>
  <si>
    <t xml:space="preserve">Aeolians from Kyme; Ionians from Kolophon took it c. 700 BC (Hdt. 1.150)</t>
  </si>
  <si>
    <t xml:space="preserve">Tišmurna (Old Assyrian)?</t>
  </si>
  <si>
    <t xml:space="preserve">A place Ti-smurna occurs in Level II Kültepe (Kaneš) tablets (early 2nd millennium BC); its identification with Smyrna is not established. Bayraklı mound was settled from the 3rd millennium BC (Troy I-related), with LBA material showing Mycenaean influence.</t>
  </si>
  <si>
    <t xml:space="preserve">IACP (Ionia); Hellenistic &amp; Roman coins; neokoros; Hierocles; bishops from 2nd c. AD; metropolis 9th c.</t>
  </si>
  <si>
    <t xml:space="preserve">Coordinates are for Hellenistic–Roman Smyrna (Kadifekale/agora); Old Smyrna lies at Bayraklı (38.464, 27.170, Pleiades 550771). Destroyed by Alyattes c. 600 BC, village-like until refoundation. medieval Roman to c. 1330 (Aydınids), Hospitallers 1344–1402.</t>
  </si>
  <si>
    <t xml:space="preserve">IACP (Ionia); Hdt. 1.149–150; Strabo 14.1.37; Pleiades 550893, 550771; Wikipedia: İzmir</t>
  </si>
  <si>
    <t xml:space="preserve">Greek (Aeolian) pottery at Old Smyrna (Bayraklı) from c. 1000 BC; taken by Kolophonian (Ionian) exiles c. 700 BC; refounded on Mt Pagos under Antigonus and Lysimachus c. 300 BC</t>
  </si>
  <si>
    <t xml:space="preserve">C145</t>
  </si>
  <si>
    <t xml:space="preserve">Clazomenae (Klazomenai)</t>
  </si>
  <si>
    <t xml:space="preserve">Κλαζομεναί</t>
  </si>
  <si>
    <t xml:space="preserve">Liman Tepe and Karantina island, Urla İskele (Urla, İzmir)</t>
  </si>
  <si>
    <t xml:space="preserve">Parphoros (Paus. 7.3.9) or Paralos (Strabo 14.1.3), from Kolophon, with Kleonaians and Phleiasians</t>
  </si>
  <si>
    <t xml:space="preserve">IACP (Ionia); Panionion member; ATL; coins from 6th c.; Hierocles; bishops 431, 451</t>
  </si>
  <si>
    <t xml:space="preserve">Liman Tepe was a major Chalcolithic–Late Bronze Age site; its LH IIIC phase has locally made Mycenaean-style pottery that some (Gür) read as Aegean newcomers, but it is not counted as a Mycenaean city. The city moved to Karantina island after c. 500 BC (coordinates).</t>
  </si>
  <si>
    <t xml:space="preserve">IACP (Ionia); Paus. 7.3.8–9; Pleiades 550651, 550650; Gür, Talanta</t>
  </si>
  <si>
    <t xml:space="preserve">Ionian foundation (tradition: Parphoros/Paralos of Kolophon with settlers from Kleonai and Phleious); Early Iron Age (Protogeometric) Greek material at Liman Tepe</t>
  </si>
  <si>
    <t xml:space="preserve">C146</t>
  </si>
  <si>
    <t xml:space="preserve">Sidussa (Sidoussa)</t>
  </si>
  <si>
    <t xml:space="preserve">Σιδοῦσσα</t>
  </si>
  <si>
    <t xml:space="preserve">Büyük Ada? off Karaburun (Karaburun, İzmir)</t>
  </si>
  <si>
    <t xml:space="preserve">IACP (Ionia, pp. 1098–99); ATL</t>
  </si>
  <si>
    <t xml:space="preserve">Small fortified dependency of Erythrai (Thuc. 8.24 calls it a stronghold); Pliny makes it an island. Site tentative (BAtlas).</t>
  </si>
  <si>
    <t xml:space="preserve">IACP (Ionia); Thuc. 8.24; Wikipedia: Sidussa</t>
  </si>
  <si>
    <t xml:space="preserve">Athenian tribute lists 450/49–430/29 BC</t>
  </si>
  <si>
    <t xml:space="preserve">Small stronghold with a tentative, unexcavated site (Büyük Ada?). No evidence either way.</t>
  </si>
  <si>
    <t xml:space="preserve">Thuc. 8.24; Plin. NH 5.137; BAtlas 56</t>
  </si>
  <si>
    <t xml:space="preserve">C147</t>
  </si>
  <si>
    <t xml:space="preserve">Pteleum (Pteleon)</t>
  </si>
  <si>
    <t xml:space="preserve">Πτελεόν</t>
  </si>
  <si>
    <t xml:space="preserve">near Karareis (Çeşme/Karaburun, İzmir)</t>
  </si>
  <si>
    <t xml:space="preserve">IACP (Ionia, p. 1093); ATL</t>
  </si>
  <si>
    <t xml:space="preserve">Fortified dependency of Erythrai, Athenian base 412 BC (Thuc. 8.24, 31); counted only because it paid tribute separately.</t>
  </si>
  <si>
    <t xml:space="preserve">IACP (Ionia); Thuc. 8.24; Pleiades 550847; Wikipedia: Pteleum (Ionia)</t>
  </si>
  <si>
    <t xml:space="preserve">Small fortified dependency of Erythrai with a tentative, unexcavated site. No evidence either way.</t>
  </si>
  <si>
    <t xml:space="preserve">Pleiades 550847; Thuc. 8.24, 31</t>
  </si>
  <si>
    <t xml:space="preserve">C148</t>
  </si>
  <si>
    <t xml:space="preserve">Erythrae (Erythrai)</t>
  </si>
  <si>
    <t xml:space="preserve">Ἐρυθραί</t>
  </si>
  <si>
    <t xml:space="preserve">Knopoupolis (after its founder); Lythri (medieval)</t>
  </si>
  <si>
    <t xml:space="preserve">Ildır</t>
  </si>
  <si>
    <t xml:space="preserve">Ildır (Çeşme, İzmir)</t>
  </si>
  <si>
    <t xml:space="preserve">Knopos son of Kodros (Paus. 7.3.7; Strabo 14.1.3)</t>
  </si>
  <si>
    <t xml:space="preserve">IACP (Ionia); Panionion member; ATL; coins from 6th c.; Hierocles; bishops 431–1292</t>
  </si>
  <si>
    <t xml:space="preserve">Early Bronze Age settlement on the acropolis; Archaic finds 7th–6th c. Ildır &lt; Lythri &lt; Erythrai.</t>
  </si>
  <si>
    <t xml:space="preserve">IACP (Ionia); Paus. 7.3.7; Pleiades 550535; Wikipedia: Erythrae</t>
  </si>
  <si>
    <t xml:space="preserve">Ionian foundation by Knopos son of Kodros (tradition, c. 1000 BC); after an earlier settlement of Cretans under Erythros with Lycians, Carians and Pamphylians (Paus. 7.3.7)</t>
  </si>
  <si>
    <t xml:space="preserve">C149</t>
  </si>
  <si>
    <t xml:space="preserve">Boutheia</t>
  </si>
  <si>
    <t xml:space="preserve">Βούθεια</t>
  </si>
  <si>
    <t xml:space="preserve">Bouthia</t>
  </si>
  <si>
    <t xml:space="preserve">near Çeşme (Çeşme, İzmir)</t>
  </si>
  <si>
    <t xml:space="preserve">IACP (Ionia, p. 1064); ATL</t>
  </si>
  <si>
    <t xml:space="preserve">Dependency of Erythrai, sometimes listed under Erythrai in the tribute lists; site tentative.</t>
  </si>
  <si>
    <t xml:space="preserve">IACP (Ionia); Steph. Byz. s.v. Βούθεια; Wikipedia: Boutheia</t>
  </si>
  <si>
    <t xml:space="preserve">Athenian tribute lists 454/3–427/6 BC</t>
  </si>
  <si>
    <t xml:space="preserve">The site is only approximately placed (BAtlas *Boutheia) near Çeşme. If it lay in Çeşme town, it would sit beside the excavated Bronze Age harbour settlement of Çeşme–Bağlararası (Şahoğlu), but the location is too uncertain to count.</t>
  </si>
  <si>
    <t xml:space="preserve">Pleiades 550488 (BAtlas 56 C5 *Boutheia); luwianstudies.org/site/cesme-baglararasi; Şahoğlu et al., Çeşme–Bağlararası publications</t>
  </si>
  <si>
    <t xml:space="preserve">C150</t>
  </si>
  <si>
    <t xml:space="preserve">Airai (Erae)</t>
  </si>
  <si>
    <t xml:space="preserve">Αἰραί</t>
  </si>
  <si>
    <t xml:space="preserve">near Aşağı Demircili (Seferihisar, İzmir)</t>
  </si>
  <si>
    <t xml:space="preserve">IACP (Ionia, p. 1063); ATL; Thuc. 8.19–20; coins 4th c.</t>
  </si>
  <si>
    <t xml:space="preserve">Later a small town subject to Teos (Strabo 14.1.32).</t>
  </si>
  <si>
    <t xml:space="preserve">IACP (Ionia); Thuc. 8.20; Pleiades 550419; Wikipedia: Airai (Ionia)</t>
  </si>
  <si>
    <t xml:space="preserve">Athenian tribute lists 454/3–427/6 BC; own coins 4th c. BC (ΑΙΡΑΙΩΝ)</t>
  </si>
  <si>
    <t xml:space="preserve">Site near Aşağı Demircili is unexcavated, and no survey of early material is published. No evidence either way.</t>
  </si>
  <si>
    <t xml:space="preserve">Pleiades 550419; input note</t>
  </si>
  <si>
    <t xml:space="preserve">C151</t>
  </si>
  <si>
    <t xml:space="preserve">Teos</t>
  </si>
  <si>
    <t xml:space="preserve">Τέως</t>
  </si>
  <si>
    <t xml:space="preserve">S of Sığacık (Seferihisar, İzmir)</t>
  </si>
  <si>
    <t xml:space="preserve">Athamas (Minyans); Ionians under Nauklos, Apoikos, Damasos and Geres</t>
  </si>
  <si>
    <t xml:space="preserve">IACP (Ionia); Panionion member; ATL; coins from c. 540 BC; Hierocles; bishop 431</t>
  </si>
  <si>
    <t xml:space="preserve">Pausanias mentions Carians living with the settlers (tradition only). Teians founded Abdera (c. 545) and Phanagoria; Antigonus planned a synoecism with Lebedos (c. 303 BC).</t>
  </si>
  <si>
    <t xml:space="preserve">IACP (Ionia); Paus. 7.3.6; Pleiades 550913; Wikipedia: Teos</t>
  </si>
  <si>
    <t xml:space="preserve">Tradition: Minyans of Orchomenos under Athamas, then Ionians under Nauklos, Apoikos, Damasos and Geres (Paus. 7.3.6; Strabo 14.1.3); c. 1000 BC</t>
  </si>
  <si>
    <t xml:space="preserve">The excavators (Kadıoğlu) find the earliest settlement begins in the Protogeometric period, but the area of that settlement has not yet been located, and they list a possible Mycenaean settlement as a research aim. Vaessen notes that no Mycenaean finds have been reported. Pausanias' Carians living with the settlers (7.3.6) is tradition only.</t>
  </si>
  <si>
    <t xml:space="preserve">Teos excavation page, KTB (bingol.ktb.gov.tr/Eklenti/9475,teos-kazisipdf.pdf); Vaessen 2014, Cultural Dynamics in Ionia (Sheffield PhD) p. 26; N. Tuna, AST 12 (1995)</t>
  </si>
  <si>
    <t xml:space="preserve">C152</t>
  </si>
  <si>
    <t xml:space="preserve">Lebedus (Lebedos)</t>
  </si>
  <si>
    <t xml:space="preserve">Λέβεδος</t>
  </si>
  <si>
    <t xml:space="preserve">Ptolemais (Ptolemaic, 3rd c. BC)</t>
  </si>
  <si>
    <t xml:space="preserve">Kısık peninsula near Ürkmez (Seferihisar, İzmir)</t>
  </si>
  <si>
    <t xml:space="preserve">Andraimon son of Kodros (Paus.) / Andropompos (Strabo)</t>
  </si>
  <si>
    <t xml:space="preserve">IACP (Ionia); Panionion member; ATL; Hellenistic coins; Hierocles</t>
  </si>
  <si>
    <t xml:space="preserve">Pausanias says Carians held the site before (tradition only). Renamed Ptolemais under the Ptolemies; seat of the Ionian Dionysiac artists.</t>
  </si>
  <si>
    <t xml:space="preserve">IACP (Ionia); Paus. 7.3.5; Pleiades 599754; Wikipedia: Lebedos</t>
  </si>
  <si>
    <t xml:space="preserve">Ionian foundation by Andraimon son of Kodros (Paus. 7.3.5) or Andropompos (Strabo 14.1.3), tradition c. 1000 BC</t>
  </si>
  <si>
    <t xml:space="preserve">Tradition only: Strabo 14.1.3 (Andropompus seized a place called Artis) and Pausanias 7.3.5 (Carians before the Ionians); no archaeological evidence of a pre-Greek settlement. Strabo (14.1.3) says Andropompos founded Lebedos after seizing 'a place called Artis', which is an attested pre-Greek name for the site. Pausanias (7.3.5) says Carians held it before the Ionians. Both belong to the Ionian migration tradition, and survey (Çevirici-Coşkun 2017–19) has found no pre-Greek material, so this rests on the literary name alone.</t>
  </si>
  <si>
    <t xml:space="preserve">Strabo 14.1.3; Paus. 7.3.5; en.wikipedia Lebedus; Pleiades 599754</t>
  </si>
  <si>
    <t xml:space="preserve">C153</t>
  </si>
  <si>
    <t xml:space="preserve">Dioshieron (Ionia)</t>
  </si>
  <si>
    <t xml:space="preserve">Διὸς Ἱερόν</t>
  </si>
  <si>
    <t xml:space="preserve">coast near Gümüldür (Menderes, İzmir)</t>
  </si>
  <si>
    <t xml:space="preserve">IACP (Ionia); ATL; Thuc. 8.19</t>
  </si>
  <si>
    <t xml:space="preserve">Small coastal polis between Lebedos and Kolophon; not to be confused with Lydian Dios Hieron (Birgi) in the Kaystros valley. Exact site uncertain.</t>
  </si>
  <si>
    <t xml:space="preserve">IACP (Ionia); Thuc. 8.19; Pleiades 599595; Robert 1989</t>
  </si>
  <si>
    <t xml:space="preserve">Athenian tribute lists (Διοσιρῖται), mid-5th c. BC</t>
  </si>
  <si>
    <t xml:space="preserve">The exact site on the coast near Gümüldür is uncertain and unexcavated. No evidence either way.</t>
  </si>
  <si>
    <t xml:space="preserve">Pleiades 599595 (Robert 1989, 71–73); input note</t>
  </si>
  <si>
    <t xml:space="preserve">C154</t>
  </si>
  <si>
    <t xml:space="preserve">Notium (Notion)</t>
  </si>
  <si>
    <t xml:space="preserve">Νότιον</t>
  </si>
  <si>
    <t xml:space="preserve">Kolophon by the sea (Colophon ad Mare)</t>
  </si>
  <si>
    <t xml:space="preserve">Ahmetbeyli (Menderes, İzmir)</t>
  </si>
  <si>
    <t xml:space="preserve">IACP (Ionia); Hdt. 1.149; ATL; Thuc. 3.34; late-antique city</t>
  </si>
  <si>
    <t xml:space="preserve">After Lysimachus moved Kolophonians to Ephesos (c. 294 BC), Notion became ‘Kolophon by the sea’; the Late Roman see of Kolophon may have been here.</t>
  </si>
  <si>
    <t xml:space="preserve">IACP (Ionia); Hdt. 1.149; Pleiades 599578; Wikipedia: Notion (Ionia)</t>
  </si>
  <si>
    <t xml:space="preserve">The Michigan intensive survey finds that the present site was 'largely uninhabited before the 2nd century BCE', with intensive occupation only from the 3rd/2nd c. BC to the 1st c. AD. No prehistoric material is reported. However, the earlier Notion (attested from the 6th c. BC) probably lay nearer the harbour and is now buried by silt, so its antecedents are unknown.</t>
  </si>
  <si>
    <t xml:space="preserve">Notion Archaeological Survey (sites.lsa.umich.edu/notionsurvey); Ratté et al., Archaeological Survey at Notion (Univ. of Michigan Press); ASCSA lecture abstract</t>
  </si>
  <si>
    <t xml:space="preserve">C155</t>
  </si>
  <si>
    <t xml:space="preserve">Colophon (Kolophon)</t>
  </si>
  <si>
    <t xml:space="preserve">Κολοφών</t>
  </si>
  <si>
    <t xml:space="preserve">Değirmendere (Menderes, İzmir)</t>
  </si>
  <si>
    <t xml:space="preserve">Andraimon of Pylos (Strabo) / Damasichthon and Promethos (Paus.)</t>
  </si>
  <si>
    <t xml:space="preserve">IACP (Ionia); Panionion member; ATL; coins; Hierocles; bishop 431</t>
  </si>
  <si>
    <t xml:space="preserve">A tholos tomb of Mycenaean type (LH IIIB–C or Submycenaean) was found here, but no Mycenaean settlement; tradition puts Cretans under Rhakios and Carians here before the Ionians. Partly moved to Ephesos by Lysimachus c. 294 BC.</t>
  </si>
  <si>
    <t xml:space="preserve">IACP (Ionia); Paus. 7.3.1–4; Pleiades 599577; Wikipedia: Colophon</t>
  </si>
  <si>
    <t xml:space="preserve">Ionian foundation by Andraimon of Pylos (Strabo 14.1.3, after Mimnermus) or by Damasichthon and Promethos, sons of Kodros (Paus. 7.3.3); tradition c. 1000 BC; Geometric houses on the acropolis</t>
  </si>
  <si>
    <t xml:space="preserve">C156</t>
  </si>
  <si>
    <t xml:space="preserve">Ephesus (Ephesos)</t>
  </si>
  <si>
    <t xml:space="preserve">Ἔφεσος</t>
  </si>
  <si>
    <t xml:space="preserve">Arsinoeia (Lysimachus); Hagios Theologos / Ayasoluk (medieval)</t>
  </si>
  <si>
    <t xml:space="preserve">Selçuk</t>
  </si>
  <si>
    <t xml:space="preserve">Efes ruins and Ayasuluk hill, Selçuk (Selçuk, İzmir)</t>
  </si>
  <si>
    <t xml:space="preserve">Androklos son of Kodros (Strabo 14.1.3; Paus. 7.2.8)</t>
  </si>
  <si>
    <t xml:space="preserve">Apaša (Hittite)</t>
  </si>
  <si>
    <t xml:space="preserve">Apaša, capital of Arzawa, taken by Mursili II (late 14th c. BC); identification with Ephesos/Ayasuluk accepted by most scholars. Ayasuluk has a LBA settlement with Mycenaean pottery and a Mycenaean-type grave, not a Mycenaean city.</t>
  </si>
  <si>
    <t xml:space="preserve">IACP (Ionia); Panionion member; electrum coins late 7th c.; capital of Roman Asia; Hierocles (metropolis); bishops 325–787</t>
  </si>
  <si>
    <t xml:space="preserve">Medieval city moved to Ayasuluk (Hagios Theologos), Turkish 1304; modern Selçuk (named 1914; earlier Ayasluğ &lt; Hagios Theologos) covers the medieval site, the Roman city (Efes) is ruins 3 km SW.</t>
  </si>
  <si>
    <t xml:space="preserve">IACP (Ionia); Strabo 14.1.3; Pleiades 599612; Wikipedia: Ephesus</t>
  </si>
  <si>
    <t xml:space="preserve">Ionian foundation by Androklos son of Kodros (tradition, c. 1050 BC); Protogeometric pottery at Ayasuluk and the Artemision, 10th c. BC</t>
  </si>
  <si>
    <t xml:space="preserve">C157</t>
  </si>
  <si>
    <t xml:space="preserve">Metropolis (Ionia)</t>
  </si>
  <si>
    <t xml:space="preserve">Μητρόπολις</t>
  </si>
  <si>
    <t xml:space="preserve">near Yeniköy (Torbalı, İzmir)</t>
  </si>
  <si>
    <t xml:space="preserve">c. 300 BC</t>
  </si>
  <si>
    <t xml:space="preserve">Puranda (Hittite)?</t>
  </si>
  <si>
    <t xml:space="preserve">Puranda, the Arzawan stronghold where refugees from Apaša fled and which Mursili II took, is placed at Bademgediği Tepe beside Metropolis by the excavators (Meriç); the identification is plausible but unproven.</t>
  </si>
  <si>
    <t xml:space="preserve">Hellenistic decrees (SEG 53.1312); coins; Strabo 14.1.15; Hierocles; bishop 451</t>
  </si>
  <si>
    <t xml:space="preserve">Early and Middle Bronze Age pottery on the acropolis; on adjacent Bademgediği Tepe a LBA fortified site with much locally made Mycenaean-style (LH IIIB–C) pottery, an Anatolian rather than Mycenaean settlement.</t>
  </si>
  <si>
    <t xml:space="preserve">Strabo 14.1.15; Meriç 2003 (Bademgediği Tepe); Pleiades 550741; Wikipedia: Metropolis (Anatolia)</t>
  </si>
  <si>
    <t xml:space="preserve">Greek settlement on the acropolis after the 9th c. BC; urban polis from the 3rd c. BC (theatre, bouleuterion 2nd c.); civic decrees 143 and 132 BC</t>
  </si>
  <si>
    <t xml:space="preserve">C158</t>
  </si>
  <si>
    <t xml:space="preserve">Pygela</t>
  </si>
  <si>
    <t xml:space="preserve">Πύγελα</t>
  </si>
  <si>
    <t xml:space="preserve">Phygela (Φύγελα)</t>
  </si>
  <si>
    <t xml:space="preserve">Kuşadası</t>
  </si>
  <si>
    <t xml:space="preserve">north side of Kuşadası (Kuşadası, Aydın)</t>
  </si>
  <si>
    <t xml:space="preserve">Aydın</t>
  </si>
  <si>
    <t xml:space="preserve">unknown (legend: Agamemnon's veterans)</t>
  </si>
  <si>
    <t xml:space="preserve">IACP (Ionia); ATL; coins c. 350–300 BC</t>
  </si>
  <si>
    <t xml:space="preserve">Ionian town outside the dodecapolis; exact site within Kuşadası not fixed.</t>
  </si>
  <si>
    <t xml:space="preserve">Strabo 14.1.20; IACP (Ionia): Pygela; Pleiades 599887; Wikipedia: Pygela</t>
  </si>
  <si>
    <t xml:space="preserve">Delian League member (tribute lists from the 450s BC); coins with legend ΦΥΓ/ΦΥΓΑΛΕΩΝ c. 350–300 BC; legend of foundation by Agamemnon's veterans (Strabo 14.1.20)</t>
  </si>
  <si>
    <t xml:space="preserve">Excavations at Kuştur north of Kuşadası (Gürçay, Akurgal, to 1975) exposed the Hellenistic agora and later remains. No pre-Greek level is reported, and the foundation by Agamemnon's veterans is legend. No statement that it was new ground.</t>
  </si>
  <si>
    <t xml:space="preserve">grandsirkeci.com article on Pygela (summarising the excavations); Strabo 14.1.20; Pleiades 599887</t>
  </si>
  <si>
    <t xml:space="preserve">C159</t>
  </si>
  <si>
    <t xml:space="preserve">Marathesium</t>
  </si>
  <si>
    <t xml:space="preserve">Μαραθήσιον</t>
  </si>
  <si>
    <t xml:space="preserve">Marathesion</t>
  </si>
  <si>
    <t xml:space="preserve">Ambar Tepe, south of Kuşadası (Kuşadası, Aydın)</t>
  </si>
  <si>
    <t xml:space="preserve">c. 443 BC</t>
  </si>
  <si>
    <t xml:space="preserve">IACP (dependent polis); ATL 443/2–415/4</t>
  </si>
  <si>
    <t xml:space="preserve">Site disputed: Ambar Tepe (Lohmann, followed by Pleiades) or the harbour of Kuşadası (Keil).</t>
  </si>
  <si>
    <t xml:space="preserve">IACP (Ionia): Marathesion; Strabo 14.1.20; Pleiades 599784; Wikipedia: Marathesium</t>
  </si>
  <si>
    <t xml:space="preserve">in the Athenian tribute lists 443/2–415/4 BC; dependent polis held by Samos, later exchanged to Ephesus (Strabo 14.1.20)</t>
  </si>
  <si>
    <t xml:space="preserve">Site disputed (Ambar Tepe, largely destroyed, or under modern Kuşadası), with no excavated finds. The suggestion that the name is Greek (Linear B ma-ra-tu-wo) is irrelevant to pre-Greek settlement.</t>
  </si>
  <si>
    <t xml:space="preserve">en.wikipedia Marathesium; Pleiades 599784</t>
  </si>
  <si>
    <t xml:space="preserve">C160</t>
  </si>
  <si>
    <t xml:space="preserve">Anaea</t>
  </si>
  <si>
    <t xml:space="preserve">Ἄναια</t>
  </si>
  <si>
    <t xml:space="preserve">Annaea; Anaia</t>
  </si>
  <si>
    <t xml:space="preserve">Soğucak</t>
  </si>
  <si>
    <t xml:space="preserve">Kadıkalesi (Kuşadası, Aydın)</t>
  </si>
  <si>
    <t xml:space="preserve">Samians (tradition)</t>
  </si>
  <si>
    <t xml:space="preserve">IACP (Ionia); Thuc. 3.19, 4.75; bishops 325–787; medieval Roman fortress town</t>
  </si>
  <si>
    <t xml:space="preserve">Kadıkalesi mound has Chalcolithic to Late Bronze Age levels with Mycenaean pottery (not counted as a Mycenaean settlement); the Samian foundation date is only traditional.</t>
  </si>
  <si>
    <t xml:space="preserve">Paus. 7.4.3; Thuc. 3.19; Pleiades 599490; Wikipedia: Anaia</t>
  </si>
  <si>
    <t xml:space="preserve">tradition: fortified by Samians expelled by Androklos of Ephesus during the Ionian settlement (Paus. 7.4.3); first historical mention 428 BC (Thuc. 3.19)</t>
  </si>
  <si>
    <t xml:space="preserve">C161</t>
  </si>
  <si>
    <t xml:space="preserve">Melie</t>
  </si>
  <si>
    <t xml:space="preserve">Μελίη</t>
  </si>
  <si>
    <t xml:space="preserve">Melia; Karion (Hellenistic fort on the site)</t>
  </si>
  <si>
    <t xml:space="preserve">Kale Tepe (Çatallar Tepe) near Güzelçamlı (Kuşadası, Aydın)</t>
  </si>
  <si>
    <t xml:space="preserve">c. 750 BC</t>
  </si>
  <si>
    <t xml:space="preserve">Vitruvius 4.1.4 (one of 13 Ionian cities); Lohmann's survey/excavation</t>
  </si>
  <si>
    <t xml:space="preserve">Identification of Kale Tepe with Melie is Lohmann's; some think the Melians were Carians. The city ceased to exist in the 7th c. BC.</t>
  </si>
  <si>
    <t xml:space="preserve">Vitruvius 4.1.4; Lohmann 2007; Pleiades 599795</t>
  </si>
  <si>
    <t xml:space="preserve">fortified Geometric settlement (8th c. BC) identified with Melie by H. Lohmann; early member of the Ionian League, destroyed by the other Ionians in the 'Meliac war' (c. 7th c. BC)</t>
  </si>
  <si>
    <t xml:space="preserve">Lohmann's excavation on Çatallar Tepe (his site of Melie, not Kale Tepe/Karion) found an 8th-c. BC fortified settlement as the earliest occupation, with no Bronze Age level. But Lohmann, following Hecataeus ('polis of Caria'), takes Melie as a Carian town, while Vitruvius 4.1.4 counts it as Ionian. If Carian, it is a native town; if Ionian, new ground. Unresolved.</t>
  </si>
  <si>
    <t xml:space="preserve">H. Lohmann 2012, 'Ionians and Carians in the Mycale: the discovery of Carian Melia and the Archaic Panionion' (Cifani &amp; Stoddart eds., Oxbow); en.wikipedia Melia (Ionia); Vitr. 4.1.4</t>
  </si>
  <si>
    <t xml:space="preserve">C162</t>
  </si>
  <si>
    <t xml:space="preserve">Priene</t>
  </si>
  <si>
    <t xml:space="preserve">Πριήνη</t>
  </si>
  <si>
    <t xml:space="preserve">Kadme (Strabo 14.1.12)</t>
  </si>
  <si>
    <t xml:space="preserve">Güllübahçe (Söke, Aydın)</t>
  </si>
  <si>
    <t xml:space="preserve">Aipytos son of Neleus and Philotas of Thebes (tradition)</t>
  </si>
  <si>
    <t xml:space="preserve">IACP (Ionia); Panionian League; coins; Hierocles; bishop 431</t>
  </si>
  <si>
    <t xml:space="preserve">Coordinates are the 4th-c. BC city; the Archaic city, abandoned because of Maeander silting, has not been found.</t>
  </si>
  <si>
    <t xml:space="preserve">Strabo 14.1.12; Paus. 7.2.10; IACP (Ionia): Priene; Pleiades 599905</t>
  </si>
  <si>
    <t xml:space="preserve">Ionian dodecapolis; tradition: founded by Aipytos son of Neleus and Philotas of Thebes (Strabo 14.1.3; Paus. 7.2.10); refounded on the present site c. 350 BC</t>
  </si>
  <si>
    <t xml:space="preserve">The excavated city (the coordinates given) was laid out on a fresh site c. 350 BC. Excavation reports find foundation-period buildings set in find-free soil, with no earlier occupation. The Archaic predecessor is unlocated (buried by Maeander silt). The older name Kadme (Strabo 14.1.12) is Boeotian, not native.</t>
  </si>
  <si>
    <t xml:space="preserve">Prienebericht 2001, Univ. Frankfurt ('in fundfreiem Boden verlegt'); Forschung Frankfurt 2/2005 ('bis jetzt nicht lokalisierte Vorgängersiedlung'); Strabo 14.1.12</t>
  </si>
  <si>
    <t xml:space="preserve">C163</t>
  </si>
  <si>
    <t xml:space="preserve">Myus</t>
  </si>
  <si>
    <t xml:space="preserve">Μυοῦς</t>
  </si>
  <si>
    <t xml:space="preserve">Myous</t>
  </si>
  <si>
    <t xml:space="preserve">Avşar Kalesi near Avşar (Söke, Aydın)</t>
  </si>
  <si>
    <t xml:space="preserve">Kydrelos son of Kodros (tradition)</t>
  </si>
  <si>
    <t xml:space="preserve">IACP (Ionia); ATL; coins; sympoliteia with Miletus c. 200 BC</t>
  </si>
  <si>
    <t xml:space="preserve">Pausanias says the Ionians expelled Carians here, but no pre-Greek levels are known. Silting emptied the town; it was merged into Miletus, with a small medieval Roman resettlement.</t>
  </si>
  <si>
    <t xml:space="preserve">Strabo 14.1.10; Paus. 7.2.10-11; IACP (Ionia): Myous; Pleiades 599813</t>
  </si>
  <si>
    <t xml:space="preserve">Ionian dodecapolis; tradition: founded by Kydrelos (Kyaretos) son of Kodros (Strabo 14.1.3; Paus. 7.2.10)</t>
  </si>
  <si>
    <t xml:space="preserve">Weber's excavations (1964–66) found the Archaic temples and a 6th–5th c. floruit as the earliest material, with no pre-Greek level. But the settlement was not explored, so new ground is not shown. The Carians expelled by the Ionians (Paus. 7.2.10) is tradition only.</t>
  </si>
  <si>
    <t xml:space="preserve">H. Weber, 'Myus. Grabungen 1964 und 1966', TAD (taed.ktb.gov.tr/Eklenti/109181); en.wikipedia Myus; Paus. 7.2.10</t>
  </si>
  <si>
    <t xml:space="preserve">C164</t>
  </si>
  <si>
    <t xml:space="preserve">Μίλητος</t>
  </si>
  <si>
    <t xml:space="preserve">Palatia (medieval)</t>
  </si>
  <si>
    <t xml:space="preserve">Balat (Didim, Aydın)</t>
  </si>
  <si>
    <t xml:space="preserve">c. 1400 BC</t>
  </si>
  <si>
    <t xml:space="preserve">Mycenaean</t>
  </si>
  <si>
    <t xml:space="preserve">Mycenaean Greeks; refounded by Ionians under Neleus (tradition)</t>
  </si>
  <si>
    <t xml:space="preserve">Mycenaeans</t>
  </si>
  <si>
    <t xml:space="preserve">Millawanda (Hittite)</t>
  </si>
  <si>
    <t xml:space="preserve">Hittite Millawanda/Milawata, identified with Miletus by most scholars (Ahhiyawa texts)</t>
  </si>
  <si>
    <t xml:space="preserve">IACP 854; coins; Hierocles; bishops 325–787</t>
  </si>
  <si>
    <t xml:space="preserve">Earlier Minoan settlement (Miletus IV); Mycenaean levels V–VI.</t>
  </si>
  <si>
    <t xml:space="preserve">IACP 854; Niemeier 2005; Pleiades 599799; Wikipedia: Miletus</t>
  </si>
  <si>
    <t xml:space="preserve">Mycenaean settlement LH IIIA (c. 1400 BC), after a Minoan phase; Ionian city by tradition founded by Neleus c. 1050 BC</t>
  </si>
  <si>
    <t xml:space="preserve">C165</t>
  </si>
  <si>
    <t xml:space="preserve">Magnesia on the Maeander</t>
  </si>
  <si>
    <t xml:space="preserve">Μαγνησία ἡ πρὸς Μαιάνδρῳ</t>
  </si>
  <si>
    <t xml:space="preserve">Magnesia ad Maeandrum; Leukophrys (site of the later city)</t>
  </si>
  <si>
    <t xml:space="preserve">near Tekin (Germencik, Aydın)</t>
  </si>
  <si>
    <t xml:space="preserve">Magnetes from Thessaly (tradition)</t>
  </si>
  <si>
    <t xml:space="preserve">IACP (Ionia); coins; Hierocles; bishops 431–680</t>
  </si>
  <si>
    <t xml:space="preserve">Strabo calls it Aeolian. The Archaic city near the Maeander is unlocated; coordinates are the city refounded by Thibron at Leukophrys c. 400/399 BC.</t>
  </si>
  <si>
    <t xml:space="preserve">Strabo 14.1.39-40; IACP (Ionia): Magnesia; Pleiades 599778; Wikipedia: Magnesia on the Maeander</t>
  </si>
  <si>
    <t xml:space="preserve">existing by the 7th c. BC (destroyed by the Cimmerians c. 650 BC; Archilochus fr. 20; Strabo 14.1.40); tradition: Magnetes from Thessaly (via Crete); moved to Leukophrys c. 400 BC</t>
  </si>
  <si>
    <t xml:space="preserve">The c. 400 BC city at Leukophrys grew around an older (by the 6th c. BC) sanctuary of Artemis. No prehistoric or native settlement level is published from the excavations (Humann 1891–93; Bingöl from 1984). The story of Leukophryene betraying her father's city to the Magnetes is myth, and the Archaic city is unlocated.</t>
  </si>
  <si>
    <t xml:space="preserve">turkisharchaeonews.net/node/104; en.wikipedia Magnesia on the Maeander; Xen. Hell. 3.2.19; Parthenius 5</t>
  </si>
  <si>
    <t xml:space="preserve">C166</t>
  </si>
  <si>
    <t xml:space="preserve">Lydia</t>
  </si>
  <si>
    <t xml:space="preserve">Nymphaeum (Nymphaion)</t>
  </si>
  <si>
    <t xml:space="preserve">Νυμφαῖον</t>
  </si>
  <si>
    <t xml:space="preserve">Nif (Ottoman)</t>
  </si>
  <si>
    <t xml:space="preserve">Kemalpaşa</t>
  </si>
  <si>
    <t xml:space="preserve">Kemalpaşa (İzmir)</t>
  </si>
  <si>
    <t xml:space="preserve">bishopric 12th c.; archbishopric 13th c.; Laskarid winter residence; council of 1234; Treaty of Nymphaion 1261</t>
  </si>
  <si>
    <t xml:space="preserve">A Hellenistic place of this name existed (BAtlas) but no ancient city. Fell to the Turks c. 1315. Ottoman Nif continued the Greek name; the town was renamed Kemalpaşa in the 20th c.</t>
  </si>
  <si>
    <t xml:space="preserve">Anna Komnene, Alexiad 14; byzantine-world.com: Nymphaion; Pleiades 550778</t>
  </si>
  <si>
    <t xml:space="preserve">medieval Roman town: first mentioned by Anna Komnene (base of Eumathios Philokales, 1108); bishopric 12th c., archbishopric 13th c.</t>
  </si>
  <si>
    <t xml:space="preserve">No pre-Greek levels reported for the Kemalpaşa (Nif) town site; the nearest prehistoric site is Yenmiş Höyük (Neolithic), c. 5 km away, and the Archaic/Lydian-period sites of the Nif Dağı project lie on the mountain to the south, not at the town.</t>
  </si>
  <si>
    <t xml:space="preserve">https://vici.org/vici/30373/ (Nif fortress, nearby Yenmiş Höyük); Pleiades 550778</t>
  </si>
  <si>
    <t xml:space="preserve">C167</t>
  </si>
  <si>
    <t xml:space="preserve">Arcadiopolis in Asia (Teira)</t>
  </si>
  <si>
    <t xml:space="preserve">Teira / Thyaira (Θείρα)</t>
  </si>
  <si>
    <t xml:space="preserve">Tire</t>
  </si>
  <si>
    <t xml:space="preserve">Tire (İzmir)</t>
  </si>
  <si>
    <t xml:space="preserve">Arcadius (name)</t>
  </si>
  <si>
    <t xml:space="preserve">Hierocles; bishops 431–879</t>
  </si>
  <si>
    <t xml:space="preserve">Teira/Thyaira appears in Roman times probably as a village of Ephesian territory; Greek tradition linked a Lydian town Tyrrha with Gyges. Identification of Arkadioupolis with Tire is standard but rests on location and continuity.</t>
  </si>
  <si>
    <t xml:space="preserve">Wikipedia: Arcadiopolis in Asia; Pleiades 599981; Hierocles</t>
  </si>
  <si>
    <t xml:space="preserve">Raised to a city as Arkadioupolis under Arcadius (395–408), to judge by the name; bishops 431–879; Hierocles</t>
  </si>
  <si>
    <t xml:space="preserve">C168</t>
  </si>
  <si>
    <t xml:space="preserve">Caystriani (Kaystrianoi)</t>
  </si>
  <si>
    <t xml:space="preserve">Καϋστριανοί</t>
  </si>
  <si>
    <t xml:space="preserve">lower Kaystros plain between Bayındır and Tire (İzmir)</t>
  </si>
  <si>
    <t xml:space="preserve">c. 150 BC</t>
  </si>
  <si>
    <t xml:space="preserve">Hellenistic civic coins</t>
  </si>
  <si>
    <t xml:space="preserve">Known as an ethnic on coins; may have been a community (koinon) of the plain rather than one town; site unknown.</t>
  </si>
  <si>
    <t xml:space="preserve">BMC Lydia; Pleiades 550632; Münzkabinett Berlin 18253104</t>
  </si>
  <si>
    <t xml:space="preserve">Own bronze coins of the 2nd–1st c. BC (BMC Lydia 7–9)</t>
  </si>
  <si>
    <t xml:space="preserve">C169</t>
  </si>
  <si>
    <t xml:space="preserve">Hypaepa (Hypaipa)</t>
  </si>
  <si>
    <t xml:space="preserve">Ὕπαιπα</t>
  </si>
  <si>
    <t xml:space="preserve">near Günlüce (Ödemiş, İzmir)</t>
  </si>
  <si>
    <t xml:space="preserve">c. 100 BC</t>
  </si>
  <si>
    <t xml:space="preserve">Strabo 13.4.7; coins to Gallienus; Hierocles; bishops 325–787; metropolis under Isaac II</t>
  </si>
  <si>
    <t xml:space="preserve">Lydian town with a Persian cult of Artemis Anaitis (‘Persian Lydians’, Paus. 5.27.5). Earliest coin date not checked against RPC here.</t>
  </si>
  <si>
    <t xml:space="preserve">Strabo 13.4.7; Paus. 5.27.5; Pleiades 550585; Wikipedia: Hypaepa</t>
  </si>
  <si>
    <t xml:space="preserve">Greek city by the late Hellenistic period: revolted against Mithridates (88 BC); civic coins from the 1st c. BC/Augustus</t>
  </si>
  <si>
    <t xml:space="preserve">C170</t>
  </si>
  <si>
    <t xml:space="preserve">Dioshieron (Lydia)</t>
  </si>
  <si>
    <t xml:space="preserve">Diospolis (Steph. Byz.); Christoupolis (7th c.); Pyrgion (from 12th c.)</t>
  </si>
  <si>
    <t xml:space="preserve">Birgi</t>
  </si>
  <si>
    <t xml:space="preserve">Birgi (Ödemiş, İzmir)</t>
  </si>
  <si>
    <t xml:space="preserve">c. 27 BC</t>
  </si>
  <si>
    <t xml:space="preserve">Roman provincial coins; Hierocles; bishops 431–880; metropolis (Pyrgion) late 12th c.–1368</t>
  </si>
  <si>
    <t xml:space="preserve">Upper Kaystros (Kilbian) town; the council seed ‘Christopolis’ is the same see. Exact relation of the ancient site to Birgi (Pyrgion, Aydınid capital from 1307) is approximate. Distinct from Ionian Dioshieron on the coast.</t>
  </si>
  <si>
    <t xml:space="preserve">RPC I 2556; Pleiades 550515; Wikipedia: Dios Hieron (Lydia)</t>
  </si>
  <si>
    <t xml:space="preserve">First civic coins under Augustus (RPC I 2556, ΔΙΟΣΙΕΡΙΤΩΝ)</t>
  </si>
  <si>
    <t xml:space="preserve">C171</t>
  </si>
  <si>
    <t xml:space="preserve">Nicaea Cilbianorum (Nikaia)</t>
  </si>
  <si>
    <t xml:space="preserve">Kilbianoi around Nikaia (Κιλβιανοὶ οἱ περὶ Νείκαιαν); Cilbiani Inferiores?</t>
  </si>
  <si>
    <t xml:space="preserve">upper Kaystros (Kilbian) plain SE of Ödemiş (İzmir)</t>
  </si>
  <si>
    <t xml:space="preserve">c. AD 138</t>
  </si>
  <si>
    <t xml:space="preserve">Roman provincial coins (2nd c. AD)</t>
  </si>
  <si>
    <t xml:space="preserve">Civic centre of the native Kilbianoi of the lower Kilbian plain; earlier issues may exist. Site not excavated.</t>
  </si>
  <si>
    <t xml:space="preserve">RPC IV.2 1215; Pleiades 550775</t>
  </si>
  <si>
    <t xml:space="preserve">Roman provincial coins of the Kilbianoi around Nikaia, c. 138–140 under Antoninus Pius (RPC IV.2 1215)</t>
  </si>
  <si>
    <t xml:space="preserve">C172</t>
  </si>
  <si>
    <t xml:space="preserve">Coloe (Koloe, Kaloe)</t>
  </si>
  <si>
    <t xml:space="preserve">Κολόη</t>
  </si>
  <si>
    <t xml:space="preserve">Kilbianoi Anō (Cilbiani Superiores); Kaloe/Keloue; Kalose (Hierocles)</t>
  </si>
  <si>
    <t xml:space="preserve">Kiraz</t>
  </si>
  <si>
    <t xml:space="preserve">Kiraz (İzmir)</t>
  </si>
  <si>
    <t xml:space="preserve">c. AD 54</t>
  </si>
  <si>
    <t xml:space="preserve">Roman provincial coins Nero–Antoninus Pius; Hierocles 660; bishops 431, 692, 787</t>
  </si>
  <si>
    <t xml:space="preserve">RPC attributes the Upper Kilbianoi coinage to Koloe. Leo the Deacon (born here) calls it a village in the 10th c.</t>
  </si>
  <si>
    <t xml:space="preserve">RPC I 2565–2566; Pleiades 550659; Wikipedia: Caloe</t>
  </si>
  <si>
    <t xml:space="preserve">Civic coins of the Upper Kilbianoi under Nero (RPC I 2565–2566, AD 54–59)</t>
  </si>
  <si>
    <t xml:space="preserve">C173</t>
  </si>
  <si>
    <t xml:space="preserve">Palaeopolis (Asia)</t>
  </si>
  <si>
    <t xml:space="preserve">Παλαιάπολις</t>
  </si>
  <si>
    <t xml:space="preserve">Beydağ</t>
  </si>
  <si>
    <t xml:space="preserve">Beydağ (İzmir)</t>
  </si>
  <si>
    <t xml:space="preserve">AD 431</t>
  </si>
  <si>
    <t xml:space="preserve">Hierocles; bishops 431–879; Notitiae to 13th c.</t>
  </si>
  <si>
    <t xml:space="preserve">Secular history unknown; placed at or near Beydağ by BAtlas (council seed: near Çaylı).</t>
  </si>
  <si>
    <t xml:space="preserve">Hierocles 660; Pleiades 599846; Wikipedia: Palaeopolis (Lydia)</t>
  </si>
  <si>
    <t xml:space="preserve">First bishop (Rhodon) at the Council of Ephesus 431; Hierocles 660.4</t>
  </si>
  <si>
    <t xml:space="preserve">Unexcavated and only approximately located (Beydağ/Çaylı); known only as a late antique see. The name 'Old City' implies an older settlement but says nothing about a non-Greek one.</t>
  </si>
  <si>
    <t xml:space="preserve">Pleiades 599846 (BAtlas 61 G1)</t>
  </si>
  <si>
    <t xml:space="preserve">C174</t>
  </si>
  <si>
    <t xml:space="preserve">Euaza</t>
  </si>
  <si>
    <t xml:space="preserve">Εὔαζα</t>
  </si>
  <si>
    <t xml:space="preserve">Augaza (Hierocles); Eugaza; Theodosioupolis (later)</t>
  </si>
  <si>
    <t xml:space="preserve">unlocated, upper Kaystros valley (Ödemiş–Kiraz area?, İzmir)</t>
  </si>
  <si>
    <t xml:space="preserve">Hierocles; bishops 431–787; Notitiae</t>
  </si>
  <si>
    <t xml:space="preserve">A small town in the hills behind Ephesus (case of Bassianos, Chalcedon 451); location unknown, coordinates a regional guess. Anatolian-looking name.</t>
  </si>
  <si>
    <t xml:space="preserve">Hierocles; Wikipedia: Euaza</t>
  </si>
  <si>
    <t xml:space="preserve">First bishop (Eutropius) at the Council of Ephesus 431; Hierocles</t>
  </si>
  <si>
    <t xml:space="preserve">C175</t>
  </si>
  <si>
    <t xml:space="preserve">Magnesia ad Sipylum</t>
  </si>
  <si>
    <t xml:space="preserve">Μαγνησία ἡ πρὸς Σιπύλῳ</t>
  </si>
  <si>
    <t xml:space="preserve">Magnesia Sipylou; Manisa (Turkish); residence and treasury of the Nicaean emperors (13th c.)</t>
  </si>
  <si>
    <t xml:space="preserve">Manisa (Şehzadeler/Yunusemre, Manisa)</t>
  </si>
  <si>
    <t xml:space="preserve">Şehzadeler</t>
  </si>
  <si>
    <t xml:space="preserve">Magnetes from Thessalian Magnesia (tradition)</t>
  </si>
  <si>
    <t xml:space="preserve">Hellanicus; OGIS 229; Hellenistic &amp; Roman coins; AD 17 earthquake list (Tacitus Ann. 2.47); bishops 431–879</t>
  </si>
  <si>
    <t xml:space="preserve">The Thessalian-Magnete founding tradition (cf. Magnesia on the Maeander) is late and cannot be dated, so the date is the first attestation. The Late Bronze Age rock relief at Akpınar on Sipylos is nearby, but no pre-Greek settlement is known under the town. Battle of Magnesia 190 BC; Nicaean imperial seat under John III Vatatzes; fell to the Turks (Saruhan) in 1313.</t>
  </si>
  <si>
    <t xml:space="preserve">Ihnken, IK 8 (1978); OGIS 229; Tacitus Ann. 2.47; Pleiades 550706; Wikipedia: Magnesia ad Sipylum</t>
  </si>
  <si>
    <t xml:space="preserve">first certain mention by Hellanicus (5th c. BC); polis with Seleucid military settlers in the sympoliteia with Smyrna (c. 245 BC, OGIS 229)</t>
  </si>
  <si>
    <t xml:space="preserve">No pre-Greek settlement is known under Manisa. The Late Bronze Age Akpınar relief lies c. 7 km away on Sipylos, and the 'Tantalis' of Pliny and the Thessalian-Magnete origin are legend. Early Bronze Age (Yortan) material belongs to other places in the province.</t>
  </si>
  <si>
    <t xml:space="preserve">en.wikipedia Manisa and Magnesia ad Sipylum; Plin. NH 5.117; Pleiades 550706</t>
  </si>
  <si>
    <t xml:space="preserve">C176</t>
  </si>
  <si>
    <t xml:space="preserve">Mostene</t>
  </si>
  <si>
    <t xml:space="preserve">Μοστήνη</t>
  </si>
  <si>
    <t xml:space="preserve">unlocated; BAtlas tentatively near Sancaklıbozköy (Manisa), at the E foot of Sipylos in the Hyrcanian plain</t>
  </si>
  <si>
    <t xml:space="preserve">Hellenistic &amp; Roman coins (to Gallienus); Tacitus Ann. 2.47; Ptolemy 5.2; see under Sardis (Notitiae)</t>
  </si>
  <si>
    <t xml:space="preserve">Cohen (1995) treats it as a native Lydian community, not a Macedonian colony. Its site is not found, so certainty is probable rather than secure.</t>
  </si>
  <si>
    <t xml:space="preserve">Tacitus Ann. 2.47; Cohen 1995; Pleiades 550752; Wikipedia: Mostene</t>
  </si>
  <si>
    <t xml:space="preserve">Hellenistic civic bronze coins with legend ΜΟΣΤΗΝΩΝ (2nd c. BC); city in the AD 17 earthquake list</t>
  </si>
  <si>
    <t xml:space="preserve">C177</t>
  </si>
  <si>
    <t xml:space="preserve">Hyrcanis</t>
  </si>
  <si>
    <t xml:space="preserve">Ὑρκανίς</t>
  </si>
  <si>
    <t xml:space="preserve">'Macedones Hyrcani' (Tacitus); Hyrkanion pedion (the plain)</t>
  </si>
  <si>
    <t xml:space="preserve">near Halitpaşa (Saruhanlı, Manisa), in the Hyrcanian plain</t>
  </si>
  <si>
    <t xml:space="preserve">c. 280 BC</t>
  </si>
  <si>
    <t xml:space="preserve">early Seleucid kings (Macedonian katoikia)</t>
  </si>
  <si>
    <t xml:space="preserve">Seleucids</t>
  </si>
  <si>
    <t xml:space="preserve">Roman coins (ΥΡΚΑΝΩΝ); Tacitus Ann. 2.47 ('Macedones Hyrcani'); Hierocles; bishop 787</t>
  </si>
  <si>
    <t xml:space="preserve">The Persian colony is known only from Strabo. The date of the Macedonian settlement is inferred, not recorded. The site is placed only roughly (BAtlas).</t>
  </si>
  <si>
    <t xml:space="preserve">Strabo 13.4.13; Tacitus Ann. 2.47; Cohen 1995; Pleiades 550588</t>
  </si>
  <si>
    <t xml:space="preserve">Persian military colony of Hyrcanians (Strabo 13.4.13); Macedonian settlers added under the early Seleucids (3rd c. BC); polis by the Roman period</t>
  </si>
  <si>
    <t xml:space="preserve">C178</t>
  </si>
  <si>
    <t xml:space="preserve">Tmolus</t>
  </si>
  <si>
    <t xml:space="preserve">Τμῶλος</t>
  </si>
  <si>
    <t xml:space="preserve">Aureliopolis (on coins from the reign of Marcus Aurelius, c. AD 160s)</t>
  </si>
  <si>
    <t xml:space="preserve">near Ahmetli (Ahmetli, Manisa)</t>
  </si>
  <si>
    <t xml:space="preserve">AD 17</t>
  </si>
  <si>
    <t xml:space="preserve">Tacitus Ann. 2.47; Roman coins (Hadrian–Caracalla); Hierocles (Aureliopolis); bishops 325, 431, 680–81, 787</t>
  </si>
  <si>
    <t xml:space="preserve">The council see 'Aureliopolis' (seed) is Tmolos. The site near Ahmetli is not precisely fixed.</t>
  </si>
  <si>
    <t xml:space="preserve">Tacitus Ann. 2.47; Pleiades 550936; Wikipedia: Tmolus (Lydia)</t>
  </si>
  <si>
    <t xml:space="preserve">first attested as a city in the AD 17 earthquake list (Tacitus Ann. 2.47); coins from Hadrian</t>
  </si>
  <si>
    <t xml:space="preserve">C179</t>
  </si>
  <si>
    <t xml:space="preserve">Sardis</t>
  </si>
  <si>
    <t xml:space="preserve">Σάρδεις</t>
  </si>
  <si>
    <t xml:space="preserve">Hyde? (Homer, Il. 20.385; identification disputed); Caesarea (title after the AD 17 earthquake, Tiberius); Sart (Turkish)</t>
  </si>
  <si>
    <t xml:space="preserve">Sart</t>
  </si>
  <si>
    <t xml:space="preserve">Sart (Salihli, Manisa)</t>
  </si>
  <si>
    <t xml:space="preserve">c. 250 BC</t>
  </si>
  <si>
    <t xml:space="preserve">Sfarda (Lydian); Sparda (Old Persian)</t>
  </si>
  <si>
    <t xml:space="preserve">Lydian Sfard- in Lydian inscriptions (ethnic sfardẽtiś 'Sardian'); Old Persian Sparda; Aramaic SPRD in the Lydian–Aramaic bilingual. Secure.</t>
  </si>
  <si>
    <t xml:space="preserve">Seleucid royal letters (213 BC); Hellenistic &amp; Roman coins; Hierocles (metropolis of Lydia); bishops 325–787</t>
  </si>
  <si>
    <t xml:space="preserve">Late Bronze Age occupation, then the Lydian royal city from the 7th c. BC. An older view (Hanfmann) dated the polis to Antiochus III's resettlement of 213 BC. Turkish c. 1310s.</t>
  </si>
  <si>
    <t xml:space="preserve">Berlin &amp; Kosmin (eds.), Spear-Won Land (2019); Gauthier, Nouvelles inscriptions de Sardes II (1989); Pleiades 550867; Wikipedia: Sardis</t>
  </si>
  <si>
    <t xml:space="preserve">Lydian capital; became a Greek polis under Antiochus I/II (c. 270s–250s BC): civic bronzes ΣΑΡΔΙΑΝΩΝ c. 240–220 BC; boule and demos addressed by Antiochus III in 213 BC</t>
  </si>
  <si>
    <t xml:space="preserve">C180</t>
  </si>
  <si>
    <t xml:space="preserve">Mesotmolus</t>
  </si>
  <si>
    <t xml:space="preserve">Μεσότμωλος</t>
  </si>
  <si>
    <t xml:space="preserve">Mesotimolus, Mesotymolus (Hierocles / Notitiae spellings)</t>
  </si>
  <si>
    <t xml:space="preserve">unlocated; probably on Mt Tmolos (Bozdağ) (the old placement at Takmak, Eşme, Uşak is doubtful)</t>
  </si>
  <si>
    <t xml:space="preserve">Hierocles; Notitiae Episcopatuum (suffragan of Sardis)</t>
  </si>
  <si>
    <t xml:space="preserve">The name means 'mid-Tmolos'. It may be a late-antique successor community on the mountain, but no site or earlier evidence is known. The coordinates are a regional guess.</t>
  </si>
  <si>
    <t xml:space="preserve">Hierocles, Synecdemus (Lydia); Wikipedia: Mesotymolus</t>
  </si>
  <si>
    <t xml:space="preserve">first attested in Hierocles' Synecdemus (c. 527); later a see under Sardis</t>
  </si>
  <si>
    <t xml:space="preserve">Unlocated late-antique see on Mt Tmolos. No evidence either way.</t>
  </si>
  <si>
    <t xml:space="preserve">Hierocles 670; input note</t>
  </si>
  <si>
    <t xml:space="preserve">C181</t>
  </si>
  <si>
    <t xml:space="preserve">Philadelphia (Lydia)</t>
  </si>
  <si>
    <t xml:space="preserve">Φιλαδέλφεια</t>
  </si>
  <si>
    <t xml:space="preserve">Neocaesarea (after AD 17, Tiberius); Flavia Philadelphia (Vespasian); Alaşehir (Turkish)</t>
  </si>
  <si>
    <t xml:space="preserve">Alaşehir</t>
  </si>
  <si>
    <t xml:space="preserve">Alaşehir (Manisa)</t>
  </si>
  <si>
    <t xml:space="preserve">c. 189 BC</t>
  </si>
  <si>
    <t xml:space="preserve">Eumenes II or Attalus II</t>
  </si>
  <si>
    <t xml:space="preserve">Attalids</t>
  </si>
  <si>
    <t xml:space="preserve">Hellenistic &amp; Roman coins; Tacitus Ann. 2.47; Hierocles; bishops 325, 680–81, 787; medieval Roman city to 1390</t>
  </si>
  <si>
    <t xml:space="preserve">One of the Seven Churches of Revelation. It was the last medieval Roman city in western Asia Minor and fell to Bayezid I in 1390.</t>
  </si>
  <si>
    <t xml:space="preserve">Strabo 13.4.10; Cohen 1995; Pleiades 550822; Wikipedia: Alaşehir</t>
  </si>
  <si>
    <t xml:space="preserve">Attalid foundation named after Attalus II Philadelphus; founded by Eumenes II after 189 BC or by Attalus II himself (159–138 BC)</t>
  </si>
  <si>
    <t xml:space="preserve">Rejected 'yes': every cited source is an excluded type (turkishmuseums, kureansiklopedi, LuwianSiteAtlas, TDV). TDV's 'probably on an older site' is a conjecture. No excavation report establishes that the Gevurtepe/Gavurtepe protohistoric mound is within 1–2 km of the Toptepe acropolis, or gives its stratified dates. PECS, Der Neue Pauly and de/en Wikipedia treat Philadelphia as an Attalid foundation and mention no earlier settlement. A Turkish or AJA report on Gevurtepe would be needed.</t>
  </si>
  <si>
    <t xml:space="preserve">en.wikipedia Alaşehir; de.wikipedia Philadelphia (Lydien) (lit.: PECS s.v. Philadelphia, TAM V.3); Pleiades 550822 (periods Hellenistic onward); luwianstudies.org/sites/gavurtepe-alasehir (no usable content)</t>
  </si>
  <si>
    <t xml:space="preserve">C182</t>
  </si>
  <si>
    <t xml:space="preserve">Hierocaesarea</t>
  </si>
  <si>
    <t xml:space="preserve">Ἱεροκαισάρεια</t>
  </si>
  <si>
    <t xml:space="preserve">Hiera Kome / Hierakome (Hellenistic sanctuary village)</t>
  </si>
  <si>
    <t xml:space="preserve">between Sazoba and Kumkuyucak (Manisa), S of Akhisar</t>
  </si>
  <si>
    <t xml:space="preserve">Tacitus Ann. 2.47, 3.62; Roman coins; Hierocles; bishops 451, 787, 879</t>
  </si>
  <si>
    <t xml:space="preserve">Tacitus (Ann. 3.62) says the temple of the 'Persian Diana' was dedicated under Cyrus. The name 'Caesarea' dates from Augustus or Tiberius, but the exact date of city status is unknown.</t>
  </si>
  <si>
    <t xml:space="preserve">Tacitus Ann. 2.47, 3.62; Pleiades 550578; Wikipedia: Hierocaesarea</t>
  </si>
  <si>
    <t xml:space="preserve">Hellenistic sanctuary village of the Persian Artemis (Hiera Kome); a city under the name Hierocaesarea by AD 17 (Tacitus Ann. 2.47); Roman coins</t>
  </si>
  <si>
    <t xml:space="preserve">C183</t>
  </si>
  <si>
    <t xml:space="preserve">Thyatira</t>
  </si>
  <si>
    <t xml:space="preserve">Θυάτειρα</t>
  </si>
  <si>
    <t xml:space="preserve">Pelopia, Euhippa (earlier names, Pliny NH 5.115); Akhisar (Turkish)</t>
  </si>
  <si>
    <t xml:space="preserve">Akhisar</t>
  </si>
  <si>
    <t xml:space="preserve">Akhisar (Manisa); Tepe Mezarlığı in the town centre</t>
  </si>
  <si>
    <t xml:space="preserve">c. 281 BC</t>
  </si>
  <si>
    <t xml:space="preserve">Seleucus I</t>
  </si>
  <si>
    <t xml:space="preserve">OGIS 211; Hellenistic &amp; Roman coins; Hierocles; bishops 325, 431</t>
  </si>
  <si>
    <t xml:space="preserve">Pliny gives the earlier names Pelopia and Euhippa. The prehistoric mound at Tepe Mezarlığı and nearby Hastane Höyük show Bronze Age occupation. One of the Seven Churches of Revelation.</t>
  </si>
  <si>
    <t xml:space="preserve">Stephanus Byz. s.v. Θυάτειρα; OGIS 211; Cohen 1995; Pleiades 550924</t>
  </si>
  <si>
    <t xml:space="preserve">Macedonian military colony founded by Seleucus I during his war with Lysimachus, 282/281 BC (Stephanus s.v.); dedication of 'the Macedonians in Thyateira' (OGIS 211)</t>
  </si>
  <si>
    <t xml:space="preserve">C184</t>
  </si>
  <si>
    <t xml:space="preserve">Apollonis</t>
  </si>
  <si>
    <t xml:space="preserve">Ἀπολλωνίς</t>
  </si>
  <si>
    <t xml:space="preserve">near Palamut (Akhisar, Manisa)</t>
  </si>
  <si>
    <t xml:space="preserve">c. 180 BC</t>
  </si>
  <si>
    <t xml:space="preserve">Eumenes II (or Attalus II)</t>
  </si>
  <si>
    <t xml:space="preserve">Strabo 13.4.4; Hellenistic &amp; Roman coins; Tacitus Ann. 2.47; Hierocles; see under Sardis</t>
  </si>
  <si>
    <t xml:space="preserve">Strabo places it 300 stadia from both Pergamon and Sardis. A second Pleiades entry (550445) is only a regional label.</t>
  </si>
  <si>
    <t xml:space="preserve">Strabo 13.4.4; Cohen 1995; Pleiades 550444; Wikipedia: Apollonis</t>
  </si>
  <si>
    <t xml:space="preserve">Attalid foundation named after Queen Apollonis (wife of Attalus I); founded by Eumenes II after 188 BC or by Attalus II (Strabo 13.4.4)</t>
  </si>
  <si>
    <t xml:space="preserve">Schuchhardt (1888) read an inscription at Palamut naming 'Macedonians from Doidye' and dated the polygonal walls to c. 300 BC. He concluded that Doidye, a non-Greek name, was the pre-Attalid name of the place. Apollonis was thus a renaming/refoundation of an existing settlement with Seleucid Macedonian settlers. That the Doidye settlement was native rests on the name alone.</t>
  </si>
  <si>
    <t xml:space="preserve">C. Schuchhardt, AM 13 (1888) 1–17 (archive.org/download/mitteilungen13deut); en.wikipedia Apollonis (Lydia); Hirschfeld, RE II.1 (1895) 163</t>
  </si>
  <si>
    <t xml:space="preserve">C185</t>
  </si>
  <si>
    <t xml:space="preserve">Hermocapelia</t>
  </si>
  <si>
    <t xml:space="preserve">Ἑρμοκαπηλεία</t>
  </si>
  <si>
    <t xml:space="preserve">Hermokapeleia</t>
  </si>
  <si>
    <t xml:space="preserve">unlocated; BAtlas places it (with Thyessos?) near Zeytinliova (Akhisar, Manisa)</t>
  </si>
  <si>
    <t xml:space="preserve">c. AD 100</t>
  </si>
  <si>
    <t xml:space="preserve">Roman coins (RPC: Hermocapelia); Hierocles; bishop 787</t>
  </si>
  <si>
    <t xml:space="preserve">Greek name ('Hermes' market'). The site is not fixed, and the exact start of its coinage is not verified.</t>
  </si>
  <si>
    <t xml:space="preserve">RPC online: Hermocapelia; Pleiades 550574; Wikipedia: Hermocapelia</t>
  </si>
  <si>
    <t xml:space="preserve">first attested by its Roman provincial coins (late 1st–3rd c. AD)</t>
  </si>
  <si>
    <t xml:space="preserve">Unlocated (Roman coins only). No evidence either way.</t>
  </si>
  <si>
    <t xml:space="preserve">Pleiades 550574; BAtlas 56</t>
  </si>
  <si>
    <t xml:space="preserve">C186</t>
  </si>
  <si>
    <t xml:space="preserve">Nacrasa</t>
  </si>
  <si>
    <t xml:space="preserve">Νάκρασα</t>
  </si>
  <si>
    <t xml:space="preserve">Nakrason / Nakrasos; often equated with Akrasos (disputed)</t>
  </si>
  <si>
    <t xml:space="preserve">probably Maltepe near Bakır (Kırkağaç, Manisa); alternatives Bakır or İlyaslar</t>
  </si>
  <si>
    <t xml:space="preserve">Seleucid or Attalid kings (Macedonian katoikia)</t>
  </si>
  <si>
    <t xml:space="preserve">Hellenistic inscription of the Macedonians; Roman coins (RPC: Nacrasa); Ptolemy 5.2.16</t>
  </si>
  <si>
    <t xml:space="preserve">The Maltepe mound has 3rd–2nd millennium BC occupation (Pleiades), if that identification is right. Whether the founders were Seleucid or Attalid is not known.</t>
  </si>
  <si>
    <t xml:space="preserve">Cohen 1995, 196–197; Ptolemy 5.2.16; RPC online: Nacrasa; Pleiades 550767</t>
  </si>
  <si>
    <t xml:space="preserve">Macedonian military settlement ('the Macedonians at Nakrasa') attested in a Hellenistic inscription of the Attalid period; probably a 3rd-c. Seleucid foundation; Roman coins ΝΑΚΡΑΣΕΙΤΩΝ</t>
  </si>
  <si>
    <t xml:space="preserve">C187</t>
  </si>
  <si>
    <t xml:space="preserve">Acrasus</t>
  </si>
  <si>
    <t xml:space="preserve">Ἄκρασος</t>
  </si>
  <si>
    <t xml:space="preserve">Akrassos; often equated with Nakrasa (Ptolemy 5.2.16), but the two mint separately</t>
  </si>
  <si>
    <t xml:space="preserve">unlocated; upper Kaikos valley, perhaps near İlyaslar (Kırkağaç area, Manisa)</t>
  </si>
  <si>
    <t xml:space="preserve">Roman coins (RPC: Acrasus, 87 types); Hierocles; Notitiae (suffragan of Sardis)</t>
  </si>
  <si>
    <t xml:space="preserve">It is kept separate from Nakrasa because RPC lists Acrasus and Nacrasa as distinct mints. If they are one place, merge them. The site is unknown.</t>
  </si>
  <si>
    <t xml:space="preserve">RPC online: Acrasus; Wikipedia: Acrassus; Cohen 1995, 196–197</t>
  </si>
  <si>
    <t xml:space="preserve">first attested by Roman provincial coins ΑΚΡΑΣΙΩΤΩΝ (Imperial period, c. late 1st–3rd c. AD)</t>
  </si>
  <si>
    <t xml:space="preserve">C188</t>
  </si>
  <si>
    <t xml:space="preserve">Attalea (Lydia)</t>
  </si>
  <si>
    <t xml:space="preserve">Ἀττάλεια</t>
  </si>
  <si>
    <t xml:space="preserve">Agroeira or Alloeira (earlier names, Stephanus s.v.)</t>
  </si>
  <si>
    <t xml:space="preserve">near Gelenbe (Kırkağaç, Manisa)</t>
  </si>
  <si>
    <t xml:space="preserve">Attalus I or Attalus II</t>
  </si>
  <si>
    <t xml:space="preserve">Stephanus Byz.; Roman coins; Hierocles; bishops 451, 787</t>
  </si>
  <si>
    <t xml:space="preserve">The former names come only from Stephanus and are recorded in Greek, so they are not counted as pre-Greek names. Which Attalus founded it is unknown.</t>
  </si>
  <si>
    <t xml:space="preserve">Stephanus Byz. s.v. Ἀττάλεια; Cohen 1995; Pleiades 550472; Wikipedia: Attaleia (Lydia)</t>
  </si>
  <si>
    <t xml:space="preserve">Attalid refoundation of the native town Agroeira/Alloeira (3rd–2nd c. BC); Roman coins ΑΤΤΑΛΕΑΤΩΝ</t>
  </si>
  <si>
    <t xml:space="preserve">C189</t>
  </si>
  <si>
    <t xml:space="preserve">Stratonicea (Lydia)</t>
  </si>
  <si>
    <t xml:space="preserve">Στρατονίκεια</t>
  </si>
  <si>
    <t xml:space="preserve">Hadrianopolis (Hadrian, after his visit of 123/124); Stratonikeia-Hadrianopolis</t>
  </si>
  <si>
    <t xml:space="preserve">Siledik</t>
  </si>
  <si>
    <t xml:space="preserve">Siledik (Kırkağaç, Manisa)</t>
  </si>
  <si>
    <t xml:space="preserve">Eumenes II (or a Seleucid king)</t>
  </si>
  <si>
    <t xml:space="preserve">Hellenistic &amp; Roman coins; letter of Hadrian to Stratonikeia-Hadrianopolis (AD 127); Hierocles; bishop 431</t>
  </si>
  <si>
    <t xml:space="preserve">Whether the founder was Attalid or Seleucid is debated (Robert 1962; Cohen 1995).</t>
  </si>
  <si>
    <t xml:space="preserve">Robert, Villes d'Asie Mineure (1962); Cohen 1995; Pleiades 550898</t>
  </si>
  <si>
    <t xml:space="preserve">royal foundation named after a queen Stratonike: probably Attalid (Eumenes II, who married Stratonike c. 188 BC), possibly Seleucid (3rd c. BC)</t>
  </si>
  <si>
    <t xml:space="preserve">Older accounts (Smith; Wikipedia) say the city was earlier called 'Indi', from coin ethnics of Trajan–Hadrian, and call it a Lydian village. But Robert explained the 'Indoi' as Indian (elephant-driver) settlers of the Seleucid era, so the name is not clearly pre-Greek. There is no archaeological evidence from Siledik.</t>
  </si>
  <si>
    <t xml:space="preserve">en.wikipedia Stratonicea (Lydia); knowledge: L. Robert, Villes d'Asie Mineure; Cohen 1995 (Stratonikeia, Lydia); Pleiades 550898</t>
  </si>
  <si>
    <t xml:space="preserve">C190</t>
  </si>
  <si>
    <t xml:space="preserve">Came</t>
  </si>
  <si>
    <t xml:space="preserve">Κάμη</t>
  </si>
  <si>
    <t xml:space="preserve">Kame, Kamai (ethnic Καμηνοί)</t>
  </si>
  <si>
    <t xml:space="preserve">unlocated; RPC/Pleiades place it N of Gelenbe on the Manisa–Balıkesir border (BAtlas 'Kamai' at 38.96N 27.52E is an alternative)</t>
  </si>
  <si>
    <t xml:space="preserve">Roman coins (RPC: Came, 14 types)</t>
  </si>
  <si>
    <t xml:space="preserve">A small minting community. Its site and the exact dates of its coins are not verified. It sits on the Manisa/Balıkesir border, so it may also appear in the TRO batch.</t>
  </si>
  <si>
    <t xml:space="preserve">RPC online: Came; Pleiades 554246; Pleiades 550612</t>
  </si>
  <si>
    <t xml:space="preserve">first attested by Roman provincial coins ΚΑΜΗΝΩΝ (Imperial period, probably 2nd–3rd c. AD)</t>
  </si>
  <si>
    <t xml:space="preserve">C191</t>
  </si>
  <si>
    <t xml:space="preserve">Daldis</t>
  </si>
  <si>
    <t xml:space="preserve">Δάλδις</t>
  </si>
  <si>
    <t xml:space="preserve">Flaviocaesarea (Flavian title on coins)</t>
  </si>
  <si>
    <t xml:space="preserve">Nardı/Narlı Kale, N of the Hermos (Salihli–Gölmarmara area, Manisa)</t>
  </si>
  <si>
    <t xml:space="preserve">Roman coins (RPC: Daldis); Hierocles; bishops 431, 680–81, 787</t>
  </si>
  <si>
    <t xml:space="preserve">It may have received city status together with the Flavian name. Earlier pseudo-autonomous coins are possible but not verified here.</t>
  </si>
  <si>
    <t xml:space="preserve">RPC online: Daldis; Pleiades 550508; TAM V,1</t>
  </si>
  <si>
    <t xml:space="preserve">a city by the Flavian period: coins with the title Flaviocaesarea (AD 69–96); Roman coins continue into the 3rd c.</t>
  </si>
  <si>
    <t xml:space="preserve">C192</t>
  </si>
  <si>
    <t xml:space="preserve">Satala (Lydia)</t>
  </si>
  <si>
    <t xml:space="preserve">Σάταλα</t>
  </si>
  <si>
    <t xml:space="preserve">Adala</t>
  </si>
  <si>
    <t xml:space="preserve">Adala (Karataş) (Salihli, Manisa)</t>
  </si>
  <si>
    <t xml:space="preserve">c. AD 360</t>
  </si>
  <si>
    <t xml:space="preserve">bishops c. 360, 451, 787, 879; Hierocles</t>
  </si>
  <si>
    <t xml:space="preserve">A village of the Katakekaumene in the Roman period (with Ioudda in its territory), and a city only in late antiquity. That Adala continues the name Satala is likely but not proven.</t>
  </si>
  <si>
    <t xml:space="preserve">Socrates &amp; Philostorgius (Elpidius); Wikipedia: Satala in Lydia; Ege Univ. thesis 'Lydia'daki Satala (Adala) antik kenti'; Pleiades 550869</t>
  </si>
  <si>
    <t xml:space="preserve">first attested as a city through its bishop Elpidius, deposed in 360; Hellenistic and Roman village remains; never minted coins</t>
  </si>
  <si>
    <t xml:space="preserve">C193</t>
  </si>
  <si>
    <t xml:space="preserve">Charakipolis</t>
  </si>
  <si>
    <t xml:space="preserve">Χαρακίπολις</t>
  </si>
  <si>
    <t xml:space="preserve">Charax</t>
  </si>
  <si>
    <t xml:space="preserve">near Karayakup (Manisa); location approximate</t>
  </si>
  <si>
    <t xml:space="preserve">inscriptions (TAM V,1); BAtlas; city status implied by the -polis name</t>
  </si>
  <si>
    <t xml:space="preserve">Its city status rests on the -polis name; it is not in Hierocles or the conciliar lists. The name Charax ('stockade') suggests a Hellenistic fort. Coins attributed to it are not verified here. Drop it if a stricter standard is used.</t>
  </si>
  <si>
    <t xml:space="preserve">Pleiades 550495; Wikipedia: Charax (Lydia); TAM V,1</t>
  </si>
  <si>
    <t xml:space="preserve">Roman-period community styling itself Charakipolis/Charakipolitai (2nd–3rd c. AD), which implies civic status</t>
  </si>
  <si>
    <t xml:space="preserve">Location only approximate (near Karayakup) and unexcavated; the name suggests a Hellenistic fort. No evidence either way.</t>
  </si>
  <si>
    <t xml:space="preserve">en.wikipedia Charax (Lydia); Pleiades 550495</t>
  </si>
  <si>
    <t xml:space="preserve">C194</t>
  </si>
  <si>
    <t xml:space="preserve">Flaviopolis (Lydia)</t>
  </si>
  <si>
    <t xml:space="preserve">Φλαουιόπολις</t>
  </si>
  <si>
    <t xml:space="preserve">Lora (native name?; BAtlas '*Lora/Flaviopolis')</t>
  </si>
  <si>
    <t xml:space="preserve">near Şahankaya (Manisa); location approximate</t>
  </si>
  <si>
    <t xml:space="preserve">c. AD 80</t>
  </si>
  <si>
    <t xml:space="preserve">Flavian emperors (grant of name and status)</t>
  </si>
  <si>
    <t xml:space="preserve">inscriptions (BAtlas/DARE); imperial -polis name</t>
  </si>
  <si>
    <t xml:space="preserve">It has no coins, no Hierocles entry and no known bishops, so city status rests only on the imperial name. Drop it if a stricter standard is used.</t>
  </si>
  <si>
    <t xml:space="preserve">Pleiades 550700; Wikipedia: Flaviopolis (Lydia); BAtlas 56 G4</t>
  </si>
  <si>
    <t xml:space="preserve">Roman-period community named Flaviopolis after the Flavian emperors (AD 69–96), known from inscriptions</t>
  </si>
  <si>
    <t xml:space="preserve">C195</t>
  </si>
  <si>
    <t xml:space="preserve">Tomara</t>
  </si>
  <si>
    <t xml:space="preserve">Τόμαρα</t>
  </si>
  <si>
    <t xml:space="preserve">Tomaris (ethnic Τομαρηνοί)</t>
  </si>
  <si>
    <t xml:space="preserve">NE of Gölmarmara (Manisa); location approximate (BAtlas *Tomara)</t>
  </si>
  <si>
    <t xml:space="preserve">Roman coins (RPC: Tomara, 13 types)</t>
  </si>
  <si>
    <t xml:space="preserve">A small minting community, not in Hierocles. The exact dates of its coins are not verified.</t>
  </si>
  <si>
    <t xml:space="preserve">RPC online: Tomara; Pleiades 550938; WildWinds: Tomaris</t>
  </si>
  <si>
    <t xml:space="preserve">first attested by Roman provincial coins ΤΟΜΑΡΗΝΩΝ (Imperial period, probably 2nd–3rd c. AD)</t>
  </si>
  <si>
    <t xml:space="preserve">C196</t>
  </si>
  <si>
    <t xml:space="preserve">Cerasa (Kerassai)</t>
  </si>
  <si>
    <t xml:space="preserve">Κέρασαι</t>
  </si>
  <si>
    <t xml:space="preserve">Kerase (Hierocles); Kerasa</t>
  </si>
  <si>
    <t xml:space="preserve">unlocated; N of the Hermos near Köprübaşı (council-list region); Wikipedia suggests Eliesler</t>
  </si>
  <si>
    <t xml:space="preserve">AD 451</t>
  </si>
  <si>
    <t xml:space="preserve">bishops 451, 553, 787, 879; Hierocles</t>
  </si>
  <si>
    <t xml:space="preserve">This is the unnamed seed see (38.75N 28.35E; 451, 553, 787), whose councils match Kerassai exactly. The site is unknown.</t>
  </si>
  <si>
    <t xml:space="preserve">Wikipedia: Cerasa; Hierocles, Synecdemus (Lydia); Darrouzès, Notitiae</t>
  </si>
  <si>
    <t xml:space="preserve">first attested as a city by its bishop Menecrates at Chalcedon (451); Hierocles</t>
  </si>
  <si>
    <t xml:space="preserve">C197</t>
  </si>
  <si>
    <t xml:space="preserve">Julia Gordus</t>
  </si>
  <si>
    <t xml:space="preserve">Ἰουλία Γόρδος</t>
  </si>
  <si>
    <t xml:space="preserve">Gordos; Iulieis Gordenoi</t>
  </si>
  <si>
    <t xml:space="preserve">Gördes</t>
  </si>
  <si>
    <t xml:space="preserve">Gördes (Manisa)</t>
  </si>
  <si>
    <t xml:space="preserve">c. AD 1</t>
  </si>
  <si>
    <t xml:space="preserve">Roman coins (RPC: Iulia Gordus); TAM V,1 inscriptions; Hierocles; bishop 787</t>
  </si>
  <si>
    <t xml:space="preserve">Pleiades lists Hellenistic material, and civic decrees may go back to the 1st c. BC (not verified). The title Iulia points to Augustus or his successors.</t>
  </si>
  <si>
    <t xml:space="preserve">TAM V,1 (Gordos); RPC online: Iulia Gordus; Pleiades 550601</t>
  </si>
  <si>
    <t xml:space="preserve">a city with the title Iulia by the early Principate (Julio-Claudian); Roman coins ΙΟΥΛΙΕΩΝ ΓΟΡΔΗΝΩΝ</t>
  </si>
  <si>
    <t xml:space="preserve">C198</t>
  </si>
  <si>
    <t xml:space="preserve">Maeonia</t>
  </si>
  <si>
    <t xml:space="preserve">Μαιονία</t>
  </si>
  <si>
    <t xml:space="preserve">Gökçeören</t>
  </si>
  <si>
    <t xml:space="preserve">Menye (Gökçeören?) (Kula, Manisa)</t>
  </si>
  <si>
    <t xml:space="preserve">c. AD 60</t>
  </si>
  <si>
    <t xml:space="preserve">Roman coins (Nero–Decius); TAM V,1; Hierocles; bishop 787</t>
  </si>
  <si>
    <t xml:space="preserve">The name continues the Homeric ethnic Maiones (Lydians), and the village name Menye preserves it. Pleiades also lists Hellenistic material, so city status may be earlier.</t>
  </si>
  <si>
    <t xml:space="preserve">RPC I (Maeonia); TAM V,1; Pleiades 550709</t>
  </si>
  <si>
    <t xml:space="preserve">first coins under Nero (one issue dated AD 65); Roman-period city of the Katakekaumene</t>
  </si>
  <si>
    <t xml:space="preserve">C199</t>
  </si>
  <si>
    <t xml:space="preserve">Saittai</t>
  </si>
  <si>
    <t xml:space="preserve">Σαιτται</t>
  </si>
  <si>
    <t xml:space="preserve">Settai, Setae (Hierocles; Notitiae)</t>
  </si>
  <si>
    <t xml:space="preserve">Sidas Kale near İcikler (Demirci, Manisa)</t>
  </si>
  <si>
    <t xml:space="preserve">Roman coins (Hadrian–Gallienus); Ptolemy 5.2.21; Hierocles; bishops 431, 451, 680–81, 787</t>
  </si>
  <si>
    <t xml:space="preserve">The local name Sidas preserves Saittai. Earlier inscriptions on site may show civic institutions in the 1st c. AD (not verified).</t>
  </si>
  <si>
    <t xml:space="preserve">Ptolemy 5.2.21; WildWinds: Saitta; TAM V,1; Pleiades 609517</t>
  </si>
  <si>
    <t xml:space="preserve">first attested by Roman provincial coins from Hadrian (AD 117–138) and Ptolemy (5.2.21)</t>
  </si>
  <si>
    <t xml:space="preserve">C200</t>
  </si>
  <si>
    <t xml:space="preserve">Silandus</t>
  </si>
  <si>
    <t xml:space="preserve">Σίλανδος</t>
  </si>
  <si>
    <t xml:space="preserve">Karaselendi</t>
  </si>
  <si>
    <t xml:space="preserve">Karaselendi near Selendi (Selendi, Manisa)</t>
  </si>
  <si>
    <t xml:space="preserve">Roman coins (RPC: Silandus, 72 types); Hierocles; bishops 451, 680–81, 787</t>
  </si>
  <si>
    <t xml:space="preserve">The district town Selendi (c. 4 km E) also preserves the name. The start of the coinage is approximate.</t>
  </si>
  <si>
    <t xml:space="preserve">RPC online: Silandus; Pleiades 609528; Wikipedia: Silandus</t>
  </si>
  <si>
    <t xml:space="preserve">first attested by Roman provincial coins (from c. the late 1st c. AD)</t>
  </si>
  <si>
    <t xml:space="preserve">C201</t>
  </si>
  <si>
    <t xml:space="preserve">Tabala</t>
  </si>
  <si>
    <t xml:space="preserve">Τάβαλα</t>
  </si>
  <si>
    <t xml:space="preserve">Gabala (Notitiae corruption)</t>
  </si>
  <si>
    <t xml:space="preserve">Burgaz</t>
  </si>
  <si>
    <t xml:space="preserve">Burgaz on the Hermos (Kula, Manisa)</t>
  </si>
  <si>
    <t xml:space="preserve">Roman coins (RPC: Tabala); Hierocles; bishops 451, 787</t>
  </si>
  <si>
    <t xml:space="preserve">The start of the coinage is approximate.</t>
  </si>
  <si>
    <t xml:space="preserve">RPC online: Tabala; TAM V,1; Pleiades 609540</t>
  </si>
  <si>
    <t xml:space="preserve">first attested by Roman provincial coins (late 1st–3rd c. AD)</t>
  </si>
  <si>
    <t xml:space="preserve">C202</t>
  </si>
  <si>
    <t xml:space="preserve">Sala</t>
  </si>
  <si>
    <t xml:space="preserve">Σάλα</t>
  </si>
  <si>
    <t xml:space="preserve">Domitianopolis (coins of AD 71–84); Salena</t>
  </si>
  <si>
    <t xml:space="preserve">unlocated; Lydian–Phrygian border, conventus of Sardis (Ramsay: Kepecik)</t>
  </si>
  <si>
    <t xml:space="preserve">Roman coins AD 71–222 (RPC: Sala, 76 types); Ptolemy; bishop 787</t>
  </si>
  <si>
    <t xml:space="preserve">Ramsay's Kepecik placement could not be verified. The site may lie in Kütahya rather than Manisa or Uşak; the coordinates are only a regional guess.</t>
  </si>
  <si>
    <t xml:space="preserve">RPC online: Sala; WildWinds: Sala; Ramsay, HGAM (1890); Wikipedia: Sala (Lydia)</t>
  </si>
  <si>
    <t xml:space="preserve">coins as 'Domitianopolis Sala' under Domitian as Caesar (AD 71–81); coinage to Elagabalus</t>
  </si>
  <si>
    <t xml:space="preserve">C203</t>
  </si>
  <si>
    <t xml:space="preserve">Bagis</t>
  </si>
  <si>
    <t xml:space="preserve">Βάγις</t>
  </si>
  <si>
    <t xml:space="preserve">Bage (Notitiae)</t>
  </si>
  <si>
    <t xml:space="preserve">Güre</t>
  </si>
  <si>
    <t xml:space="preserve">Güre (Merkez, Uşak)</t>
  </si>
  <si>
    <t xml:space="preserve">Uşak</t>
  </si>
  <si>
    <t xml:space="preserve">Roman coins (RPC: Bagis, 91 types); TAM V,1; Hierocles; Notitiae (suffragan of Sardis)</t>
  </si>
  <si>
    <t xml:space="preserve">The Lydian–Persian elite tumuli of Güre (İkiztepe, the 'Lydian Treasure', 6th c. BC) show an earlier native centre in the area. The start of the coinage is approximate.</t>
  </si>
  <si>
    <t xml:space="preserve">RPC online: Bagis; TAM V,1; Pleiades 609336; Wikipedia: Bagis</t>
  </si>
  <si>
    <t xml:space="preserve">first attested by Roman provincial coins ΒΑΓΗΝΩΝ (1st–3rd c. AD)</t>
  </si>
  <si>
    <t xml:space="preserve">C204</t>
  </si>
  <si>
    <t xml:space="preserve">Blaundus</t>
  </si>
  <si>
    <t xml:space="preserve">Βλαῦνδος</t>
  </si>
  <si>
    <t xml:space="preserve">Mlaundos (coin legends ΜΛΑΥΝΔΕΩΝ); Balandos (Notitiae)</t>
  </si>
  <si>
    <t xml:space="preserve">near Sülümenli (Ulubey, Uşak)</t>
  </si>
  <si>
    <t xml:space="preserve">early Hellenistic kings (Macedonian settlers; Antigonid or Seleucid)</t>
  </si>
  <si>
    <t xml:space="preserve">Hellenistic &amp; Roman coins (RPC: Blaundus, 100 types); Hierocles; bishops 359, 451, 458</t>
  </si>
  <si>
    <t xml:space="preserve">Cylinder seals point to a native settlement in the early 2nd millennium BC (Assyrian Colony period). It is unclear whether the Macedonian settlers came under Antigonus or the Seleucids.</t>
  </si>
  <si>
    <t xml:space="preserve">Filges, Blaundos (2006); Cohen 1995; Pleiades 609344; Wikipedia: Blaundus</t>
  </si>
  <si>
    <t xml:space="preserve">early Hellenistic settlement of Macedonians (coins ΜΛΑΥΝΔΕΩΝ ΜΑΚΕΔΟΝΩΝ), late 4th/3rd c. BC, per excavations</t>
  </si>
  <si>
    <t xml:space="preserve">C205</t>
  </si>
  <si>
    <t xml:space="preserve">Tralles</t>
  </si>
  <si>
    <t xml:space="preserve">Τράλλεις</t>
  </si>
  <si>
    <t xml:space="preserve">Anthea, Euanthia (Pliny); Seleukeia and Antiocheia (Seleucid); Kaisareia (Augustus); Andronikopolis/Palaiologopolis (Andronikos II, c. 1280); Güzelhisar (Turkish)</t>
  </si>
  <si>
    <t xml:space="preserve">plateau north of Aydın city centre (Efeler, Aydın)</t>
  </si>
  <si>
    <t xml:space="preserve">Efeler</t>
  </si>
  <si>
    <t xml:space="preserve">native town (tradition: Argives and Trallians)</t>
  </si>
  <si>
    <t xml:space="preserve">coins (incl. cistophori, 2nd c. BC); Strabo; Hierocles; bishops 431–787</t>
  </si>
  <si>
    <t xml:space="preserve">Placed in Lydia or Caria by different authors. The Argive foundation story is late; the 4th-c. date is approximate.</t>
  </si>
  <si>
    <t xml:space="preserve">Strabo 14.1.42; Cohen 1995; Pleiades 599987; Wikipedia: Tralles</t>
  </si>
  <si>
    <t xml:space="preserve">native town (tradition: founded by Argives and Thracian Trallians, Strabo 14.1.42); Greek city by the 4th c. BC; Seleucid refoundation as Seleukeia/Antiocheia</t>
  </si>
  <si>
    <t xml:space="preserve">C206</t>
  </si>
  <si>
    <t xml:space="preserve">Nysa</t>
  </si>
  <si>
    <t xml:space="preserve">Νῦσα</t>
  </si>
  <si>
    <t xml:space="preserve">Athymbra (earlier settlement)</t>
  </si>
  <si>
    <t xml:space="preserve">Sultanhisar (Aydın)</t>
  </si>
  <si>
    <t xml:space="preserve">Antiochus I</t>
  </si>
  <si>
    <t xml:space="preserve">coins; Strabo 14.1.43-46; Hierocles; bishops 431–787</t>
  </si>
  <si>
    <t xml:space="preserve">Legend: Athymbra was founded by three Spartan brothers (Strabo). Placed in Caria or Lydia by different sources.</t>
  </si>
  <si>
    <t xml:space="preserve">Strabo 14.1.46; Cohen 1995; Pleiades 599832; Wikipedia: Nysa on the Maeander</t>
  </si>
  <si>
    <t xml:space="preserve">synoecism of Athymbra, Athymbrada and Hydrela, named after Nysa, wife of Antiochus I (c. 280–261 BC)</t>
  </si>
  <si>
    <t xml:space="preserve">C207</t>
  </si>
  <si>
    <t xml:space="preserve">Mastaura</t>
  </si>
  <si>
    <t xml:space="preserve">Μάσταυρα</t>
  </si>
  <si>
    <t xml:space="preserve">Mastavra (Ottoman village name)</t>
  </si>
  <si>
    <t xml:space="preserve">Bereketli (formerly Mastavra), north of Nazilli (Aydın)</t>
  </si>
  <si>
    <t xml:space="preserve">native town</t>
  </si>
  <si>
    <t xml:space="preserve">RPC coins; Pliny NH 5.120; bishops 431, 680–81, 787</t>
  </si>
  <si>
    <t xml:space="preserve">Non-Greek name; Stephanus links it to the goddess Ma.</t>
  </si>
  <si>
    <t xml:space="preserve">Strabo 14.1.48; RPC (city 123: Mastaura); Pleiades 599790; Wikipedia: Mastaura (Caria)</t>
  </si>
  <si>
    <t xml:space="preserve">city coinage of the early Imperial period (RPC, 81 types); Strabo 14.1.48; Pliny NH 5.120; bishops 431–787</t>
  </si>
  <si>
    <t xml:space="preserve">C208</t>
  </si>
  <si>
    <t xml:space="preserve">Aninetus</t>
  </si>
  <si>
    <t xml:space="preserve">Ἀνίνητα</t>
  </si>
  <si>
    <t xml:space="preserve">Anineta</t>
  </si>
  <si>
    <t xml:space="preserve">near Kuyucak (Aydın)</t>
  </si>
  <si>
    <t xml:space="preserve">bishops 431, 451; Notitiae (see of Ephesus)</t>
  </si>
  <si>
    <t xml:space="preserve">Small Maeander-valley town; location from the Barrington Atlas. The name is probably non-Greek.</t>
  </si>
  <si>
    <t xml:space="preserve">Pleiades 599493; council lists (Ephesus 431; Chalcedon 451)</t>
  </si>
  <si>
    <t xml:space="preserve">first bishop at Ephesus (431); bishop again at Chalcedon (451)</t>
  </si>
  <si>
    <t xml:space="preserve">C209</t>
  </si>
  <si>
    <t xml:space="preserve">Briula</t>
  </si>
  <si>
    <t xml:space="preserve">Βρίουλα</t>
  </si>
  <si>
    <t xml:space="preserve">Brioula</t>
  </si>
  <si>
    <t xml:space="preserve">Billara, near Kuyucak (Aydın)</t>
  </si>
  <si>
    <t xml:space="preserve">c. AD 70</t>
  </si>
  <si>
    <t xml:space="preserve">RPC coins; Pliny NH 5.120; Strabo 14.1.48; Notitiae (see of Ephesus)</t>
  </si>
  <si>
    <t xml:space="preserve">The exact site is uncertain. Not in the seed file; added.</t>
  </si>
  <si>
    <t xml:space="preserve">Strabo 14.1.48; RPC (city 343: Briula); Pleiades 638793; Wikipedia: Briula</t>
  </si>
  <si>
    <t xml:space="preserve">Briulitae in Pliny NH 5.120 (c. AD 77); Imperial-period city coins (RPC); later a bishopric</t>
  </si>
  <si>
    <t xml:space="preserve">C210</t>
  </si>
  <si>
    <t xml:space="preserve">Tripolis on the Maeander</t>
  </si>
  <si>
    <t xml:space="preserve">Τρίπολις</t>
  </si>
  <si>
    <t xml:space="preserve">Apollonia (Pliny); Antoniopolis; Neapolis (Steph. Byz.)</t>
  </si>
  <si>
    <t xml:space="preserve">Yenicekent (Buldan, Denizli)</t>
  </si>
  <si>
    <t xml:space="preserve">Denizli</t>
  </si>
  <si>
    <t xml:space="preserve">coins; Pliny NH 5.111; Hierocles (Lydia); bishops 325–451</t>
  </si>
  <si>
    <t xml:space="preserve">The name 'Apollonia' (Pliny) suggests an unrecorded Seleucid or Attalid foundation; the coinage date is approximate.</t>
  </si>
  <si>
    <t xml:space="preserve">Pleiades 639152; Pliny NH 5.111; Thonemann 2011; Wikipedia: Tripolis on the Meander</t>
  </si>
  <si>
    <t xml:space="preserve">Hellenistic city (earlier name Apollonia); own coins from the 1st c. BC</t>
  </si>
  <si>
    <t xml:space="preserve">The city itself has no reported pre-Hellenistic levels (excavators: history 'goes back to the Hellenistic period'). The Chalcolithic–Late Bronze Age pottery and stone tools come from a separate mound c. 2.5 km NW of the city, so outside the same-nucleus test.</t>
  </si>
  <si>
    <t xml:space="preserve">https://www.turkisharchaeonews.net/site/tripolis ; https://www.pau.edu.tr/tripolis/en/sayfa/about-tripolis</t>
  </si>
  <si>
    <t xml:space="preserve">C211</t>
  </si>
  <si>
    <t xml:space="preserve">Caria</t>
  </si>
  <si>
    <t xml:space="preserve">Heraclea by Latmus</t>
  </si>
  <si>
    <t xml:space="preserve">Ἡράκλεια ἡ ὑπὸ Λάτμῳ</t>
  </si>
  <si>
    <t xml:space="preserve">Latmos (earlier Carian city on the mountain); Pleistarcheia (c. 300 BC)</t>
  </si>
  <si>
    <t xml:space="preserve">Kapıkırı</t>
  </si>
  <si>
    <t xml:space="preserve">Kapıkırı, Lake Bafa (Milas, Muğla)</t>
  </si>
  <si>
    <t xml:space="preserve">Muğla</t>
  </si>
  <si>
    <t xml:space="preserve">c. 320 BC</t>
  </si>
  <si>
    <t xml:space="preserve">Carian Latmos; relocated and renamed under the Hecatomnids (Mausolus?), walled by Pleistarchos c. 300 BC</t>
  </si>
  <si>
    <t xml:space="preserve">ATL (Latmioi); Greek treaty with Pidasa (late 4th c.); Hellenistic coins; Hierocles; bishops 431, 451</t>
  </si>
  <si>
    <t xml:space="preserve">Old Latmos (Pleiades 599752) lies just above; who moved the city and named it Herakleia (Mausolus or Pleistarchos) is debated.</t>
  </si>
  <si>
    <t xml:space="preserve">Strabo 14.1.8; Peschlow-Bindokat 2005; Blümel 1997 (EA 29); Pleiades 599640</t>
  </si>
  <si>
    <t xml:space="preserve">Carian Latmos (tribute lists, 5th c.) taken by Mausolus and moved to the lakeside site as Herakleia; sympoliteia treaty of Latmos with Pidasa in Greek, c. 323–313 BC</t>
  </si>
  <si>
    <t xml:space="preserve">C212</t>
  </si>
  <si>
    <t xml:space="preserve">Pidasa</t>
  </si>
  <si>
    <t xml:space="preserve">Πίδασα</t>
  </si>
  <si>
    <t xml:space="preserve">sometimes spelled Pedasa (not Lelegian Pedasa near Halikarnassos)</t>
  </si>
  <si>
    <t xml:space="preserve">Mt Grion (İlbıra Dağı), south of Lake Bafa (Milas, Muğla)</t>
  </si>
  <si>
    <t xml:space="preserve">Carian town</t>
  </si>
  <si>
    <t xml:space="preserve">IACP 925; Greek treaties with Latmos and Miletus</t>
  </si>
  <si>
    <t xml:space="preserve">Absorbed by Miletus in the early 2nd c. BC.</t>
  </si>
  <si>
    <t xml:space="preserve">IACP 925; Blümel 1997 (EA 29); Milet I 3, 149; Pleiades 599890</t>
  </si>
  <si>
    <t xml:space="preserve">sympoliteia treaty with Latmos in Greek (c. 323–313 BC); later sympoliteia with Miletus (c. 187 BC)</t>
  </si>
  <si>
    <t xml:space="preserve">C213</t>
  </si>
  <si>
    <t xml:space="preserve">Iasus</t>
  </si>
  <si>
    <t xml:space="preserve">Ἰασός</t>
  </si>
  <si>
    <t xml:space="preserve">Iassos; Asın Kale (Ottoman)</t>
  </si>
  <si>
    <t xml:space="preserve">Kıyıkışlacık</t>
  </si>
  <si>
    <t xml:space="preserve">Kıyıkışlacık (Milas, Muğla)</t>
  </si>
  <si>
    <t xml:space="preserve">Argives, with Milesians (tradition)</t>
  </si>
  <si>
    <t xml:space="preserve">IACP (Caria); ATL; coins; Hierocles; bishops 431–787</t>
  </si>
  <si>
    <t xml:space="preserve">Carian settlement from the Early Bronze Age, with Minoanizing levels and buildings with LH IIIA–C Mycenaean pottery. Whether it was a Mycenaean settlement proper is debated, so it is dated from the Protogeometric period.</t>
  </si>
  <si>
    <t xml:space="preserve">Polyb. 16.12.2; Momigliano 2012 (Bronze Age Carian Iasos); Pleiades 599664; Wikipedia: Iasos</t>
  </si>
  <si>
    <t xml:space="preserve">Protogeometric cemetery (10th–9th c. BC); tradition: Argive colony, reinforced by Milesians under a son of Neleus (Polyb. 16.12.2)</t>
  </si>
  <si>
    <t xml:space="preserve">C214</t>
  </si>
  <si>
    <t xml:space="preserve">Bargylia</t>
  </si>
  <si>
    <t xml:space="preserve">Βαργύλια</t>
  </si>
  <si>
    <t xml:space="preserve">Andanos (said to be its Carian name, Steph. Byz.); Varvıl (Ottoman name of the site)</t>
  </si>
  <si>
    <t xml:space="preserve">near Boğaziçi (Milas, Muğla)</t>
  </si>
  <si>
    <t xml:space="preserve">Carian town (legend: Bellerophon, Steph. Byz.)</t>
  </si>
  <si>
    <t xml:space="preserve">IACP (Caria); ATL; Hellenistic decrees and coins; Hierocles; bishop 787</t>
  </si>
  <si>
    <t xml:space="preserve">Absorbed neighbouring Kindye; the Ottoman name Varvıl continues Bargylia.</t>
  </si>
  <si>
    <t xml:space="preserve">IACP (Caria): Bargylia; Strabo 14.2.20; Pleiades 599550; Wikipedia: Bargylia</t>
  </si>
  <si>
    <t xml:space="preserve">Carian member of the tribute lists (5th c.); Greek polis by the Hecatomnid period (4th c. BC); Hellenistic decrees and coins</t>
  </si>
  <si>
    <t xml:space="preserve">C215</t>
  </si>
  <si>
    <t xml:space="preserve">Caryanda</t>
  </si>
  <si>
    <t xml:space="preserve">Καρύανδα</t>
  </si>
  <si>
    <t xml:space="preserve">Neapolis (later mainland site)</t>
  </si>
  <si>
    <t xml:space="preserve">Gölköy</t>
  </si>
  <si>
    <t xml:space="preserve">Gölköy/Türkbükü (Bodrum, Muğla) (later site); earlier site perhaps Salih Adası</t>
  </si>
  <si>
    <t xml:space="preserve">IACP (Caria); ATL; Strabo 14.2.20; Pliny NH 5.107</t>
  </si>
  <si>
    <t xml:space="preserve">Both sites are uncertain (Pleiades 599693, Salih Adası?; 599694, Göl). There is no clear evidence of Greek civic institutions.</t>
  </si>
  <si>
    <t xml:space="preserve">IACP (Caria): Karyanda; Strabo 14.2.20; Pleiades 599694; Wikipedia: Caryanda</t>
  </si>
  <si>
    <t xml:space="preserve">Carian community in the tribute lists (5th c.; home of Skylax, who wrote in Greek c. 500 BC); moved to a new mainland site (Neapolis), reportedly early 3rd c. BC</t>
  </si>
  <si>
    <t xml:space="preserve">C216</t>
  </si>
  <si>
    <t xml:space="preserve">Myndus</t>
  </si>
  <si>
    <t xml:space="preserve">Μύνδος</t>
  </si>
  <si>
    <t xml:space="preserve">Palaia Myndos (old inland site)</t>
  </si>
  <si>
    <t xml:space="preserve">Gümüşlük</t>
  </si>
  <si>
    <t xml:space="preserve">Gümüşlük (Bodrum, Muğla)</t>
  </si>
  <si>
    <t xml:space="preserve">Troizenians (tradition), at a Lelegian town; refounded by Mausolus</t>
  </si>
  <si>
    <t xml:space="preserve">Dorians</t>
  </si>
  <si>
    <t xml:space="preserve">Mwdon- (Carian)?</t>
  </si>
  <si>
    <t xml:space="preserve">Carian ethnic mw[d]on- read as 'Myndian' (Adiego); a tentative reading of an ethnic, not a certain city name</t>
  </si>
  <si>
    <t xml:space="preserve">Strabo counts Myndos among the eight Lelegian towns, so the Troizenian tradition is doubtful. Coordinates are New Myndos; Palaia Myndos is Pleiades 599845.</t>
  </si>
  <si>
    <t xml:space="preserve">IACP (Caria): Myndos; Hdt. 5.33; Paus. 2.30.9; Pleiades 599811</t>
  </si>
  <si>
    <t xml:space="preserve">Myndian ship in the Ionian revolt period, 499 BC (Hdt. 5.33); tradition: Troizenian colony (Paus. 2.30.9); refounded on the coast by Mausolus c. 360 BC</t>
  </si>
  <si>
    <t xml:space="preserve">C217</t>
  </si>
  <si>
    <t xml:space="preserve">Termera</t>
  </si>
  <si>
    <t xml:space="preserve">Τέρμερα</t>
  </si>
  <si>
    <t xml:space="preserve">Termerum</t>
  </si>
  <si>
    <t xml:space="preserve">Asarlık near Turgutreis (Bodrum, Muğla)</t>
  </si>
  <si>
    <t xml:space="preserve">Lelegian/Carian town</t>
  </si>
  <si>
    <t xml:space="preserve">IACP (Caria); ATL; dynastic coins; Pliny NH 5.107</t>
  </si>
  <si>
    <t xml:space="preserve">One of Strabo's Lelegian towns. Greek-legend dynastic coins do not prove a Greek-speaking population, but it survived Mausolus' synoecism and was a free town under Rome.</t>
  </si>
  <si>
    <t xml:space="preserve">IACP (Caria): Termera; Strabo 13.1.59; Pliny NH 5.107; Pleiades 599965</t>
  </si>
  <si>
    <t xml:space="preserve">Lelegian/Carian town; counted from the Hecatomnid period (4th c. BC), when it survived Mausolus' synoecism; earlier the dynast Tymnes' coins had Greek legends (c. 500-480 BC) and it paid tribute from 454 BC, while Carian was probably still spoken; free town under Rome (Pliny NH 5.107)</t>
  </si>
  <si>
    <t xml:space="preserve">C218</t>
  </si>
  <si>
    <t xml:space="preserve">Halicarnassus</t>
  </si>
  <si>
    <t xml:space="preserve">Ἁλικαρνασσός</t>
  </si>
  <si>
    <t xml:space="preserve">Zephyria (Steph. Byz.); Petronion (castle of St Peter, 1404)</t>
  </si>
  <si>
    <t xml:space="preserve">Bodrum</t>
  </si>
  <si>
    <t xml:space="preserve">Bodrum (Muğla)</t>
  </si>
  <si>
    <t xml:space="preserve">Troizenians under Anthes (tradition)</t>
  </si>
  <si>
    <t xml:space="preserve">Carian alosδ k̂arnosδ has been read as 'from/in Halikarnassos' (Adiego). The reading is tentative and the form is attested only in the 4th c. BC, long after the Greek city existed, so it is not entered as a pre-Greek name. The 5th-c. Salmakis inscription and Carian personal names show a mixed Greek–Carian population.</t>
  </si>
  <si>
    <t xml:space="preserve">IACP (Caria); ATL; coins; Hierocles; bishops 451–787</t>
  </si>
  <si>
    <t xml:space="preserve">Mycenaean chamber-tomb cemetery (LH IIIA–C) at nearby Müsgebi (Ortakent), but no Mycenaean settlement at Halikarnassos itself. Mausolus synoecized six Lelegian towns into it. Turkish Bodrum comes from Petronium, the Knights' name for their castle (1404), not from Halicarnassus.</t>
  </si>
  <si>
    <t xml:space="preserve">IACP (Caria): Halikarnassos; Strabo 14.2.16; Pleiades 599636; Wikipedia: Halicarnassus</t>
  </si>
  <si>
    <t xml:space="preserve">Dorian city; tradition: founded by Troizenians under Anthes (Strabo 14.2.16; Paus. 2.30.9), in the Early Iron Age; Hecatomnid capital from c. 370 BC</t>
  </si>
  <si>
    <t xml:space="preserve">C219</t>
  </si>
  <si>
    <t xml:space="preserve">Theangela</t>
  </si>
  <si>
    <t xml:space="preserve">Θεάγγελα</t>
  </si>
  <si>
    <t xml:space="preserve">Syangela (Συάγγελα; older Carian town/site)</t>
  </si>
  <si>
    <t xml:space="preserve">near Etrim (Bodrum, Muğla)</t>
  </si>
  <si>
    <t xml:space="preserve">Carian Syangela, relocated under the Hecatomnids</t>
  </si>
  <si>
    <t xml:space="preserve">IACP 931 (Syangela); Greek decrees and treaty (c. 310 BC); coins; historian Philippos of Theangela</t>
  </si>
  <si>
    <t xml:space="preserve">Strabo says Mausolus kept Syangela when he merged the Lelegian towns into Halikarnassos; Theangela was later put under Halikarnassos (Pliny).</t>
  </si>
  <si>
    <t xml:space="preserve">IACP 931; Strabo 13.1.59; Pleiades 599969; Pleiades 599948</t>
  </si>
  <si>
    <t xml:space="preserve">Carian Syangela (tribute lists, 5th c.; dynast Pigres) moved to a new fortified site as Theangela in the Hecatomnid period; Greek treaty with Eupolemos c. 310 BC; coins</t>
  </si>
  <si>
    <t xml:space="preserve">C220</t>
  </si>
  <si>
    <t xml:space="preserve">Ceramus</t>
  </si>
  <si>
    <t xml:space="preserve">Κέραμος</t>
  </si>
  <si>
    <t xml:space="preserve">Keramos</t>
  </si>
  <si>
    <t xml:space="preserve">Ören (Milas, Muğla)</t>
  </si>
  <si>
    <t xml:space="preserve">IACP 900; ATL; Chrysaoric League; coins; Hierocles; bishops 431, 787</t>
  </si>
  <si>
    <t xml:space="preserve">Its membership of the Carian Chrysaoric League shows it was counted as Carian.</t>
  </si>
  <si>
    <t xml:space="preserve">IACP 900; Strabo 14.2.15; Pleiades 599707; Wikipedia: Ceramus</t>
  </si>
  <si>
    <t xml:space="preserve">C221</t>
  </si>
  <si>
    <t xml:space="preserve">Cnidus</t>
  </si>
  <si>
    <t xml:space="preserve">Κνίδος</t>
  </si>
  <si>
    <t xml:space="preserve">Old Knidos at Burgaz (Archaic–Classical seat, debated)</t>
  </si>
  <si>
    <t xml:space="preserve">Tekir, Cape Deveboynu (Datça, Muğla)</t>
  </si>
  <si>
    <t xml:space="preserve">Lacedaemonians (tradition; Triopas)</t>
  </si>
  <si>
    <t xml:space="preserve">IACP (Caria); Dorian Hexapolis; coins; Hierocles; bishops 451, 553</t>
  </si>
  <si>
    <t xml:space="preserve">Most scholars place the Archaic–Classical city at Burgaz near Datça (Pleiades 599576) and the move to Tekir in the 4th c. BC, but this is contested. Coordinates are Tekir.</t>
  </si>
  <si>
    <t xml:space="preserve">IACP (Caria): Knidos; Hdt. 1.174; Tuna 2009; Pleiades 599575</t>
  </si>
  <si>
    <t xml:space="preserve">Dorian city of the Hexapolis; tradition: Lacedaemonian colonists (Hdt. 1.174; Strabo 14.2.6), Early Iron Age; moved to Tekir in the mid-4th c. BC</t>
  </si>
  <si>
    <t xml:space="preserve">At Tekir (the coordinates given), 'extensive habitation can be traced only from around the 4th century'. Decades of excavation (Love, Özgan, Doksanaltı) have reported no pre-Greek levels, only some earlier Greek sanctuary material. The probable Archaic city at Burgaz shows Geometric-to-Hellenistic occupation, with no Bronze Age level published.</t>
  </si>
  <si>
    <t xml:space="preserve">Greene, Leidwanger &amp; Özdaş 2013 (ancientportsantiques.com/.../Knidos-Greene2013.pdf); Burgaz Harbors Project (nauticalarch.org); Pleiades 599575</t>
  </si>
  <si>
    <t xml:space="preserve">C222</t>
  </si>
  <si>
    <t xml:space="preserve">Stadia</t>
  </si>
  <si>
    <t xml:space="preserve">Στάδια</t>
  </si>
  <si>
    <t xml:space="preserve">Tadya/Dadya (medieval–Ottoman)</t>
  </si>
  <si>
    <t xml:space="preserve">Datça</t>
  </si>
  <si>
    <t xml:space="preserve">Datça (Muğla)</t>
  </si>
  <si>
    <t xml:space="preserve">bishop at Nicaea II (787)</t>
  </si>
  <si>
    <t xml:space="preserve">Successor town at or near Old Knidos (Burgaz). Datça &lt; Dadya &lt; Tadya &lt; Stadia.</t>
  </si>
  <si>
    <t xml:space="preserve">Pleiades 599945; Wikipedia: Datça; council lists (Nicaea 787)</t>
  </si>
  <si>
    <t xml:space="preserve">first bishop at the Second Council of Nicaea (787); Roman and late-antique town of the Knidian peninsula</t>
  </si>
  <si>
    <t xml:space="preserve">Excavations at Burgaz (Old Knidos/Stadia) since 1993 (Tuna) show uninterrupted activity from the Geometric to the early Hellenistic period, and soundings find the earliest settlement activity directly on bedrock. No Bronze Age or native level is reported. The modern town of Datça itself is unexcavated. Pliny's earlier names for Knidos (Triopia, Pegusa, Stadia) are Greek.</t>
  </si>
  <si>
    <t xml:space="preserve">Burgaz Harbors Project (nauticalarch.org: 'uninterrupted activity from the Geometric period'); N. Tuna et al. 2014 Burgaz report (ancientportsantiques.com/.../Knidos-Tuna2014.pdf); Sevimli 2016 METU thesis; Plin. NH 5.104</t>
  </si>
  <si>
    <t xml:space="preserve">C223</t>
  </si>
  <si>
    <t xml:space="preserve">Idyma</t>
  </si>
  <si>
    <t xml:space="preserve">Ἴδυμα</t>
  </si>
  <si>
    <t xml:space="preserve">Kozlukuyu near Gökova/Akyaka (Ula, Muğla)</t>
  </si>
  <si>
    <t xml:space="preserve">IACP (Caria); ATL; 5th-c. coins</t>
  </si>
  <si>
    <t xml:space="preserve">Later part of the Rhodian Peraia. Greek-legend dynastic coins do not prove Greek speech.</t>
  </si>
  <si>
    <t xml:space="preserve">IACP (Caria): Idyma; Pleiades 599666; Wikipedia: Idyma</t>
  </si>
  <si>
    <t xml:space="preserve">Carian town; counted from the Hecatomnid period (4th c. BC); earlier coins of the dynast Paktyes with Greek legend ΙΔΥΜΙΟΝ (mid-5th c.) and tribute lists, with Carian probably still dominant; later in the Rhodian Peraia</t>
  </si>
  <si>
    <t xml:space="preserve">C224</t>
  </si>
  <si>
    <t xml:space="preserve">Cedreae</t>
  </si>
  <si>
    <t xml:space="preserve">Κεδρεαί</t>
  </si>
  <si>
    <t xml:space="preserve">Kedreai</t>
  </si>
  <si>
    <t xml:space="preserve">Şehir Adası (Sedir Island), Gulf of Gökova (Marmaris, Muğla)</t>
  </si>
  <si>
    <t xml:space="preserve">Carian / mixed town</t>
  </si>
  <si>
    <t xml:space="preserve">IACP (Caria); ATL; Xen. Hell. 2.1.15</t>
  </si>
  <si>
    <t xml:space="preserve">half-Greek, half-Carian population in 405 BC</t>
  </si>
  <si>
    <t xml:space="preserve">A polis only in the 5th c.; in the Hellenistic period a deme of Rhodes, with a theatre and an agora.</t>
  </si>
  <si>
    <t xml:space="preserve">IACP (Caria): Kedreai; Xen. Hell. 2.1.15; Pleiades 599702; Wikipedia: Cedreae</t>
  </si>
  <si>
    <t xml:space="preserve">in the tribute lists c. 454–415 BC; taken by Lysander 405 BC, its people 'mixobarbaroi' (Xen. Hell. 2.1.15); later a Rhodian deme</t>
  </si>
  <si>
    <t xml:space="preserve">C225</t>
  </si>
  <si>
    <t xml:space="preserve">Caunus</t>
  </si>
  <si>
    <t xml:space="preserve">Καῦνος</t>
  </si>
  <si>
    <t xml:space="preserve">near Dalyan (Ortaca, Muğla)</t>
  </si>
  <si>
    <t xml:space="preserve">Carian town (Kaunians claimed Cretan origin, Hdt. 1.172)</t>
  </si>
  <si>
    <t xml:space="preserve">Kbid- (Carian)</t>
  </si>
  <si>
    <t xml:space="preserve">Carian kbid-/kbidn- 'Kaunos/Kaunians' in the Kaunos Greek–Carian bilingual (Frei &amp; Marek 1997; Adiego); compare Lycian χbide-</t>
  </si>
  <si>
    <t xml:space="preserve">IACP (Caria); ATL; coins; Hierocles; bishops (Notitiae)</t>
  </si>
  <si>
    <t xml:space="preserve">Not in the seed file; added.</t>
  </si>
  <si>
    <t xml:space="preserve">IACP (Caria): Kaunos; Hdt. 1.172; Adiego 2007 (The Carian Language); Pleiades 638796</t>
  </si>
  <si>
    <t xml:space="preserve">Carian (Kaunian-speaking) city; Greek–Carian bilingual decree and Greek decrees of the Hecatomnid period (4th c. BC)</t>
  </si>
  <si>
    <t xml:space="preserve">C226</t>
  </si>
  <si>
    <t xml:space="preserve">Euhippe</t>
  </si>
  <si>
    <t xml:space="preserve">Εὐίππη</t>
  </si>
  <si>
    <t xml:space="preserve">Euippe</t>
  </si>
  <si>
    <t xml:space="preserve">near Dalama (Efeler, Aydın)</t>
  </si>
  <si>
    <t xml:space="preserve">Roman provincial coins (RPC city 490, 15 types); Pliny NH 5.109</t>
  </si>
  <si>
    <t xml:space="preserve">Coin legend ΕΥΙΠΠΕΩΝ. The Greek name may point to a Hellenistic settlement. Site uncertain, between the Marsyas and Harpasos rivers.</t>
  </si>
  <si>
    <t xml:space="preserve">RPC (city 490: Euippe); Pliny NH 5.109; Pleiades 599614</t>
  </si>
  <si>
    <t xml:space="preserve">city coinage from the early Empire (RPC, from Augustus); Pliny's Euhippini (NH 5.109)</t>
  </si>
  <si>
    <t xml:space="preserve">Site near Dalama is uncertain and unexcavated, with only Hellenistic–Roman attestation. No evidence either way.</t>
  </si>
  <si>
    <t xml:space="preserve">en.wikipedia Euhippe; Pleiades 599614; input note</t>
  </si>
  <si>
    <t xml:space="preserve">C227</t>
  </si>
  <si>
    <t xml:space="preserve">Orthosia</t>
  </si>
  <si>
    <t xml:space="preserve">Ὀρθωσία</t>
  </si>
  <si>
    <t xml:space="preserve">near Yenipazar (Aydın)</t>
  </si>
  <si>
    <t xml:space="preserve">c. 167 BC</t>
  </si>
  <si>
    <t xml:space="preserve">unknown (perhaps a Seleucid settlement; Cohen)</t>
  </si>
  <si>
    <t xml:space="preserve">coins (Delrieux 2008; RPC city 678); Hierocles; bishops</t>
  </si>
  <si>
    <t xml:space="preserve">The Greek name (Artemis Orthosia) suggests a Hellenistic settlement, but no founder is recorded.</t>
  </si>
  <si>
    <t xml:space="preserve">Delrieux 2008 (coins of the lower Harpasos valley); Cohen 1995; Pleiades 599839; Wikipedia: Orthosia (Caria)</t>
  </si>
  <si>
    <t xml:space="preserve">Hellenistic town, attested in 167 BC (fighting with Mylasa and Alabanda near Orthosia); coins 2nd c. BC – 3rd c. AD</t>
  </si>
  <si>
    <t xml:space="preserve">Never scientifically excavated (Donduran, Yenipazar), and heavily looted. No published survey of early material; the founder is unknown (Cohen suggests a Seleucid settlement).</t>
  </si>
  <si>
    <t xml:space="preserve">arkeofili.com (Orthosia, 2016); Pleiades 599839 (Cohen 1995, 212)</t>
  </si>
  <si>
    <t xml:space="preserve">C228</t>
  </si>
  <si>
    <t xml:space="preserve">Harpasa</t>
  </si>
  <si>
    <t xml:space="preserve">Ἅρπασα</t>
  </si>
  <si>
    <t xml:space="preserve">Arpaz</t>
  </si>
  <si>
    <t xml:space="preserve">Arpaz (Nazilli, Aydın)</t>
  </si>
  <si>
    <t xml:space="preserve">RPC coins (city 96); Hierocles; bishops (Notitiae)</t>
  </si>
  <si>
    <t xml:space="preserve">Named after the Harpasos river (Akçay); non-Greek name continued in Arpaz.</t>
  </si>
  <si>
    <t xml:space="preserve">Delrieux 2008; RPC (city 96: Harpasa); Pleiades 599637</t>
  </si>
  <si>
    <t xml:space="preserve">city coinage of the Roman period (lower Harpasos valley series, to 3rd c. AD); Hierocles; bishops</t>
  </si>
  <si>
    <t xml:space="preserve">C229</t>
  </si>
  <si>
    <t xml:space="preserve">Bargasa</t>
  </si>
  <si>
    <t xml:space="preserve">Βάργασα</t>
  </si>
  <si>
    <t xml:space="preserve">Haydere/Kavaklı (Bozdoğan, Aydın)</t>
  </si>
  <si>
    <t xml:space="preserve">coins (Delrieux 2008; RPC city 324)</t>
  </si>
  <si>
    <t xml:space="preserve">Distinct from coastal Pargasa/Bargasa near Keramos (Strabo 14.2.15; rejected). Barrington and Delrieux give the coins to this inland Bargasa. Not in the seed file; added.</t>
  </si>
  <si>
    <t xml:space="preserve">Delrieux 2008; RPC (city 324: Bargasa); Pleiades 599548; Wikipedia: Bargasa (northern Caria)</t>
  </si>
  <si>
    <t xml:space="preserve">coins (legend ΒΑΡΓΑΣΗΝΩΝ) from the late Hellenistic period(?) to the 3rd c. AD</t>
  </si>
  <si>
    <t xml:space="preserve">C230</t>
  </si>
  <si>
    <t xml:space="preserve">Neapolis (Caria)</t>
  </si>
  <si>
    <t xml:space="preserve">Νεάπολις</t>
  </si>
  <si>
    <t xml:space="preserve">Aurelia Neapolis; Neapolis ad Harpasum</t>
  </si>
  <si>
    <t xml:space="preserve">İnebolu locality near Bozdoğan (Aydın)</t>
  </si>
  <si>
    <t xml:space="preserve">RPC coins (city 136); Hierocles; bishops 680–81, 787</t>
  </si>
  <si>
    <t xml:space="preserve">The name 'New City' implies a foundation or refoundation of unknown date; Pleiades also records earlier occupation.</t>
  </si>
  <si>
    <t xml:space="preserve">Delrieux 2008; RPC (city 136: Neapolis ad Harpasum); Pleiades 599823</t>
  </si>
  <si>
    <t xml:space="preserve">city coinage of the Roman Imperial period (lower Harpasos valley series); bishops 680–81, 787</t>
  </si>
  <si>
    <t xml:space="preserve">The 'New City' implies a (re)foundation, but its date and predecessor are unknown. Pleiades' 'classical' tag concerns the Greek period, not pre-Greek occupation. No excavation or survey evidence for earlier settlement is known.</t>
  </si>
  <si>
    <t xml:space="preserve">Pleiades 599823; input note</t>
  </si>
  <si>
    <t xml:space="preserve">C231</t>
  </si>
  <si>
    <t xml:space="preserve">Antioch on the Maeander</t>
  </si>
  <si>
    <t xml:space="preserve">Ἀντιόχεια ἡ πρὸς Μαιάνδρῳ</t>
  </si>
  <si>
    <t xml:space="preserve">Pythopolis (earlier name, Steph. Byz.)</t>
  </si>
  <si>
    <t xml:space="preserve">near Başaran (Kuyucak, Aydın)</t>
  </si>
  <si>
    <t xml:space="preserve">coins; Hierocles; bishops 325, 451</t>
  </si>
  <si>
    <t xml:space="preserve">Stephanus says Antiochus son of Seleucus named it after his mother Antiochis.</t>
  </si>
  <si>
    <t xml:space="preserve">Pliny NH 5.108; Cohen 1995; Pleiades 638748; Wikipedia: Antioch on the Maeander</t>
  </si>
  <si>
    <t xml:space="preserve">founded by Antiochus I by synoecism of Symmaithos and Kranaos (Pliny NH 5.108; Steph. Byz.)</t>
  </si>
  <si>
    <t xml:space="preserve">C232</t>
  </si>
  <si>
    <t xml:space="preserve">Plarasa</t>
  </si>
  <si>
    <t xml:space="preserve">Πλάρασα</t>
  </si>
  <si>
    <t xml:space="preserve">Bingeç</t>
  </si>
  <si>
    <t xml:space="preserve">Bingeç, near Karacasu (Aydın)</t>
  </si>
  <si>
    <t xml:space="preserve">joint Plarasa–Aphrodisias coins and decrees (2nd–1st c. BC); free status 39 BC</t>
  </si>
  <si>
    <t xml:space="preserve">Merged into Aphrodisias by the late 1st c. BC.</t>
  </si>
  <si>
    <t xml:space="preserve">Robert 1962; Reynolds 1982 (Aphrodisias and Rome); Pleiades 639063; Wikipedia: Plarasa</t>
  </si>
  <si>
    <t xml:space="preserve">Carian community; Greek polis in sympoliteia with Aphrodisias (joint coins; treaty with Kibyra and Tabai, 2nd c. BC)</t>
  </si>
  <si>
    <t xml:space="preserve">C233</t>
  </si>
  <si>
    <t xml:space="preserve">Aphrodisias</t>
  </si>
  <si>
    <t xml:space="preserve">Ninoe (Steph. Byz.); Lelegon polis; Stauropolis and Karia (medieval Roman)</t>
  </si>
  <si>
    <t xml:space="preserve">Geyre (Karacasu, Aydın)</t>
  </si>
  <si>
    <t xml:space="preserve">Carian settlement around the sanctuary of Aphrodite</t>
  </si>
  <si>
    <t xml:space="preserve">coins; Roman free city (39 BC); metropolis of Caria; bishops 325–787</t>
  </si>
  <si>
    <t xml:space="preserve">Prehistoric mounds (Pekmez, Acropolis) from the Late Chalcolithic and Bronze Age. Geyre village, on the site until the 1960s, takes its name from medieval Roman Karia.</t>
  </si>
  <si>
    <t xml:space="preserve">Reynolds 1982; Ratté 2008; Pleiades 638753; Wikipedia: Aphrodisias</t>
  </si>
  <si>
    <t xml:space="preserve">sanctuary settlement; Greek polis by the 2nd c. BC in sympoliteia with Plarasa (joint coins; treaty with Kibyra and Tabai)</t>
  </si>
  <si>
    <t xml:space="preserve">C234</t>
  </si>
  <si>
    <t xml:space="preserve">Alinda</t>
  </si>
  <si>
    <t xml:space="preserve">Ἄλινδα</t>
  </si>
  <si>
    <t xml:space="preserve">Alexandria by the Latmos (c. 334 BC; modern identification)</t>
  </si>
  <si>
    <t xml:space="preserve">Karpuzlu</t>
  </si>
  <si>
    <t xml:space="preserve">Karpuzlu (Aydın)</t>
  </si>
  <si>
    <t xml:space="preserve">c. 340 BC</t>
  </si>
  <si>
    <t xml:space="preserve">Iyalanda (Hittite)?</t>
  </si>
  <si>
    <t xml:space="preserve">Hittite Iyalanda/Ialanti (Tawagalawa letter) was identified with Alinda by Garstang &amp; Gurney (1959); widely cited but unproven</t>
  </si>
  <si>
    <t xml:space="preserve">coins 3rd c. BC–3rd c. AD; Hierocles; bishops 431, 451</t>
  </si>
  <si>
    <t xml:space="preserve">Its identification with Alexandria by the Latmos is modern (L. Robert).</t>
  </si>
  <si>
    <t xml:space="preserve">Arrian Anab. 1.23.8; Garstang &amp; Gurney 1959; Pleiades 599480; Wikipedia: Alinda</t>
  </si>
  <si>
    <t xml:space="preserve">Carian city; residence of Queen Ada (c. 340–334 BC), who handed it to Alexander; Greek coins from the 3rd c. BC</t>
  </si>
  <si>
    <t xml:space="preserve">C235</t>
  </si>
  <si>
    <t xml:space="preserve">Amyzon</t>
  </si>
  <si>
    <t xml:space="preserve">Ἀμυζών</t>
  </si>
  <si>
    <t xml:space="preserve">Mazın Kalesi near Gaziemir (Karpuzlu, Aydın)</t>
  </si>
  <si>
    <t xml:space="preserve">c. 321 BC</t>
  </si>
  <si>
    <t xml:space="preserve">Carian town around the sanctuary of Artemis</t>
  </si>
  <si>
    <t xml:space="preserve">Greek decrees 4th–2nd c. BC; coins; Hierocles; bishops 431, 451</t>
  </si>
  <si>
    <t xml:space="preserve">Strabo counts it as a dependency of Alabanda. The Turkish name Mazın preserves Amyzon.</t>
  </si>
  <si>
    <t xml:space="preserve">Robert 1983 (Fouilles d'Amyzon); Strabo 14.2.22; Pleiades 599489</t>
  </si>
  <si>
    <t xml:space="preserve">Greek decree dated under Philip III and the satrap Asander (c. 321 BC) (Robert, Fouilles d'Amyzon)</t>
  </si>
  <si>
    <t xml:space="preserve">C236</t>
  </si>
  <si>
    <t xml:space="preserve">Alabanda</t>
  </si>
  <si>
    <t xml:space="preserve">Ἀλάβανδα</t>
  </si>
  <si>
    <t xml:space="preserve">Antiocheia of the Chrysaoreis (Seleucid, c. 197–190 BC)</t>
  </si>
  <si>
    <t xml:space="preserve">Doğanyurt</t>
  </si>
  <si>
    <t xml:space="preserve">Doğanyurt (formerly Araphisar) (Çine, Aydın)</t>
  </si>
  <si>
    <t xml:space="preserve">Waliwanda, a place in the Tawagalawa letter, has been linked with Alabanda only on the sound of the name (e.g. vici.org); this is not an accepted identification, so it is not used. The pre-Greek settlement is the native Carian town (Hdt. 7.195).</t>
  </si>
  <si>
    <t xml:space="preserve">coins; Chrysaoric League; Hierocles; bishops 451, 787</t>
  </si>
  <si>
    <t xml:space="preserve">Stephanus explains the name as Carian ala 'horse' + banda 'victory'.</t>
  </si>
  <si>
    <t xml:space="preserve">Hdt. 7.195; Strabo 14.2.26; Pleiades 599479; Wikipedia: Alabanda</t>
  </si>
  <si>
    <t xml:space="preserve">Carian city (tyrant Aridolis, Hdt. 7.195); Greek polis in the Hecatomnid period (4th c. BC); Hellenistic decrees and coins</t>
  </si>
  <si>
    <t xml:space="preserve">C237</t>
  </si>
  <si>
    <t xml:space="preserve">Euromus</t>
  </si>
  <si>
    <t xml:space="preserve">Εὔρωμος</t>
  </si>
  <si>
    <t xml:space="preserve">Kyromos/Hyromos (tribute lists); Europos (Hellenistic); Philippoi (Pleiades)</t>
  </si>
  <si>
    <t xml:space="preserve">near Selimiye (Milas, Muğla)</t>
  </si>
  <si>
    <t xml:space="preserve">IACP (Caria); ATL; Greek decrees; coins</t>
  </si>
  <si>
    <t xml:space="preserve">Sanctuary of Zeus Lepsynos used from the 6th c. BC. Renamed Europos in the Hellenistic period.</t>
  </si>
  <si>
    <t xml:space="preserve">IACP (Caria): Euromos; Kızıl 2017; Pleiades 599616; Wikipedia: Euromus</t>
  </si>
  <si>
    <t xml:space="preserve">Carian community (Kyromos in the 5th-c. tribute lists); Greek polis by the Hecatomnid period; Hellenistic decrees; coins 2nd c. BC – 2nd c. AD</t>
  </si>
  <si>
    <t xml:space="preserve">C238</t>
  </si>
  <si>
    <t xml:space="preserve">Chalcetor</t>
  </si>
  <si>
    <t xml:space="preserve">Χαλκήτωρ</t>
  </si>
  <si>
    <t xml:space="preserve">Chalketores</t>
  </si>
  <si>
    <t xml:space="preserve">Karakuyu</t>
  </si>
  <si>
    <t xml:space="preserve">Karakuyu (Milas, Muğla)</t>
  </si>
  <si>
    <t xml:space="preserve">IACP (Caria); ATL; Hellenistic decrees (I.Mylasa)</t>
  </si>
  <si>
    <t xml:space="preserve">Later absorbed by Mylasa.</t>
  </si>
  <si>
    <t xml:space="preserve">IACP (Caria): Chalketor; Strabo 14.2.24 (Chalketores); I.Mylasa (Blümel); Pleiades 599569</t>
  </si>
  <si>
    <t xml:space="preserve">Carian community in the tribute lists (5th c.); Hellenistic Greek decrees (3rd–2nd c. BC)</t>
  </si>
  <si>
    <t xml:space="preserve">C239</t>
  </si>
  <si>
    <t xml:space="preserve">Olymus</t>
  </si>
  <si>
    <t xml:space="preserve">Ὄλυμος</t>
  </si>
  <si>
    <t xml:space="preserve">Hylimos</t>
  </si>
  <si>
    <t xml:space="preserve">Kafaca</t>
  </si>
  <si>
    <t xml:space="preserve">Kafaca (Milas, Muğla)</t>
  </si>
  <si>
    <t xml:space="preserve">Later in sympoliteia with Mylasa.</t>
  </si>
  <si>
    <t xml:space="preserve">IACP (Caria): Olymos; I.Mylasa (Blümel); Pleiades 599658; Wikipedia: Olymos</t>
  </si>
  <si>
    <t xml:space="preserve">Carian community in the tribute lists (5th c.); many Hellenistic Greek decrees and leases (3rd–2nd c. BC)</t>
  </si>
  <si>
    <t xml:space="preserve">C240</t>
  </si>
  <si>
    <t xml:space="preserve">Mylasa</t>
  </si>
  <si>
    <t xml:space="preserve">Μύλασα</t>
  </si>
  <si>
    <t xml:space="preserve">Milas</t>
  </si>
  <si>
    <t xml:space="preserve">Milas (Muğla)</t>
  </si>
  <si>
    <t xml:space="preserve">367 BC</t>
  </si>
  <si>
    <t xml:space="preserve">Carian city and Hecatomnid seat until c. 370 BC. No native-script form of the name is securely attested.</t>
  </si>
  <si>
    <t xml:space="preserve">IACP (Caria); ATL; Greek decrees from 367 BC; coins; Hierocles; bishops 680–81, 787</t>
  </si>
  <si>
    <t xml:space="preserve">Hecatomnid capital before the move to Halikarnassos.</t>
  </si>
  <si>
    <t xml:space="preserve">IACP (Caria): Mylasa; I.Mylasa 1–3; Pleiades 599809; Wikipedia: Mylasa</t>
  </si>
  <si>
    <t xml:space="preserve">first Greek decree 367/6 BC (Mylasa decrees under Mausolus)</t>
  </si>
  <si>
    <t xml:space="preserve">C241</t>
  </si>
  <si>
    <t xml:space="preserve">Hydisus</t>
  </si>
  <si>
    <t xml:space="preserve">Ὕδισσος</t>
  </si>
  <si>
    <t xml:space="preserve">Hydissos</t>
  </si>
  <si>
    <t xml:space="preserve">Karacahisar</t>
  </si>
  <si>
    <t xml:space="preserve">Karacahisar (Milas, Muğla)</t>
  </si>
  <si>
    <t xml:space="preserve">IACP (Caria); ATL; coins (RPC city 100)</t>
  </si>
  <si>
    <t xml:space="preserve">The Hellenistic start date is approximate.</t>
  </si>
  <si>
    <t xml:space="preserve">IACP (Caria): Hydisos; RPC (city 100: Hydisus); Pleiades 599653; Wikipedia: Hydisos</t>
  </si>
  <si>
    <t xml:space="preserve">Carian member of the tribute lists (5th c.); Hellenistic Greek decrees and coins; Roman provincial coins</t>
  </si>
  <si>
    <t xml:space="preserve">C242</t>
  </si>
  <si>
    <t xml:space="preserve">Stratonicea</t>
  </si>
  <si>
    <t xml:space="preserve">Hadrianopolis (under Hadrian); Eskihisar</t>
  </si>
  <si>
    <t xml:space="preserve">Eskihisar</t>
  </si>
  <si>
    <t xml:space="preserve">Eskihisar (Yatağan, Muğla)</t>
  </si>
  <si>
    <t xml:space="preserve">c. 270 BC</t>
  </si>
  <si>
    <t xml:space="preserve">Antiochus I (some say Antiochus II)</t>
  </si>
  <si>
    <t xml:space="preserve">coins; Chrysaoric League centre; Hierocles; bishops 451, 787</t>
  </si>
  <si>
    <t xml:space="preserve">Built at or near the Carian town of Idrias/Chrysaoris, with earlier finds on the site. Under Rhodes 188–167 BC.</t>
  </si>
  <si>
    <t xml:space="preserve">Strabo 14.2.25; Cohen 1995; Pleiades 599947; Wikipedia: Stratonikeia (Caria)</t>
  </si>
  <si>
    <t xml:space="preserve">founded by Antiochus I and named after Queen Stratonike (Strabo 14.2.25), c. 270s BC</t>
  </si>
  <si>
    <t xml:space="preserve">C243</t>
  </si>
  <si>
    <t xml:space="preserve">Hyllarima</t>
  </si>
  <si>
    <t xml:space="preserve">Ὑλλάριμα</t>
  </si>
  <si>
    <t xml:space="preserve">Kapraklar</t>
  </si>
  <si>
    <t xml:space="preserve">Kapraklar (Kavaklıdere, Muğla)</t>
  </si>
  <si>
    <t xml:space="preserve">Yλarmi- (Carian); Wallarima (Hittite)?</t>
  </si>
  <si>
    <t xml:space="preserve">Carian yλarmi- is attested; Hittite Wallarima has been proposed as an earlier form (unproven)</t>
  </si>
  <si>
    <t xml:space="preserve">Greek decrees; coins (RPC city 102); bishopric</t>
  </si>
  <si>
    <t xml:space="preserve">Carian still in use in the late 4th c. BC (bilingual stele)</t>
  </si>
  <si>
    <t xml:space="preserve">The community moved from Asarcıktepe to Kapraklar in the 4th c. BC.</t>
  </si>
  <si>
    <t xml:space="preserve">Debord &amp; Varinlioğlu 2018; RPC (city 102: Hyllarima); Pleiades 599659; Wikipedia: Hyllarima</t>
  </si>
  <si>
    <t xml:space="preserve">Carian–Greek stele dated by Philip III (c. 320 BC); Greek polis institutions (eponymous archon, proxenies) by the 3rd c. BC</t>
  </si>
  <si>
    <t xml:space="preserve">C244</t>
  </si>
  <si>
    <t xml:space="preserve">Calynda</t>
  </si>
  <si>
    <t xml:space="preserve">Κάλυνδα</t>
  </si>
  <si>
    <t xml:space="preserve">Kalynda</t>
  </si>
  <si>
    <t xml:space="preserve">Şerefler (formerly Kozpınar) (Dalaman, Muğla)</t>
  </si>
  <si>
    <t xml:space="preserve">Hdt. 8.87; Athenian tribute lists; Hellenistic dependency of Kaunos, then Rhodes (Polybius); Roman coins; bishop Leontius 458 (Lycian bishops' letter)</t>
  </si>
  <si>
    <t xml:space="preserve">Site east of the Dalaman river, on the Carian–Lycian border; also in the CAR seed (duplicate). Identification with Şerefler is the scholarly consensus but has been questioned.</t>
  </si>
  <si>
    <t xml:space="preserve">Hdt. 8.87; Pleiades 638891; Wikipedia: Calynda; Strabo 14.2.2</t>
  </si>
  <si>
    <t xml:space="preserve">Carian town (king Damasithymos at Salamis 480 BC; Delian League); counted Greek from the Hecatomnid period, 4th c. BC</t>
  </si>
  <si>
    <t xml:space="preserve">C245</t>
  </si>
  <si>
    <t xml:space="preserve">Lydae</t>
  </si>
  <si>
    <t xml:space="preserve">Λύδαι</t>
  </si>
  <si>
    <t xml:space="preserve">Chydai (Ptolemy); Klydai (Stadiasmus Maris Magni)</t>
  </si>
  <si>
    <t xml:space="preserve">Kapıdağ peninsula, west of Göcek (Fethiye/Dalaman, Muğla)</t>
  </si>
  <si>
    <t xml:space="preserve">c. AD 50</t>
  </si>
  <si>
    <t xml:space="preserve">TAM II inscriptions (sympoliteia absorbing Arymaxa and the Kreneis as demes); Ptolemy 5.3.2</t>
  </si>
  <si>
    <t xml:space="preserve">Within the Rhodian Peraea in the Hellenistic period; city status is documented only in the Roman period. Ancient sources disagree on Caria vs Lycia.</t>
  </si>
  <si>
    <t xml:space="preserve">Pleiades 638968; Wikipedia: Lydae; TAM II; Ptol. 5.3.2</t>
  </si>
  <si>
    <t xml:space="preserve">Roman-period city (theatre, agora, mausolea; Lycian federal priests from the family of C. Iulius Heliodoros), 1st–2nd c. AD</t>
  </si>
  <si>
    <t xml:space="preserve">Remains are Roman and Byzantine (identified by Bent 1888). No survey reports earlier or pre-Greek material, and none calls it new ground.</t>
  </si>
  <si>
    <t xml:space="preserve">en.wikipedia Lydae; Pleiades 638968; knowledge: Tietz 2003</t>
  </si>
  <si>
    <t xml:space="preserve">C247</t>
  </si>
  <si>
    <t xml:space="preserve">Crya</t>
  </si>
  <si>
    <t xml:space="preserve">Κρύα</t>
  </si>
  <si>
    <t xml:space="preserve">Krya; Karya (Ptolemy); Kroua (Stadiasmus)</t>
  </si>
  <si>
    <t xml:space="preserve">near Taşyaka (Fethiye, Muğla)</t>
  </si>
  <si>
    <t xml:space="preserve">IACP (Karia); Athenian tribute lists; Pliny NH 5.103 ('Crya fugitivorum'); Ptolemy 5.3.2</t>
  </si>
  <si>
    <t xml:space="preserve">Exact site unknown (near Taşyaka on the Gulf of Fethiye). Carian-Lycian border town; also in the CAR seed (duplicate).</t>
  </si>
  <si>
    <t xml:space="preserve">IACP (Karia); Pleiades 638947; Plin. NH 5.103; Wikipedia: Crya</t>
  </si>
  <si>
    <t xml:space="preserve">Carian/Lycian community of the 5th-c. tribute lists; as a town in Greek-speaking Roman Lycia, first in Pliny (NH 5.103, 'Crya fugitivorum') and Ptolemy 5.3.2</t>
  </si>
  <si>
    <t xml:space="preserve">C248</t>
  </si>
  <si>
    <t xml:space="preserve">Cidrama</t>
  </si>
  <si>
    <t xml:space="preserve">Κίδραμα</t>
  </si>
  <si>
    <t xml:space="preserve">Kidramos</t>
  </si>
  <si>
    <t xml:space="preserve">near Nikfer (Tavas, Denizli)</t>
  </si>
  <si>
    <t xml:space="preserve">Carian/Anatolian name; no native-script attestation</t>
  </si>
  <si>
    <t xml:space="preserve">coins (ΚΙΔΡΑΜΗΝΩΝ) late Hellenistic–Roman</t>
  </si>
  <si>
    <t xml:space="preserve">BAtlas name reconstructed (*Kidrama); site identification approximate.</t>
  </si>
  <si>
    <t xml:space="preserve">Pleiades 638919; Robert, La Carie II (1954); Wikipedia: Cidramus</t>
  </si>
  <si>
    <t xml:space="preserve">own coinage from the late Hellenistic period (1st c. BC) into the 3rd c. AD</t>
  </si>
  <si>
    <t xml:space="preserve">C249</t>
  </si>
  <si>
    <t xml:space="preserve">Tabae</t>
  </si>
  <si>
    <t xml:space="preserve">Τάβαι</t>
  </si>
  <si>
    <t xml:space="preserve">Kale</t>
  </si>
  <si>
    <t xml:space="preserve">Kale (Kale, Denizli)</t>
  </si>
  <si>
    <t xml:space="preserve">Native name; no pre-Greek attestation</t>
  </si>
  <si>
    <t xml:space="preserve">Livy 38.13; coins 2nd c. BC–3rd c. AD; SC de Tabenis (81 BC); Hierocles; bishops 431–787</t>
  </si>
  <si>
    <t xml:space="preserve">Modern Tavas (15 km N) probably preserves the name, but the site itself is under Kale.</t>
  </si>
  <si>
    <t xml:space="preserve">Pleiades 639125; Robert, La Carie II (1954); Livy 38.13; Strabo 12.8.13</t>
  </si>
  <si>
    <t xml:space="preserve">Hellenistic polis: attested 189 BC (Livy 38.13); coins from 2nd c. BC; treaty with Rome 81 BC</t>
  </si>
  <si>
    <t xml:space="preserve">C250</t>
  </si>
  <si>
    <t xml:space="preserve">Sebastopolis (Caria)</t>
  </si>
  <si>
    <t xml:space="preserve">Σεβαστόπολις</t>
  </si>
  <si>
    <t xml:space="preserve">Saleia (earlier name, per Pleiades)</t>
  </si>
  <si>
    <t xml:space="preserve">Kızılca (Tavas, Denizli)</t>
  </si>
  <si>
    <t xml:space="preserve">c. 20 BC</t>
  </si>
  <si>
    <t xml:space="preserve">Earlier name Saleia known only from Greek sources</t>
  </si>
  <si>
    <t xml:space="preserve">Roman coins; titular see</t>
  </si>
  <si>
    <t xml:space="preserve">Date only inferred from the imperial name; Hellenistic Saleia may already have been a community.</t>
  </si>
  <si>
    <t xml:space="preserve">Pleiades 639096; Robert, La Carie II (1954); Wikipedia: Sebastopolis (Caria)</t>
  </si>
  <si>
    <t xml:space="preserve">name Sebastopolis implies an Augustan (re)naming of Saleia; Roman coins 2nd–3rd c. AD</t>
  </si>
  <si>
    <t xml:space="preserve">C251</t>
  </si>
  <si>
    <t xml:space="preserve">Apollonia Salbace</t>
  </si>
  <si>
    <t xml:space="preserve">Ἀπολλωνία</t>
  </si>
  <si>
    <t xml:space="preserve">Apollonia pros Salbakei</t>
  </si>
  <si>
    <t xml:space="preserve">Medet (Tavas, Denizli)</t>
  </si>
  <si>
    <t xml:space="preserve">probably a Seleucid king</t>
  </si>
  <si>
    <t xml:space="preserve">Hellenistic inscriptions and coins; Hierocles; bishops 325, 451</t>
  </si>
  <si>
    <t xml:space="preserve">Seleucid origin is inferred from the dynastic name (Robert; Cohen), not documented; the date given is that of the earliest civic evidence.</t>
  </si>
  <si>
    <t xml:space="preserve">Pleiades 638757; Cohen 1995; Robert, La Carie II (1954)</t>
  </si>
  <si>
    <t xml:space="preserve">probably a Seleucid foundation (3rd c. BC); Hellenistic decrees and coins from the 2nd c. BC</t>
  </si>
  <si>
    <t xml:space="preserve">Rejected 'yes': the 'Medet Höyük' and 'inhabited since the Bronze Age' claims come only from the Denizli culture directorate, the LuwianSiteAtlas and a Wikipedia page that cites government and municipal pages. All of these are excluded sources. No excavation report or international survey publication documenting a Bronze Age mound at the city site was found. The standard treatments (Robert, La Carie II 235–42; Cohen 1995, 253–55) were not checkable here, and I know of no prehistoric levels reported in them.</t>
  </si>
  <si>
    <t xml:space="preserve">en.wikipedia Apollonia Salbace; en.wikipedia Medet, Tavas (claims uncited/government refs); luwianstudies.org/site/medet-hoyuk (no bibliography rendered); Pleiades 638757 (refs Robert 1954, Cohen 1995; periods Hellenistic–Late Antique)</t>
  </si>
  <si>
    <t xml:space="preserve">C252</t>
  </si>
  <si>
    <t xml:space="preserve">Heraclea Salbace</t>
  </si>
  <si>
    <t xml:space="preserve">Ἡράκλεια</t>
  </si>
  <si>
    <t xml:space="preserve">Herakleia pros Salbakei; Heraclea Albace</t>
  </si>
  <si>
    <t xml:space="preserve">Vakıf</t>
  </si>
  <si>
    <t xml:space="preserve">Vakıf, near Kızılcabölük (Tavas, Denizli)</t>
  </si>
  <si>
    <t xml:space="preserve">Hellenistic &amp; Roman inscriptions (Robert); coins; Hierocles; bishop 431, 451</t>
  </si>
  <si>
    <t xml:space="preserve">Greek name with no recorded founder; may be a renamed native community or an unrecorded Hellenistic foundation.</t>
  </si>
  <si>
    <t xml:space="preserve">Pleiades 638857; Robert, La Carie II (1954); Strabo 12.8.13</t>
  </si>
  <si>
    <t xml:space="preserve">Hellenistic polis (decrees, coins 2nd–1st c. BC)</t>
  </si>
  <si>
    <t xml:space="preserve">Hellenistic polis at Vakıf with walls, a stadium and Roman remains. No höyük or pre-Greek finds are reported for the site, and no account calls it new ground. A renamed native community is possible but undocumented.</t>
  </si>
  <si>
    <t xml:space="preserve">Denizli İl Kültür ve Turizm Müd., Herakleia Salbake page; en.wikipedia Heraclea Salbace; Pleiades 638857</t>
  </si>
  <si>
    <t xml:space="preserve">C253</t>
  </si>
  <si>
    <t xml:space="preserve">Attuda</t>
  </si>
  <si>
    <t xml:space="preserve">Ἄττουδα</t>
  </si>
  <si>
    <t xml:space="preserve">Attouda</t>
  </si>
  <si>
    <t xml:space="preserve">Hisarköy</t>
  </si>
  <si>
    <t xml:space="preserve">Hisarköy (Babadağ/Sarayköy, Denizli)</t>
  </si>
  <si>
    <t xml:space="preserve">Anatolian name; no pre-Greek attestation</t>
  </si>
  <si>
    <t xml:space="preserve">coins Augustus–3rd c.; Hierocles; bishops 431–879</t>
  </si>
  <si>
    <t xml:space="preserve">Sanctuary of Men Karou in its territory; the settlement may be Hellenistic, but civic evidence starts under Augustus.</t>
  </si>
  <si>
    <t xml:space="preserve">Pleiades 638779; Thonemann 2011; Wikipedia: Attouda</t>
  </si>
  <si>
    <t xml:space="preserve">first coins under Augustus ('Ἱερὰ Βουλὴ Ἀττουδέων')</t>
  </si>
  <si>
    <t xml:space="preserve">C254</t>
  </si>
  <si>
    <t xml:space="preserve">Trapezopolis</t>
  </si>
  <si>
    <t xml:space="preserve">Τραπεζούπολις</t>
  </si>
  <si>
    <t xml:space="preserve">near Bolu village (Babadağ, Denizli)</t>
  </si>
  <si>
    <t xml:space="preserve">Pliny NH 5.109; Roman coins; Hierocles; bishops 431–879</t>
  </si>
  <si>
    <t xml:space="preserve">Greek name, origin unknown (perhaps a late Hellenistic foundation).</t>
  </si>
  <si>
    <t xml:space="preserve">Pleiades 639149; Pliny NH 5.109; Wikipedia: Trapezopolis</t>
  </si>
  <si>
    <t xml:space="preserve">first attested by Pliny (Trapezopolitae); Roman coins; bishops from c. 400</t>
  </si>
  <si>
    <t xml:space="preserve">Surface remains at Boludüzü/Bekirler are Roman and Byzantine. No published evidence of earlier occupation and no statement that it was new ground.</t>
  </si>
  <si>
    <t xml:space="preserve">Denizli İl Kültür ve Turizm Müd., Trapezopolis page; Pleiades 639149 (roman onward)</t>
  </si>
  <si>
    <t xml:space="preserve">C255</t>
  </si>
  <si>
    <t xml:space="preserve">Lycia</t>
  </si>
  <si>
    <t xml:space="preserve">Telmessus</t>
  </si>
  <si>
    <t xml:space="preserve">Τελμησσός</t>
  </si>
  <si>
    <t xml:space="preserve">Telmissos; Anastasiopolis (8th c., after Anastasios II); Makre/Makri (medieval Roman, from 879; Turkish Meğri)</t>
  </si>
  <si>
    <t xml:space="preserve">Fethiye</t>
  </si>
  <si>
    <t xml:space="preserve">Fethiye (Fethiye, Muğla)</t>
  </si>
  <si>
    <t xml:space="preserve">Telebehi (Lycian); Kuwalapašša (Hittite)?</t>
  </si>
  <si>
    <t xml:space="preserve">Telebehi is the Lycian name (Lycian inscriptions and coins; Lebrun 1992, Melchert). Identification with Hittite Kuwalapašša (Annals of Hattusili III, Lukka) is speculative.</t>
  </si>
  <si>
    <t xml:space="preserve">IACP (Lykia); Arrian 1.24.4; Ptolemaic and Attalid decrees; Lycian League; Hierocles; bishops 370?, 451; Notitiae (Telmessos, later Makre)</t>
  </si>
  <si>
    <t xml:space="preserve">Fethiye was named in 1934 after the aviator Fethi Bey; the older Turkish name Meğri continues medieval Roman Makri. Lycian rock tombs (Amyntas tomb) with Lycian inscriptions.</t>
  </si>
  <si>
    <t xml:space="preserve">IACP (Lykia); Pleiades 639137; Wikipedia: Telmessos; OGIS 55</t>
  </si>
  <si>
    <t xml:space="preserve">Lycian town (Telebehi); Greek replaces Lycian in public use c. 300 BC; Greek decrees under the Ptolemies (OGIS 55, 240 BC)</t>
  </si>
  <si>
    <t xml:space="preserve">C256</t>
  </si>
  <si>
    <t xml:space="preserve">Cadyanda</t>
  </si>
  <si>
    <t xml:space="preserve">Κάδυανδα</t>
  </si>
  <si>
    <t xml:space="preserve">Kadyanda</t>
  </si>
  <si>
    <t xml:space="preserve">above Üzümlü (Fethiye, Muğla)</t>
  </si>
  <si>
    <t xml:space="preserve">Xadawãti (Lycian)</t>
  </si>
  <si>
    <t xml:space="preserve">Lycian Xadawãti (Lycian inscriptions incl. TL 35 at the site; standard identification, Melchert).</t>
  </si>
  <si>
    <t xml:space="preserve">Lycian tombs and inscriptions; Hellenistic and Roman Greek inscriptions; Lycian League; Pliny NH 5.101</t>
  </si>
  <si>
    <t xml:space="preserve">Not attested as a bishopric.</t>
  </si>
  <si>
    <t xml:space="preserve">Pleiades 638885; TAM II; Wikipedia: Cadyanda; Bean 1978</t>
  </si>
  <si>
    <t xml:space="preserve">Lycian town (Xadawãti); Greek city from the early Hellenistic period (Ptolemaic rule, Greek decrees), c. 300 BC</t>
  </si>
  <si>
    <t xml:space="preserve">C257</t>
  </si>
  <si>
    <t xml:space="preserve">Tlos</t>
  </si>
  <si>
    <t xml:space="preserve">Τλῶς</t>
  </si>
  <si>
    <t xml:space="preserve">near Yaka / Düğer (Seydikemer, Muğla)</t>
  </si>
  <si>
    <t xml:space="preserve">Tlawa (Lycian); Dalawa/Talawa (Hittite)</t>
  </si>
  <si>
    <t xml:space="preserve">Lycian Tlawa (ethnic tlãñna). Hittite Dalawa (Annals, Madduwatta text) and Luwian Talawa (Yalburt inscription of Tudhaliya IV), generally identified with Tlos.</t>
  </si>
  <si>
    <t xml:space="preserve">Strabo 14.3.3 (three votes); Hellenistic &amp; Roman inscriptions; Lycian League coins; Hierocles; bishops 451, 787</t>
  </si>
  <si>
    <t xml:space="preserve">Bronze Age finds at the site; Ottoman fortress on the acropolis.</t>
  </si>
  <si>
    <t xml:space="preserve">Strabo 14.3.3; Pleiades 639147; Bryce 1986; Wikipedia: Tlos</t>
  </si>
  <si>
    <t xml:space="preserve">Lycian town; Greek replaces Lycian in public use c. 300 BC; one of the six three-vote cities of the Lycian League</t>
  </si>
  <si>
    <t xml:space="preserve">C258</t>
  </si>
  <si>
    <t xml:space="preserve">Pinara</t>
  </si>
  <si>
    <t xml:space="preserve">Πίναρα</t>
  </si>
  <si>
    <t xml:space="preserve">near Minare (Seydikemer, Muğla)</t>
  </si>
  <si>
    <t xml:space="preserve">Pilleñni (Lycian); Pinali (Hieroglyphic Luwian)</t>
  </si>
  <si>
    <t xml:space="preserve">Lycian Pilleñni (coin legends, inscriptions). Pinali of the Yalburt inscription (Tudhaliya IV) is generally identified with Pinara.</t>
  </si>
  <si>
    <t xml:space="preserve">Strabo 14.3.3; Lycian rock tombs; Hellenistic &amp; Roman inscriptions; Hierocles; bishop 787</t>
  </si>
  <si>
    <t xml:space="preserve">Strabo 14.3.3; Pleiades 639058; Wikipedia: Pinara; Bean 1978</t>
  </si>
  <si>
    <t xml:space="preserve">Lycian town (Pilleñni); Greek city from c. 300 BC; three-vote member of the Lycian League</t>
  </si>
  <si>
    <t xml:space="preserve">C259</t>
  </si>
  <si>
    <t xml:space="preserve">Sidyma</t>
  </si>
  <si>
    <t xml:space="preserve">Σίδυμα</t>
  </si>
  <si>
    <t xml:space="preserve">Dodurga</t>
  </si>
  <si>
    <t xml:space="preserve">Dodurga (Seydikemer, Muğla)</t>
  </si>
  <si>
    <t xml:space="preserve">Hellenistic &amp; Roman inscriptions (TAM II); Lycian League; Hierocles; bishops 680–81, 787</t>
  </si>
  <si>
    <t xml:space="preserve">A few Lycian-type tombs but no Lycian inscriptions; probably a minor Lycian community before the Hellenistic period.</t>
  </si>
  <si>
    <t xml:space="preserve">Pleiades 639108; TAM II; Bean 1978; Wikipedia: Sidyma</t>
  </si>
  <si>
    <t xml:space="preserve">first attested as a city of the Lycian League in the 2nd–1st c. BC; most documents are Roman imperial</t>
  </si>
  <si>
    <t xml:space="preserve">C260</t>
  </si>
  <si>
    <t xml:space="preserve">Araxa</t>
  </si>
  <si>
    <t xml:space="preserve">Ἄραξα</t>
  </si>
  <si>
    <t xml:space="preserve">Ören (Seydikemer, Muğla)</t>
  </si>
  <si>
    <t xml:space="preserve">SEG 18.570 (Orthagoras decree); Alexander Polyhistor, Lyciaca; Lycian League; Hierocles; bishops 381, 451, 692, 787</t>
  </si>
  <si>
    <t xml:space="preserve">Lycian coin legend sometimes ascribed to Araxa is not secure, so no pre-Greek name is given.</t>
  </si>
  <si>
    <t xml:space="preserve">SEG 18.570; Pleiades 638760; Wikipedia: Araxa; Bean 1978</t>
  </si>
  <si>
    <t xml:space="preserve">Greek polis by the early 2nd c. BC (decree for Orthagoras, SEG 18.570, c. 180–160 BC)</t>
  </si>
  <si>
    <t xml:space="preserve">C261</t>
  </si>
  <si>
    <t xml:space="preserve">Oenoanda</t>
  </si>
  <si>
    <t xml:space="preserve">Οἰνόανδα</t>
  </si>
  <si>
    <t xml:space="preserve">Termessos Minor / Termessos by Oinoanda (Τερμησσὸς ἡ πρὸς Οἰνοάνδοις)</t>
  </si>
  <si>
    <t xml:space="preserve">west of İncealiler (Seydikemer, Muğla)</t>
  </si>
  <si>
    <t xml:space="preserve">Termessians (Pisidia)</t>
  </si>
  <si>
    <t xml:space="preserve">Termessos</t>
  </si>
  <si>
    <t xml:space="preserve">Wiyanawanda (Hittite)</t>
  </si>
  <si>
    <t xml:space="preserve">Hittite/Luwian Wiyanawanda ('wine-town', Yalburt inscription and Hittite texts on Lukka) is generally identified with Oinoanda.</t>
  </si>
  <si>
    <t xml:space="preserve">Hellenistic &amp; Roman inscriptions (Demostheneia dossier AD 124; Diogenes' Epicurean inscription); coins; Hierocles; bishops 381, 680–81, 787</t>
  </si>
  <si>
    <t xml:space="preserve">Hellenistic colony of a Pisidian (but Greek-speaking) city, so 'colony' is used loosely.</t>
  </si>
  <si>
    <t xml:space="preserve">Pleiades 639013; Coulton 1982; Wikipedia: Oenoanda; SEG 38.1462</t>
  </si>
  <si>
    <t xml:space="preserve">colony of Termessos (Pisidia) c. 200–190 BC; member of the Kibyratic tetrapolis, Lycian League after 84 BC</t>
  </si>
  <si>
    <t xml:space="preserve">C262</t>
  </si>
  <si>
    <t xml:space="preserve">Xanthus</t>
  </si>
  <si>
    <t xml:space="preserve">Ξάνθος</t>
  </si>
  <si>
    <t xml:space="preserve">Kınık (Kaş, Antalya)</t>
  </si>
  <si>
    <t xml:space="preserve">Antalya</t>
  </si>
  <si>
    <t xml:space="preserve">Mediterranean</t>
  </si>
  <si>
    <t xml:space="preserve">Arñna (Lycian); Awarna (Hieroglyphic Luwian)</t>
  </si>
  <si>
    <t xml:space="preserve">Arñna is certain (Letoon trilingual; Xanthos stele; coins). Luwian Awarna (Yalburt inscription) is generally identified with Xanthos.</t>
  </si>
  <si>
    <t xml:space="preserve">IACP (Lykia); Hdt. 1.176; Letoon trilingual; three votes in the Lycian League; Hierocles; bishop 381</t>
  </si>
  <si>
    <t xml:space="preserve">Occupation from the 8th c. BC; Inscribed Pillar (c. 400 BC) with Lycian A, Lycian B and Greek texts.</t>
  </si>
  <si>
    <t xml:space="preserve">IACP (Lykia); Hdt. 1.176; Pleiades 639166; Wikipedia: Xanthos</t>
  </si>
  <si>
    <t xml:space="preserve">Lycian dynastic city (Arñna); Greek civic decree in the Letoon trilingual (337 BC) beside Lycian and Aramaic; Greek sole public language by c. 300 BC</t>
  </si>
  <si>
    <t xml:space="preserve">C263</t>
  </si>
  <si>
    <t xml:space="preserve">Patara</t>
  </si>
  <si>
    <t xml:space="preserve">Πάταρα</t>
  </si>
  <si>
    <t xml:space="preserve">Arsinoe (Ptolemy II, temporary)</t>
  </si>
  <si>
    <t xml:space="preserve">near Gelemiş (Kaş, Antalya)</t>
  </si>
  <si>
    <t xml:space="preserve">Pttara (Lycian); Patar (Hittite)?</t>
  </si>
  <si>
    <t xml:space="preserve">Lycian Pttara is certain. A Hittite/Luwian Patar(a) in Lukka texts has been proposed; uncertain. Bronze Age occupation at Tepecik.</t>
  </si>
  <si>
    <t xml:space="preserve">Hdt. 1.182 (oracle); Lycian League (three votes, federal meeting place); Stadiasmus Patarensis (AD 45/46); Hierocles; bishops 325, 381, 451</t>
  </si>
  <si>
    <t xml:space="preserve">Pleiades 639042; Hdt. 1.182; Strabo 14.3.6; Wikipedia: Patara</t>
  </si>
  <si>
    <t xml:space="preserve">Lycian town (Pttara); Greek city from c. 300 BC; renamed Arsinoe under Ptolemy II</t>
  </si>
  <si>
    <t xml:space="preserve">C264</t>
  </si>
  <si>
    <t xml:space="preserve">Phellus</t>
  </si>
  <si>
    <t xml:space="preserve">Φελλός</t>
  </si>
  <si>
    <t xml:space="preserve">above Çukurbağ (Kaş, Antalya)</t>
  </si>
  <si>
    <t xml:space="preserve">Wehñti (Lycian)</t>
  </si>
  <si>
    <t xml:space="preserve">Lycian Wehñti/Wehñte-, with adjective wehñteze/i- 'of Phellos' in TL 56 (Antiphellos) (eDiAna; Laroche, Neumann).</t>
  </si>
  <si>
    <t xml:space="preserve">Ps.-Skylax 100; Lycian tombs and inscriptions; Lycian League coins; Hierocles; bishop 553</t>
  </si>
  <si>
    <t xml:space="preserve">Ps.-Skylax 100; Pleiades 639052; eDiAna s.v. wedre/i-; Wikipedia: Phellos</t>
  </si>
  <si>
    <t xml:space="preserve">Lycian town (Wehñti); polis in Ps.-Skylax (4th c. BC); Greek city from c. 300 BC</t>
  </si>
  <si>
    <t xml:space="preserve">C265</t>
  </si>
  <si>
    <t xml:space="preserve">Antiphellus</t>
  </si>
  <si>
    <t xml:space="preserve">Ἀντίφελλος</t>
  </si>
  <si>
    <t xml:space="preserve">Habesos (earlier name, Pliny NH 5.100); Andifli (Greek/Ottoman)</t>
  </si>
  <si>
    <t xml:space="preserve">Kaş</t>
  </si>
  <si>
    <t xml:space="preserve">Kaş (Kaş, Antalya)</t>
  </si>
  <si>
    <t xml:space="preserve">Habesos (Pliny) is known only in Greek/Latin, so it is not given as a pre-Greek name; Lycian and Milyan (Lycian B) inscriptions at the site.</t>
  </si>
  <si>
    <t xml:space="preserve">Lycian League coins; Hellenistic &amp; Roman inscriptions; Hierocles; bishop 451</t>
  </si>
  <si>
    <t xml:space="preserve">The town was called Andifli until the 20th century (&lt; Antiphellos); Kaş is a separate Turkish name.</t>
  </si>
  <si>
    <t xml:space="preserve">Plin. NH 5.100; Pleiades 638749; Bean 1978; Wikipedia: Antiphellos</t>
  </si>
  <si>
    <t xml:space="preserve">Lycian harbour town (port of Phellos); Greek city from c. 300 BC; Hellenistic theatre</t>
  </si>
  <si>
    <t xml:space="preserve">C266</t>
  </si>
  <si>
    <t xml:space="preserve">Isinda (Lycia)</t>
  </si>
  <si>
    <t xml:space="preserve">Ἴσινδα</t>
  </si>
  <si>
    <t xml:space="preserve">hill above/south of Belenli (Kaş, Antalya)</t>
  </si>
  <si>
    <t xml:space="preserve">Aperlai sympoliteia inscriptions; Lycian rock tombs with Lycian inscriptions</t>
  </si>
  <si>
    <t xml:space="preserve">Minor member of the sympolity of Aperlai, Simena, Apollonia and Isinda (one vote in the League). Not to be confused with Pisidian Isinda (Korkuteli). Exact site disputed (above Belenli or 2–3 km south).</t>
  </si>
  <si>
    <t xml:space="preserve">Pleiades 638871; Bean 1978; Wikipedia: Isinda (Lycia)</t>
  </si>
  <si>
    <t xml:space="preserve">member polis of the sympoliteia headed by Aperlai (late Hellenistic–Roman inscriptions)</t>
  </si>
  <si>
    <t xml:space="preserve">C267</t>
  </si>
  <si>
    <t xml:space="preserve">Aperlae</t>
  </si>
  <si>
    <t xml:space="preserve">Ἀπέρλαι</t>
  </si>
  <si>
    <t xml:space="preserve">Sıçak bay, near Kılınçlı (Kaş, Antalya)</t>
  </si>
  <si>
    <t xml:space="preserve">Aprlla (Lycian)?</t>
  </si>
  <si>
    <t xml:space="preserve">Lycian dynastic coin legend Aprlla/prl, usually attributed to Aperlai; some assign it to Apollonia.</t>
  </si>
  <si>
    <t xml:space="preserve">Lycian League coins (ΑΠΕ); sympoliteia inscriptions; Notitiae (see of Aperlai)</t>
  </si>
  <si>
    <t xml:space="preserve">Purple-dye harbour town; partly submerged.</t>
  </si>
  <si>
    <t xml:space="preserve">Pleiades 638752; Hohlfelder 2005; lycianmonuments.com: Apollonia; Wikipedia: Aperlae</t>
  </si>
  <si>
    <t xml:space="preserve">Lycian town (dynastic coins 'Aprlla'); Greek city from c. 300 BC; head of a sympoliteia with Simena, Apollonia and Isinda</t>
  </si>
  <si>
    <t xml:space="preserve">C268</t>
  </si>
  <si>
    <t xml:space="preserve">Apollonia (Lycia)</t>
  </si>
  <si>
    <t xml:space="preserve">south of Sahilkılınçlı (Kaş, Antalya)</t>
  </si>
  <si>
    <t xml:space="preserve">Aperlai sympoliteia inscriptions; walled acropolis, theatre, churches</t>
  </si>
  <si>
    <t xml:space="preserve">Pillar tombs of c. 500 BC show a Lycian settlement; no ancient author names it, and its city status rests on its membership in the sympolity.</t>
  </si>
  <si>
    <t xml:space="preserve">Pleiades 638755; Wikipedia: Apollonia (Lycia); Bean 1978</t>
  </si>
  <si>
    <t xml:space="preserve">member polis of the sympoliteia headed by Aperlai (late Hellenistic–Roman)</t>
  </si>
  <si>
    <t xml:space="preserve">C269</t>
  </si>
  <si>
    <t xml:space="preserve">Simena</t>
  </si>
  <si>
    <t xml:space="preserve">Σίμηνα</t>
  </si>
  <si>
    <t xml:space="preserve">Kaleköy (Kale), Kekova (Demre, Antalya)</t>
  </si>
  <si>
    <t xml:space="preserve">Aperlai sympoliteia inscriptions; small theatre; Lycian tombs</t>
  </si>
  <si>
    <t xml:space="preserve">Medieval castle above the village.</t>
  </si>
  <si>
    <t xml:space="preserve">Pleiades 639110; Bean 1978; Wikipedia: Simena</t>
  </si>
  <si>
    <t xml:space="preserve">C270</t>
  </si>
  <si>
    <t xml:space="preserve">Cyaneae</t>
  </si>
  <si>
    <t xml:space="preserve">Κυανέαι</t>
  </si>
  <si>
    <t xml:space="preserve">Kyaneai; Kyana (Hierocles)</t>
  </si>
  <si>
    <t xml:space="preserve">near Yavu (Demre, Antalya)</t>
  </si>
  <si>
    <t xml:space="preserve">A Lycian name Xbane- is sometimes given but is not secure, so it is omitted.</t>
  </si>
  <si>
    <t xml:space="preserve">Lycian League coins; Roman inscriptions (Jason of Kyaneai); Hierocles; Notitia c. 640</t>
  </si>
  <si>
    <t xml:space="preserve">Central place of a large territory (Kolb's Kyaneai survey) that absorbed Trysa, Tyberissos, Istlada and Teimiussa.</t>
  </si>
  <si>
    <t xml:space="preserve">Pleiades 638948; Kolb 2008; Wikipedia: Cyaneae</t>
  </si>
  <si>
    <t xml:space="preserve">Lycian settlement; Greek city from the Hellenistic period (first named 2nd c. BC); Roman council and demos</t>
  </si>
  <si>
    <t xml:space="preserve">C271</t>
  </si>
  <si>
    <t xml:space="preserve">Myra</t>
  </si>
  <si>
    <t xml:space="preserve">Μύρα</t>
  </si>
  <si>
    <t xml:space="preserve">Demre</t>
  </si>
  <si>
    <t xml:space="preserve">Demre (Kale) (Demre, Antalya)</t>
  </si>
  <si>
    <t xml:space="preserve">No Lycian name known; equation with Mira of Arzawa is rejected.</t>
  </si>
  <si>
    <t xml:space="preserve">Strabo 14.3.3; Lycian League coins; metropolis of Lycia; Hierocles; bishops 325 (St Nicholas)–787</t>
  </si>
  <si>
    <t xml:space="preserve">Seljuk capture under Alexios I; later medieval Roman recovery; Turkish town Kale, renamed Demre 2005.</t>
  </si>
  <si>
    <t xml:space="preserve">Strabo 14.3.3; Pleiades 639005; Foss 1994; Wikipedia: Myra</t>
  </si>
  <si>
    <t xml:space="preserve">Lycian town (rock tombs with Lycian inscriptions); Hellenized by the 3rd c. BC; three-vote city of the Lycian League</t>
  </si>
  <si>
    <t xml:space="preserve">C272</t>
  </si>
  <si>
    <t xml:space="preserve">Mastaura (Lycia)</t>
  </si>
  <si>
    <t xml:space="preserve">Dereağzı (Kaş/Demre, Antalya)?</t>
  </si>
  <si>
    <t xml:space="preserve">Native (Anatolian) place-name only; no pre-Greek-script attestation.</t>
  </si>
  <si>
    <t xml:space="preserve">Notitiae (7th and 10th c., first suffragan of Myra); possibly bishop Baanes 879</t>
  </si>
  <si>
    <t xml:space="preserve">Site proposed at Dereağzı (large domed medieval Roman church, possibly the cathedral; Henning 2007, Şahin &amp; Adak 2007); not certain. The Anatolian name suggests a native community, but there is no evidence.</t>
  </si>
  <si>
    <t xml:space="preserve">Wikipedia: Mastaura (Lycia); Pleiades 638820; Şahin &amp; Adak 2007</t>
  </si>
  <si>
    <t xml:space="preserve">first attested as a see in the Notitia of Ps.-Epiphanius (c. 640)</t>
  </si>
  <si>
    <t xml:space="preserve">C273</t>
  </si>
  <si>
    <t xml:space="preserve">Arneae</t>
  </si>
  <si>
    <t xml:space="preserve">Ἀρνεαί</t>
  </si>
  <si>
    <t xml:space="preserve">above Ernes (Kaş, Antalya)</t>
  </si>
  <si>
    <t xml:space="preserve">Roman inscriptions; Hierocles; Notitiae (see of Arneai)</t>
  </si>
  <si>
    <t xml:space="preserve">Lycian-type rock tombs; the village name Ernes continues Arneai. Probably a Greek city already in the Hellenistic period, but undated.</t>
  </si>
  <si>
    <t xml:space="preserve">Pleiades 638763; TIB 8; Bean 1978</t>
  </si>
  <si>
    <t xml:space="preserve">Roman-period city (inscriptions 1st–2nd c. AD); Hierocles</t>
  </si>
  <si>
    <t xml:space="preserve">C274</t>
  </si>
  <si>
    <t xml:space="preserve">Candyba</t>
  </si>
  <si>
    <t xml:space="preserve">Κάνδυβα</t>
  </si>
  <si>
    <t xml:space="preserve">Kandyba</t>
  </si>
  <si>
    <t xml:space="preserve">above Çataloluk, Kasaba plain (Kaş, Antalya)</t>
  </si>
  <si>
    <t xml:space="preserve">Xãkbi (Lycian); Hinduwa (Hittite)?</t>
  </si>
  <si>
    <t xml:space="preserve">Lycian Xãkbi is the standard identification (Melchert). Hittite Hinduwa (Lukka) has been proposed; uncertain.</t>
  </si>
  <si>
    <t xml:space="preserve">Lycian inscription; coins (ΚΑΝΔ); Lycian League; Pliny NH 5.101; bishops 451, 787, 879</t>
  </si>
  <si>
    <t xml:space="preserve">The older village name Gendova continues Kandyba.</t>
  </si>
  <si>
    <t xml:space="preserve">Pleiades 638892; Wikipedia: Candyba; Plin. NH 5.101</t>
  </si>
  <si>
    <t xml:space="preserve">Lycian town (Xãkbi); Greek city from c. 300 BC; voting polis of the Lycian League</t>
  </si>
  <si>
    <t xml:space="preserve">C275</t>
  </si>
  <si>
    <t xml:space="preserve">Nisa (Lycia)</t>
  </si>
  <si>
    <t xml:space="preserve">Νίσα</t>
  </si>
  <si>
    <t xml:space="preserve">near Sütleğen (Kaş, Antalya)</t>
  </si>
  <si>
    <t xml:space="preserve">Roman inscriptions; Ptolemy 5.3.7; Notitiae; bishop 787</t>
  </si>
  <si>
    <t xml:space="preserve">Pleiades also lists Hellenistic occupation; city status may be older than the Roman evidence.</t>
  </si>
  <si>
    <t xml:space="preserve">Pleiades 639010; Ptol. 5.3.7; Bean 1978</t>
  </si>
  <si>
    <t xml:space="preserve">city in the Milyas known from Roman inscriptions (Opramoas dossier) and Ptolemy</t>
  </si>
  <si>
    <t xml:space="preserve">C276</t>
  </si>
  <si>
    <t xml:space="preserve">Comba</t>
  </si>
  <si>
    <t xml:space="preserve">Κόμβα</t>
  </si>
  <si>
    <t xml:space="preserve">Komba</t>
  </si>
  <si>
    <t xml:space="preserve">near Gömbe (Elmalı, Antalya)</t>
  </si>
  <si>
    <t xml:space="preserve">Ptolemy 5.3.7; Roman inscriptions; Notitiae; bishops 692, 787, 879 (the seed list also gives 381)</t>
  </si>
  <si>
    <t xml:space="preserve">The town name Gömbe continues Komba. Site identification near Gömbe is accepted but the ruins are scanty.</t>
  </si>
  <si>
    <t xml:space="preserve">Pleiades 638932; Wikipedia: Comba (Lycia); Ptol. 5.3.7</t>
  </si>
  <si>
    <t xml:space="preserve">Roman-period city (inscriptions; Ptolemy)</t>
  </si>
  <si>
    <t xml:space="preserve">C277</t>
  </si>
  <si>
    <t xml:space="preserve">Choma</t>
  </si>
  <si>
    <t xml:space="preserve">Χῶμα</t>
  </si>
  <si>
    <t xml:space="preserve">Hacımusalar Höyük (Elmalı, Antalya)</t>
  </si>
  <si>
    <t xml:space="preserve">Settlement mound occupied from the Early Bronze Age (also Middle Bronze and Iron Age layers); no Hittite name securely attached.</t>
  </si>
  <si>
    <t xml:space="preserve">Pliny NH 5.101; Ptolemy; inscriptions from Hacımusalar; Notitiae; bishops 381, 431, 451, 879</t>
  </si>
  <si>
    <t xml:space="preserve">Identification with Hacımusalar Höyük rests on inscriptions found there (Özgen).</t>
  </si>
  <si>
    <t xml:space="preserve">Pleiades 638803; Özgen 2016; Wikipedia: Choma (Lycia)</t>
  </si>
  <si>
    <t xml:space="preserve">first named as a town by Pliny (NH 5.101) in the 1st c. AD; Roman inscriptions</t>
  </si>
  <si>
    <t xml:space="preserve">C278</t>
  </si>
  <si>
    <t xml:space="preserve">Podalia</t>
  </si>
  <si>
    <t xml:space="preserve">Ποδαλία</t>
  </si>
  <si>
    <t xml:space="preserve">near Söğle (Büyüksöğle) (Elmalı, Antalya)</t>
  </si>
  <si>
    <t xml:space="preserve">Pliny NH 5.101; Opramoas dossier; coins of Gordian III; Hierocles; bishops 381, 458, 536, 879</t>
  </si>
  <si>
    <t xml:space="preserve">Site at Söğle is 'almost certain' (PECS); other sites have been proposed. Pleiades also lists Hellenistic occupation.</t>
  </si>
  <si>
    <t xml:space="preserve">Pleiades 639065; PECS s.v. Podalia; Wikipedia: Podalia (Lycia)</t>
  </si>
  <si>
    <t xml:space="preserve">first named as a town by Pliny (NH 5.101), 1st c. AD; coins of Gordian III</t>
  </si>
  <si>
    <t xml:space="preserve">C279</t>
  </si>
  <si>
    <t xml:space="preserve">Limyra</t>
  </si>
  <si>
    <t xml:space="preserve">Λίμυρα</t>
  </si>
  <si>
    <t xml:space="preserve">Yuvalılar, near Turunçova (Finike, Antalya)</t>
  </si>
  <si>
    <t xml:space="preserve">Zẽmuri (Lycian)</t>
  </si>
  <si>
    <t xml:space="preserve">Lycian Zẽmu/Zẽmuri (Lycian inscriptions and coin legends); standard identification.</t>
  </si>
  <si>
    <t xml:space="preserve">Lycian inscriptions; Hellenistic &amp; Roman Greek inscriptions; Lycian League coins; Hierocles; bishops 381, 451, 553, 787</t>
  </si>
  <si>
    <t xml:space="preserve">Gaius Caesar died here in AD 4 (cenotaph).</t>
  </si>
  <si>
    <t xml:space="preserve">Pleiades 638961; Seyer 2024; Wikipedia: Limyra</t>
  </si>
  <si>
    <t xml:space="preserve">Lycian dynastic capital (Zẽmuri) under Pericle c. 380–360 BC; Greek city from c. 300 BC (Ptolemaic Ptolemaieia)</t>
  </si>
  <si>
    <t xml:space="preserve">C280</t>
  </si>
  <si>
    <t xml:space="preserve">Arycanda</t>
  </si>
  <si>
    <t xml:space="preserve">Ἀρύκανδα</t>
  </si>
  <si>
    <t xml:space="preserve">Arykanda</t>
  </si>
  <si>
    <t xml:space="preserve">near Arif (Finike, Antalya)</t>
  </si>
  <si>
    <t xml:space="preserve">No Lycian name securely attested (forms like 'Arykawanda' in modern lists are reconstructions).</t>
  </si>
  <si>
    <t xml:space="preserve">Lycian League coins; Hellenistic &amp; Roman inscriptions; Hierocles; Notitiae (see of Arykanda)</t>
  </si>
  <si>
    <t xml:space="preserve">Pleiades has two records (638769, 638770) for the same site.</t>
  </si>
  <si>
    <t xml:space="preserve">Pleiades 638770; Bayburtluoğlu 2004; Bean 1978</t>
  </si>
  <si>
    <t xml:space="preserve">Lycian settlement (Archaic–Classical finds); Greek city from the Hellenistic period (Lycian League coins)</t>
  </si>
  <si>
    <t xml:space="preserve">C281</t>
  </si>
  <si>
    <t xml:space="preserve">Rhodiapolis</t>
  </si>
  <si>
    <t xml:space="preserve">Ῥοδιάπολις</t>
  </si>
  <si>
    <t xml:space="preserve">Rhodia (Ptolemy, Steph. Byz.); Rhodiopolis (Pliny)</t>
  </si>
  <si>
    <t xml:space="preserve">hill NW of Kumluca (Kumluca, Antalya)</t>
  </si>
  <si>
    <t xml:space="preserve">Wedrẽi (Lycian)?</t>
  </si>
  <si>
    <t xml:space="preserve">Lycian coin legends wedrẽi/wedrewi and the epithet wedrẽñni (TL 149–150, at Rhodiapolis) are often linked to Rhodiapolis. eDiAna treats wedre/i- as 'city-state' and the link as only a hypothesis.</t>
  </si>
  <si>
    <t xml:space="preserve">coins; Opramoas inscriptions (2nd c. AD); Hierocles; bishop 518</t>
  </si>
  <si>
    <t xml:space="preserve">Ancient tradition of a Rhodian foundation (Theopompus ap. Steph. Byz.) is not supported by finds, so it is treated as a Hellenized Lycian town.</t>
  </si>
  <si>
    <t xml:space="preserve">Pleiades 639078; eDiAna s.v. wedrẽñne/i-; Wikipedia: Rhodiapolis</t>
  </si>
  <si>
    <t xml:space="preserve">Lycian town (Lycian inscriptions TL 149–150); Greek city from c. 300 BC, though small before the Roman period</t>
  </si>
  <si>
    <t xml:space="preserve">C282</t>
  </si>
  <si>
    <t xml:space="preserve">Corydalla</t>
  </si>
  <si>
    <t xml:space="preserve">Κορύδαλλα</t>
  </si>
  <si>
    <t xml:space="preserve">Korydalla</t>
  </si>
  <si>
    <t xml:space="preserve">Kumluca</t>
  </si>
  <si>
    <t xml:space="preserve">Hacıveliler, Kumluca (Kumluca, Antalya)</t>
  </si>
  <si>
    <t xml:space="preserve">Rhodians (Hecataeus)</t>
  </si>
  <si>
    <t xml:space="preserve">Rhodes</t>
  </si>
  <si>
    <t xml:space="preserve">Hecataeus ap. Steph. Byz.; imperial coins (ΚΟΡΥΔΑΛΛΕΩΝ); boule and demos under Marcus Aurelius; Hierocles; bishops 431, 458, 787, 879</t>
  </si>
  <si>
    <t xml:space="preserve">The Rhodian origin rests only on Hecataeus and is doubted; if rejected, date it to the Hellenistic period (c. 300 BC) as a Hellenized Lycian town.</t>
  </si>
  <si>
    <t xml:space="preserve">Steph. Byz. s.v. Κορύδαλλα; Pleiades 638937; Wikipedia: Korydalla</t>
  </si>
  <si>
    <t xml:space="preserve">called a 'city of the Rhodians' by Hecataeus (c. 500 BC, ap. Steph. Byz.); certainly a Greek polis in the Hellenistic and Roman periods</t>
  </si>
  <si>
    <t xml:space="preserve">Hecataeus calls Korydalla Rhodian, and the name looks Greek (korydallos, 'lark'). Against that, a Lycian–Greek bilingual from Kumluca shows a Lycian community in the Classical period (PECS: 'a genuine Lycian city'), and other Lycian inscriptions exist (N 302). There is no excavation, so nothing shows a non-Greek settlement before a Greek foundation. If the Rhodian claim is rejected, this becomes a Hellenized Lycian town ('yes').</t>
  </si>
  <si>
    <t xml:space="preserve">Hecataeus ap. Steph. Byz. s.v.; lycianmonuments.com/korydalla; en.wikipedia.org/wiki/Hacıveliler (citing PECS); Pleiades 638937</t>
  </si>
  <si>
    <t xml:space="preserve">C283</t>
  </si>
  <si>
    <t xml:space="preserve">Gagae</t>
  </si>
  <si>
    <t xml:space="preserve">Γάγαι</t>
  </si>
  <si>
    <t xml:space="preserve">Gagai; Palaion Teichos (medieval Roman?)</t>
  </si>
  <si>
    <t xml:space="preserve">near Yenice (Kumluca, Antalya)</t>
  </si>
  <si>
    <t xml:space="preserve">Rhodians (later tradition; Doric epigrams)</t>
  </si>
  <si>
    <t xml:space="preserve">Lycian League coins; Roman inscriptions and coins; Pliny NH 5.100; Notitiae (see of Gagai)</t>
  </si>
  <si>
    <t xml:space="preserve">Rhodian colonisation supported by Doric epigrams (GRBS) and a later aetiological tale ('gā gā'); the foundation date is unknown. Gagates stone named after the town.</t>
  </si>
  <si>
    <t xml:space="preserve">GRBS: Rhodian Funerary Epigrams at Gagai; Pleiades 638842; Wikipedia: Gagae</t>
  </si>
  <si>
    <t xml:space="preserve">Rhodian settlement of the Classical period (Doric funerary epigrams; tradition of Rhodian founders); Greek polis in the Hellenistic and Roman periods</t>
  </si>
  <si>
    <t xml:space="preserve">Rejected the proposed 'yes'. The 'Gaχe' Lycian coin legend and the EBA vessel come from the Turkish survey publication (Çevik &amp; Bulut, Adalya 11, 2008), via kureansiklopedi, which does not count. The vessel is a single find from a cave of unclear context, not a settlement level. I could not confirm the attribution of 'Gaχe' coins to Gagai in non-Turkish numismatic literature. If that attribution holds, it would be a pre-Greek name in a non-Greek document and justify 'yes'. The Rhodian 'gā gā' foundation story is aetiological.</t>
  </si>
  <si>
    <t xml:space="preserve">de./en.wikipedia.org/wiki/Gagai, Gagae (citing Çevik &amp; Bulut, Adalya 11, 2008, 63-98; Ruge, RE VII.1, 465f.; Ps.-Skylax 100); Pleiades 638842 (Barrington: Gagai/Palaion Teichos, Yenice); Onur, Adalya 14 (2011) abstract</t>
  </si>
  <si>
    <t xml:space="preserve">C284</t>
  </si>
  <si>
    <t xml:space="preserve">Meloë</t>
  </si>
  <si>
    <t xml:space="preserve">Μελόη</t>
  </si>
  <si>
    <t xml:space="preserve">Mela? (council lists)</t>
  </si>
  <si>
    <t xml:space="preserve">near Cape Gelidonya (Kumluca, Antalya); unlocated</t>
  </si>
  <si>
    <t xml:space="preserve">bishops 787?, 869, 879 (Le Quien; attribution disputed)</t>
  </si>
  <si>
    <t xml:space="preserve">Le Quien assumes Mela = Meloë. Some of these bishops may belong to a Mela in Bithynia (Darrouzès). Origin unknown.</t>
  </si>
  <si>
    <t xml:space="preserve">Wikipedia: Meloë (Lycia); Le Quien, Oriens Christianus I</t>
  </si>
  <si>
    <t xml:space="preserve">first possible bishop (Nicetas 'of Mela') at Nicaea II, 787</t>
  </si>
  <si>
    <t xml:space="preserve">Unlocated, and even its existence as a Lycian see is uncertain (Mela/Meloë).</t>
  </si>
  <si>
    <t xml:space="preserve">Le Quien; Darrouzès (via input note)</t>
  </si>
  <si>
    <t xml:space="preserve">C285</t>
  </si>
  <si>
    <t xml:space="preserve">Acalissus</t>
  </si>
  <si>
    <t xml:space="preserve">Ἀκαλισσός</t>
  </si>
  <si>
    <t xml:space="preserve">Akalissos</t>
  </si>
  <si>
    <t xml:space="preserve">near Karacaören (Kumluca, Antalya)</t>
  </si>
  <si>
    <t xml:space="preserve">coins; Roman inscriptions; sympoliteia with Idebessos and Kormoi; Hierocles; Notitia c. 640</t>
  </si>
  <si>
    <t xml:space="preserve">Pleiades 638736; TIB 8; Wikipedia: Acalissus</t>
  </si>
  <si>
    <t xml:space="preserve">Roman-period city (coins; inscriptions incl. Opramoas dossier, 2nd c. AD)</t>
  </si>
  <si>
    <t xml:space="preserve">C286</t>
  </si>
  <si>
    <t xml:space="preserve">Idebessus</t>
  </si>
  <si>
    <t xml:space="preserve">Ἰδεβησσός</t>
  </si>
  <si>
    <t xml:space="preserve">Idebessos</t>
  </si>
  <si>
    <t xml:space="preserve">near Kozağacı (Kumluca, Antalya)</t>
  </si>
  <si>
    <t xml:space="preserve">Roman inscriptions; sympoliteia with Akalissos; Notitiae (see of Idebessos)</t>
  </si>
  <si>
    <t xml:space="preserve">Pleiades 638865; TIB 8; Bean 1978</t>
  </si>
  <si>
    <t xml:space="preserve">Roman-period city (inscriptions, 2nd c. AD)</t>
  </si>
  <si>
    <t xml:space="preserve">C287</t>
  </si>
  <si>
    <t xml:space="preserve">Kitanaura</t>
  </si>
  <si>
    <t xml:space="preserve">Κιτάναυρα</t>
  </si>
  <si>
    <t xml:space="preserve">near Saraycık (Kumluca, Antalya)</t>
  </si>
  <si>
    <t xml:space="preserve">AD 45</t>
  </si>
  <si>
    <t xml:space="preserve">Stadiasmus Patarensis; coins (identified 1998); bath-gymnasium; five churches</t>
  </si>
  <si>
    <t xml:space="preserve">Not named by any ancient author; the name was identified from coins and the Patara road monument. Hellenistic walls suggest an older town.</t>
  </si>
  <si>
    <t xml:space="preserve">Pleiades 638923; Wikipedia: Kitanaura; Şahin &amp; Adak 2007</t>
  </si>
  <si>
    <t xml:space="preserve">named on the Stadiasmus Patarensis (AD 45/46); city coins; walls from the Hellenistic period</t>
  </si>
  <si>
    <t xml:space="preserve">C288</t>
  </si>
  <si>
    <t xml:space="preserve">Olympus (Lycia)</t>
  </si>
  <si>
    <t xml:space="preserve">Ὄλυμπος</t>
  </si>
  <si>
    <t xml:space="preserve">Hadrianopolis? (Pleiades/BAtlas)</t>
  </si>
  <si>
    <t xml:space="preserve">Olympos valley near Çıralı/Ulupınar (Kumluca, Antalya)</t>
  </si>
  <si>
    <t xml:space="preserve">Strabo 14.3.3; Lycian League coins; taken from the pirate Zeniketes by Servilius Isauricus 78/77 BC; Hierocles; bishops 431, 451</t>
  </si>
  <si>
    <t xml:space="preserve">No pre-Hellenistic or Lycian evidence at the site. Genoese/Venetian fort in the Middle Ages.</t>
  </si>
  <si>
    <t xml:space="preserve">Strabo 14.3.3; Strabo 14.5.7; Pleiades 639017; Wikipedia: Olympos (Lycia)</t>
  </si>
  <si>
    <t xml:space="preserve">first attested in the 2nd c. BC (Lycian League coinage); one of the six three-vote cities</t>
  </si>
  <si>
    <t xml:space="preserve">The excavations (since 1998/2006) report only Hellenistic, Roman and Byzantine remains, with about 5% of the city exposed. Whether the coastal site is the Hellenistic league city is still debated. There is no evidence either way on pre-Hellenistic occupation.</t>
  </si>
  <si>
    <t xml:space="preserve">cumhuriyet.com.tr Olimpos 16 yıllık kazılar; avesis.marmara.edu.tr 'Olympos in Lycia: a novel assessment…'</t>
  </si>
  <si>
    <t xml:space="preserve">C289</t>
  </si>
  <si>
    <t xml:space="preserve">Phaselis</t>
  </si>
  <si>
    <t xml:space="preserve">Φασηλίς</t>
  </si>
  <si>
    <t xml:space="preserve">near Tekirova (Kemer, Antalya)</t>
  </si>
  <si>
    <t xml:space="preserve">c. 690 BC</t>
  </si>
  <si>
    <t xml:space="preserve">Lakios of Lindos</t>
  </si>
  <si>
    <t xml:space="preserve">Lindos (Rhodes)</t>
  </si>
  <si>
    <t xml:space="preserve">Tradition (Heropythos ap. Athen. 7.297e–f): Lakios bought the land from a local shepherd, Kylabras.</t>
  </si>
  <si>
    <t xml:space="preserve">IACP (Lykia); Hdt. 2.178 (Hellenion at Naukratis); Athenian tribute lists; coins from c. 500 BC; Hierocles; bishops 381, 451, 787</t>
  </si>
  <si>
    <t xml:space="preserve">Greek city in Lycian territory, often counted to Pamphylia; joined the Lycian League in the 2nd–1st c. BC.</t>
  </si>
  <si>
    <t xml:space="preserve">IACP (Lykia); Athen. 7.297e–f; Hdt. 2.178; Pleiades 639051</t>
  </si>
  <si>
    <t xml:space="preserve">founded c. 690 BC by Lindians under Lakios (tradition); archaeological finds from the 7th c. BC</t>
  </si>
  <si>
    <t xml:space="preserve">Rejected the proposed 'no known'. The Kylabras story (Lindians buying the land from a shepherd for salt fish; Heropythos and Philostephanos ap. Athen. 7.297e–298a) is a foundation legend, which is not enough on its own (rule 5). That the excavations since 2012 found nothing before the 7th-c. BC sanctuary is absence of evidence from partial digging, not positive proof of new ground (rule 7). I know of no reliable modern account (e.g. Schäfer 1981, IACP, Bean) that explicitly calls it an unoccupied site, and kureansiklopedi does not count.</t>
  </si>
  <si>
    <t xml:space="preserve">Athen. 7.297e–298a; en.wikipedia.org/wiki/Phaselis; Pleiades 639051; knowledge: J. Schäfer, Phaselis (IstMitt Beih. 24, 1981); IACP s.v. Phaselis</t>
  </si>
  <si>
    <t xml:space="preserve">C290</t>
  </si>
  <si>
    <t xml:space="preserve">Idyros</t>
  </si>
  <si>
    <t xml:space="preserve">Ἴδυρος</t>
  </si>
  <si>
    <t xml:space="preserve">Kemer (Kemer, Antalya)</t>
  </si>
  <si>
    <t xml:space="preserve">Ps.-Skylax 100 (as cited); Pliny NH 5.96?; BAtlas 65 E4</t>
  </si>
  <si>
    <t xml:space="preserve">Site uncertain (BAtlas places it at Kemer with a query) and polis status rests on one periplus entry; not checked against IACP.</t>
  </si>
  <si>
    <t xml:space="preserve">Pleiades 638866; Wikipedia: Idyros; BAtlas 65 E4</t>
  </si>
  <si>
    <t xml:space="preserve">listed as a town north of Phaselis by Pseudo-Skylax (mid-4th c. BC); Classical–Hellenistic remains at Kemer</t>
  </si>
  <si>
    <t xml:space="preserve">Trial trenches and finds at Kemer show Classical, Hellenistic, Roman and Byzantine settlement only. Little excavation or publication exists (Türkmen 2025), and no pre-Greek level or name is known.</t>
  </si>
  <si>
    <t xml:space="preserve">cumhuriyet.com.tr 'İdyros'ta otel projesine bilimsel itiraz' (B. Türkmen); kemer.bel.tr Idyros; Pleiades 638866</t>
  </si>
  <si>
    <t xml:space="preserve">C291</t>
  </si>
  <si>
    <t xml:space="preserve">Trebenna</t>
  </si>
  <si>
    <t xml:space="preserve">Τρέβεννα</t>
  </si>
  <si>
    <t xml:space="preserve">Trabenna (Stadiasmus Patarensis)</t>
  </si>
  <si>
    <t xml:space="preserve">east of Çağlarca (Konyaaltı, Antalya)</t>
  </si>
  <si>
    <t xml:space="preserve">Stadiasmus Patarensis; inscriptions naming Trebenna; coins of Gordian III; Lycian League member</t>
  </si>
  <si>
    <t xml:space="preserve">No evidence for a Hellenistic city (Çevik 2005). Also relevant to the PAM batch.</t>
  </si>
  <si>
    <t xml:space="preserve">Pleiades 639151; Çevik 2005; Wikipedia: Trebenna</t>
  </si>
  <si>
    <t xml:space="preserve">first attested on the Stadiasmus Patarensis (AD 45/46); coins of Gordian III</t>
  </si>
  <si>
    <t xml:space="preserve">C292</t>
  </si>
  <si>
    <t xml:space="preserve">Balbura</t>
  </si>
  <si>
    <t xml:space="preserve">Βάλβουρα</t>
  </si>
  <si>
    <t xml:space="preserve">Balboura</t>
  </si>
  <si>
    <t xml:space="preserve">Çölkayığı, near Altınyayla (Dirmil) (Altınyayla, Burdur)</t>
  </si>
  <si>
    <t xml:space="preserve">Burdur</t>
  </si>
  <si>
    <t xml:space="preserve">Kabalian (Pisidian-speaking) community; the urban site itself starts c. 200 BC, perhaps settled by Pisidians like Oinoanda.</t>
  </si>
  <si>
    <t xml:space="preserve">Hellenistic coins and coins of Caligula; tetrapolis; Lycian League after 84 BC; Hierocles; bishops 381, 451, 458, 879</t>
  </si>
  <si>
    <t xml:space="preserve">Pleiades 638789; Coulton 2012 (Balboura Survey); Strabo 13.4.17</t>
  </si>
  <si>
    <t xml:space="preserve">city founded late 3rd/early 2nd c. BC (earliest finds); member of the Kibyratic tetrapolis; Hellenistic coins</t>
  </si>
  <si>
    <t xml:space="preserve">C293</t>
  </si>
  <si>
    <t xml:space="preserve">Bubon</t>
  </si>
  <si>
    <t xml:space="preserve">Βουβών</t>
  </si>
  <si>
    <t xml:space="preserve">Boubon</t>
  </si>
  <si>
    <t xml:space="preserve">Dikmen Tepe near İbecik (Gölhisar, Burdur)</t>
  </si>
  <si>
    <t xml:space="preserve">Kabalian native community; no pre-Greek-script name.</t>
  </si>
  <si>
    <t xml:space="preserve">Hellenistic &amp; Roman coins; tetrapolis (Strabo 13.4.17); Lycian League after 84 BC; Sebasteion; Hierocles; bishops 381, 451</t>
  </si>
  <si>
    <t xml:space="preserve">Pleiades 638792; Strabo 13.4.17; Smith 2001; lycianmonuments.com: Bubon</t>
  </si>
  <si>
    <t xml:space="preserve">Hellenistic city of the Kibyratic tetrapolis (2nd c. BC); Hellenistic coins</t>
  </si>
  <si>
    <t xml:space="preserve">C294</t>
  </si>
  <si>
    <t xml:space="preserve">Cibyra</t>
  </si>
  <si>
    <t xml:space="preserve">Κιβύρα</t>
  </si>
  <si>
    <t xml:space="preserve">Kibyra (Megale); Caesarea Kibyra (after the AD 23 earthquake)</t>
  </si>
  <si>
    <t xml:space="preserve">near Gölhisar (Horzum) (Gölhisar, Burdur)</t>
  </si>
  <si>
    <t xml:space="preserve">Strabo 13.4.17: founded by Lydians who subdued the Pisidians and later moved the city. The Early Iron Age site at Uylupınar (c. 18 km away) is taken to be the earlier settlement.</t>
  </si>
  <si>
    <t xml:space="preserve">Strabo 13.4.17; Livy 38.14; coins 2nd c. BC–3rd c. AD; head of the tetrapolis; conventus seat; Hierocles (Caria); bishops 325, 381, 431, 553, 787</t>
  </si>
  <si>
    <t xml:space="preserve">Strabo says Pisidian, Solymian, Greek and Lydian were spoken (Hellenistic period)</t>
  </si>
  <si>
    <t xml:space="preserve">Strabo 13.4.17; Livy 38.14; Pleiades 638804; Wikipedia: Cibyra</t>
  </si>
  <si>
    <t xml:space="preserve">Hellenistic city ruled by tyrants (Moagetes, 189 BC); Greek inscriptions and coins from the 2nd c. BC</t>
  </si>
  <si>
    <t xml:space="preserve">C295</t>
  </si>
  <si>
    <t xml:space="preserve">Marciana (Lycia)</t>
  </si>
  <si>
    <t xml:space="preserve">Μαρκιανή</t>
  </si>
  <si>
    <t xml:space="preserve">Marciane</t>
  </si>
  <si>
    <t xml:space="preserve">unlocated, Lycia</t>
  </si>
  <si>
    <t xml:space="preserve">AD 448</t>
  </si>
  <si>
    <t xml:space="preserve">bishops 448, 459, 518; Notitiae 6th–12th/13th c. (suffragan of Myra)</t>
  </si>
  <si>
    <t xml:space="preserve">Site unknown and not named by any ancient author; il and coordinates are placeholders for Lycia. The name may honour Trajan's sister Marciana, but no foundation is recorded.</t>
  </si>
  <si>
    <t xml:space="preserve">Wikipedia: Marciana (Lycia); Le Quien, Oriens Christianus I 983</t>
  </si>
  <si>
    <t xml:space="preserve">first bishop (Januarius) at the Synod of Constantinople, 448</t>
  </si>
  <si>
    <t xml:space="preserve">Unlocated. Known only from one bishop in 448.</t>
  </si>
  <si>
    <t xml:space="preserve">ACO (Synod of Constantinople 448); no Pleiades entry</t>
  </si>
  <si>
    <t xml:space="preserve">C296</t>
  </si>
  <si>
    <t xml:space="preserve">Pamphylia and Pisidia</t>
  </si>
  <si>
    <t xml:space="preserve">Pisidia</t>
  </si>
  <si>
    <t xml:space="preserve">Sinda</t>
  </si>
  <si>
    <t xml:space="preserve">Σίνδα</t>
  </si>
  <si>
    <t xml:space="preserve">east of Gölhisar (Gölhisar, Burdur)</t>
  </si>
  <si>
    <t xml:space="preserve">189 BC</t>
  </si>
  <si>
    <t xml:space="preserve">Livy 38.15; Strabo 12.7.2, 13.4.17; Polybius 21.35?</t>
  </si>
  <si>
    <t xml:space="preserve">Little more than a name; Greek-speaking civic status is not documented and the site location (Hall 1994) is approximate. Probably absorbed by Kibyra.</t>
  </si>
  <si>
    <t xml:space="preserve">Livy 38.15; Strabo 12.7.2; Pleiades 639111; Hall 1994</t>
  </si>
  <si>
    <t xml:space="preserve">Pisidian town on Manlius Vulso's route (Livy 38.15, 189 BC); listed among Pisidian towns by Strabo</t>
  </si>
  <si>
    <t xml:space="preserve">C297</t>
  </si>
  <si>
    <t xml:space="preserve">Pamphylia</t>
  </si>
  <si>
    <t xml:space="preserve">Olbia (Pamphylia)</t>
  </si>
  <si>
    <t xml:space="preserve">Ὀλβία</t>
  </si>
  <si>
    <t xml:space="preserve">Olba (Stephanus, confused with Olbasa)</t>
  </si>
  <si>
    <t xml:space="preserve">near Arapsuyu, Konyaaltı (Antalya)</t>
  </si>
  <si>
    <t xml:space="preserve">Konyaaltı</t>
  </si>
  <si>
    <t xml:space="preserve">Strabo 14.4.1 (founded a colony, Kadrema); Ptolemy (between Phaselis and Attaleia); Stephanus s.v.</t>
  </si>
  <si>
    <t xml:space="preserve">Greek name ('prosperous') suggests a Greek foundation, but founder and date are unknown; a Classical date is possible. Westernmost town of Pamphylia; also in the LYC seeds.</t>
  </si>
  <si>
    <t xml:space="preserve">Strabo 14.4.1; Pleiades 639016; Wikipedia: Olbia (Pamphylia)</t>
  </si>
  <si>
    <t xml:space="preserve">Hellenistic: Strabo 14.4.1 (from Artemidorus, c. 100 BC) calls it a great fortress whose people colonised Kadrema in Lycia</t>
  </si>
  <si>
    <t xml:space="preserve">The site near Arapsuyu is not excavated beyond walls. Stephanus puts Olbia in Solymian territory, and local accounts call it a Solymian (Termessian) port. Those are territorial or traditional claims, not evidence of an earlier settlement on the site.</t>
  </si>
  <si>
    <t xml:space="preserve">Strabo 14.4.1; Steph. Byz. s.v. Olbia; en.wikipedia.org/wiki/Olbia_(Pamphylia); konyaalti.bel.tr/en/history</t>
  </si>
  <si>
    <t xml:space="preserve">C298</t>
  </si>
  <si>
    <t xml:space="preserve">Attalea (Attaleia)</t>
  </si>
  <si>
    <t xml:space="preserve">Adalia, Atalia; Satalia (medieval Western); Antalya (Turkish)</t>
  </si>
  <si>
    <t xml:space="preserve">Kaleiçi, old town of Antalya (Muratpaşa, Antalya)</t>
  </si>
  <si>
    <t xml:space="preserve">Muratpaşa</t>
  </si>
  <si>
    <t xml:space="preserve">Attalos II Philadelphos</t>
  </si>
  <si>
    <t xml:space="preserve">Strabo 14.4.1; Hellenistic and Roman coins; Hierocles; bishops from 431; medieval Roman metropolis and naval base</t>
  </si>
  <si>
    <t xml:space="preserve">Strabo says Attalos also settled colonists at neighbouring Korykos; whether an earlier town lay at the harbour is debated. medieval Roman until the Seljuk conquest of 1207.</t>
  </si>
  <si>
    <t xml:space="preserve">Strabo 14.4.1; Cohen 1995; Pleiades 638778; Wikipedia: Antalya</t>
  </si>
  <si>
    <t xml:space="preserve">founded by Attalos II Philadelphos (159–138 BC), c. 150 BC</t>
  </si>
  <si>
    <t xml:space="preserve">The Doğu Garajı necropolis was in use from the late 4th c. BC, so a town preceded Attalos II's foundation. That town may be Pamphylian Korykos or an Olbian/Greek settlement, and nothing marks it as non-Greek. No Bronze or Iron Age level is reported in Kaleiçi; Pleiades' Bronze Age tags come from TAVO name indexing and are noise.</t>
  </si>
  <si>
    <t xml:space="preserve">turkishmuseums.com Antalya Necropolis Museum; en.wikipedia.org/wiki/Antalya (Doğu Garajı 2008); Strabo 14.4.1</t>
  </si>
  <si>
    <t xml:space="preserve">C299</t>
  </si>
  <si>
    <t xml:space="preserve">Magydus (Magydos)</t>
  </si>
  <si>
    <t xml:space="preserve">Μάγυδος</t>
  </si>
  <si>
    <t xml:space="preserve">Mygdale (Stadiasmus?)</t>
  </si>
  <si>
    <t xml:space="preserve">Lara, eastern Antalya (Muratpaşa, Antalya)</t>
  </si>
  <si>
    <t xml:space="preserve">Ps.-Skylax 100; Roman imperial coins; Hierocles; bishops 325–787</t>
  </si>
  <si>
    <t xml:space="preserve">Site at Lara (small artificial harbour) is probable rather than proven. Origin unknown: a Pamphylian (Greek-speaking) coastal town with a non-Greek name.</t>
  </si>
  <si>
    <t xml:space="preserve">Ps.-Skylax 100; Pleiades 638980; Wikipedia: Magydus</t>
  </si>
  <si>
    <t xml:space="preserve">listed among the towns of Pamphylia by Ps.-Skylax 100 (c. 340s BC)</t>
  </si>
  <si>
    <t xml:space="preserve">The site at Lara is probable, not proven, and unexcavated. The name is non-Greek, but no earlier name or pre-Greek level is attested.</t>
  </si>
  <si>
    <t xml:space="preserve">Ps.-Skylax 100; Pleiades 638980</t>
  </si>
  <si>
    <t xml:space="preserve">C300</t>
  </si>
  <si>
    <t xml:space="preserve">Perge (Perga)</t>
  </si>
  <si>
    <t xml:space="preserve">Πέργη</t>
  </si>
  <si>
    <t xml:space="preserve">Preiia (Pamphylian, in 'Wanassa Preiia')</t>
  </si>
  <si>
    <t xml:space="preserve">Aksu, 15 km E of Antalya (Aksu, Antalya)</t>
  </si>
  <si>
    <t xml:space="preserve">Achaeans under Kalchas and Mopsos (tradition)</t>
  </si>
  <si>
    <t xml:space="preserve">Pamphylian Greeks (tradition)</t>
  </si>
  <si>
    <t xml:space="preserve">Parḫa (Hittite)</t>
  </si>
  <si>
    <t xml:space="preserve">Parha is named with the Kaštaraya river (Kestros) as Tarhuntassa's western border in the Bronze Tablet of Tudhaliya IV (c. 1235 BC); the identification with Perge is generally accepted. The acropolis was settled from the Late Chalcolithic/Early Bronze Age.</t>
  </si>
  <si>
    <t xml:space="preserve">IACP (Pamphylia); coins from 3rd/2nd c. BC; Hierocles; bishops 431–787; metropolis of Pamphylia II</t>
  </si>
  <si>
    <t xml:space="preserve">Date choice: the brief prefers the archaeological date (7th c. BC); tradition and dialect would give c. 1100 BC. 'Mycenaeans' stands for the post-Trojan-War Achaean settlers of the Pamphylian tradition.</t>
  </si>
  <si>
    <t xml:space="preserve">IACP (Pamphylia); Otten 1988 (Bronze Tablet); Strabo 14.4.3; Pleiades 639048; Wikipedia: Perga</t>
  </si>
  <si>
    <t xml:space="preserve">Tradition: founded after the Trojan War by Achaeans under Kalchas and Mopsos (founder statues at Perge; Strabo 14.4.3), and the Pamphylian dialect points to Greek settlers c. 1200–1000 BC; archaeology on the acropolis shows a native Iron Age town with Greek (Rhodian/Cypriot) influence from the 7th c. BC and a polis from the Classical period</t>
  </si>
  <si>
    <t xml:space="preserve">C301</t>
  </si>
  <si>
    <t xml:space="preserve">Sillyon (Syllium)</t>
  </si>
  <si>
    <t xml:space="preserve">Σίλλυον</t>
  </si>
  <si>
    <t xml:space="preserve">Selyviys (Pamphylian, coin legend ΣΕΛΥϜΙΙΥΣ)</t>
  </si>
  <si>
    <t xml:space="preserve">Yanköy Hisarı / Asar köy, near Kumköy (Serik, Antalya)</t>
  </si>
  <si>
    <t xml:space="preserve">Mopsos/Kalchas/Amphilochos (tradition); Argives (alt. tradition)</t>
  </si>
  <si>
    <t xml:space="preserve">A derivation of the Pamphylian name Selywiys from Hittite Šalawašša has been suggested (Wikipedia: Sillyon, as 'Sallawassi'), but this is only an etymology and the same Hittite name is also linked to Sagalassos, so no pre-Greek name is entered. No pre-Greek levels are known at the site.</t>
  </si>
  <si>
    <t xml:space="preserve">IACP (Pamphylia); Pamphylian dialect decree (4th c. BC); coins c. 280 BC–AD 270s; Hierocles; bishops 381–787</t>
  </si>
  <si>
    <t xml:space="preserve">Resisted Alexander in 333 BC (Arrian 1.26.5). In the medieval Roman period the metropolitan see moved here from Perge (late 8th–9th c.); fell to the Seljuks in 1207.</t>
  </si>
  <si>
    <t xml:space="preserve">IACP (Pamphylia); Arrian 1.26.5; Pleiades 639109; Wikipedia: Sillyon</t>
  </si>
  <si>
    <t xml:space="preserve">Tradition: founded by Mopsos, Kalchas and Amphilochos after the Trojan War (or by Argives); Pamphylian Greek town; longest Pamphylian-dialect inscription (4th c. BC); coins from early 3rd c. BC. Date set with Perge (7th c. BC, earliest Greek material in Pamphylia)</t>
  </si>
  <si>
    <t xml:space="preserve">The earliest finds are 8th–7th c. BC Geometric-decorated sherds, with no architecture from that phase. The Pamukkale excavation team equates Sillyon with 'Šalluša' in Hittite texts, but the identification is conjectural. The Mopsos/Argive foundation stories are legend. No pre-Greek level has been shown.</t>
  </si>
  <si>
    <t xml:space="preserve">pau.edu.tr/sillyon/en/sayfa/history-25; Özer &amp; Taşkıran, Sillyon survey 2009 (ANMED 8, 2010)</t>
  </si>
  <si>
    <t xml:space="preserve">C302</t>
  </si>
  <si>
    <t xml:space="preserve">Aspendus (Aspendos)</t>
  </si>
  <si>
    <t xml:space="preserve">Ἄσπενδος</t>
  </si>
  <si>
    <t xml:space="preserve">Estwedys (Pamphylian, coin legend ΕΣΤϜΕΔΙΙΥΣ); Primoupolis (medieval Roman); Belkıs (Turkish name of the site)</t>
  </si>
  <si>
    <t xml:space="preserve">Belkıs, by the Köprüçay (Eurymedon) (Serik, Antalya)</t>
  </si>
  <si>
    <t xml:space="preserve">Argives or Mopsos (tradition)</t>
  </si>
  <si>
    <t xml:space="preserve">IACP (Pamphylia); coins from c. 500 BC (Pamphylian Greek legends); Hierocles; bishops 325–431 and later</t>
  </si>
  <si>
    <t xml:space="preserve">Could be classed as an Argive colony (metropolis Argos), but the Argive claim is probably a later kinship myth. Tradition and dialect would give c. 1100 BC.</t>
  </si>
  <si>
    <t xml:space="preserve">IACP (Pamphylia); Strabo 14.4.2; Pleiades 638776; Wikipedia: Aspendos</t>
  </si>
  <si>
    <t xml:space="preserve">Tradition: an Argive foundation (Strabo 14.4.2; Mela 1.78) or founded by Trojan War heroes (Mopsos, or Polypoites and Leonteus); Pamphylian Greek legends on coins from c. 500 BC. Date set with Perge (7th c. BC, earliest Greek material in Pamphylia)</t>
  </si>
  <si>
    <t xml:space="preserve">Rejected the proposed 'yes'. The Late Chalcolithic (c. 4000–3500 BC) finds under the acropolis shops were only announced in the press in September 2026 (Hürriyet Daily News, Daily Sabah, Greek Reporter). They are unpublished (rule 4: the brief's own example). The native name Estwediiys is attested only in Pamphylian Greek coin legends, not in a pre-Greek document, and its link to Luwian Azatiwada is disputed (rule 6). The Argive and Mopsos foundations are legendary. No pre-Iron Age level is reported in non-Turkish scholarship.</t>
  </si>
  <si>
    <t xml:space="preserve">proposal's press sources (not evidence); Pleiades 638776; knowledge: Brixhe, Le dialecte grec de Pamphylie (1976) on ΕΣΤϜΕΔΙΙΥΣ coin legend</t>
  </si>
  <si>
    <t xml:space="preserve">C303</t>
  </si>
  <si>
    <t xml:space="preserve">Seleucia in Pamphylia</t>
  </si>
  <si>
    <t xml:space="preserve">Σελεύκεια</t>
  </si>
  <si>
    <t xml:space="preserve">unlocated, near the coast between the Eurymedon and Side (Manavgat or Serik, Antalya)</t>
  </si>
  <si>
    <t xml:space="preserve">a Seleucid king (unknown)</t>
  </si>
  <si>
    <t xml:space="preserve">Hellenistic honorific decree for Asklepiades of Perge; Ptolemy?; bishop at Nicaea 325 (per seed list)</t>
  </si>
  <si>
    <t xml:space="preserve">The ruins at Şıhlar/Bucakşeyhler long called 'Seleukeia' are now usually taken to be Lyrbe (Nollé); Seleukeia was probably a separate coastal town. Position here is the Barrington/Pleiades estimate.</t>
  </si>
  <si>
    <t xml:space="preserve">Cohen 1995; Nollé 1993 (Side im Altertum); Pleiades 639099; Wikipedia: Seleucia (Pamphylia)</t>
  </si>
  <si>
    <t xml:space="preserve">Seleucid foundation, 3rd/early 2nd c. BC (founder and date unknown)</t>
  </si>
  <si>
    <t xml:space="preserve">Unlocated; the Şıhlar ruins are now attributed to Lyrbe.</t>
  </si>
  <si>
    <t xml:space="preserve">Pleiades 639099; Nollé (via input note)</t>
  </si>
  <si>
    <t xml:space="preserve">C304</t>
  </si>
  <si>
    <t xml:space="preserve">Side</t>
  </si>
  <si>
    <t xml:space="preserve">Σίδη</t>
  </si>
  <si>
    <t xml:space="preserve">Eski Antalya ('Old Antalya', Ottoman); Selimiye (village name before 20th-c. revival of 'Side')</t>
  </si>
  <si>
    <t xml:space="preserve">Side peninsula, Selimiye (Manavgat, Antalya)</t>
  </si>
  <si>
    <t xml:space="preserve">pre-Greek name (revived)</t>
  </si>
  <si>
    <t xml:space="preserve">Kyme</t>
  </si>
  <si>
    <t xml:space="preserve">Arrian says the Kymaean settlers took up the local tongue, so a native (Sidetic-speaking) community existed. Pleiades lists a native form 'Sibdē', which I could not verify; not used.</t>
  </si>
  <si>
    <t xml:space="preserve">IACP (Pamphylia); coins from 5th c. BC (Sidetic legends, Greek from the Hellenistic period); Hierocles; bishops 431–787; metropolis of Pamphylia I</t>
  </si>
  <si>
    <t xml:space="preserve">Sidetic (native Anatolian) was the main language: Arrian 1.26.4 says the colonists forgot Greek; Sidetic coin legends 5th–3rd c. BC and bilinguals to the 2nd c. BC; Greek dominant from the Hellenistic period</t>
  </si>
  <si>
    <t xml:space="preserve">The name means 'pomegranate' (the city's emblem); the modern name Side is a revival of the ancient name. The village on the site was called Selimiye (founded 1895); the name Side is a modern revival.</t>
  </si>
  <si>
    <t xml:space="preserve">IACP (Pamphylia); Arrian 1.26.4; Strabo 14.4.2; Pleiades 639105; Wikipedia: Sidetic language</t>
  </si>
  <si>
    <t xml:space="preserve">colony of Aeolian Kyme (Ps.-Skylax 100; Strabo 14.4.2; Arrian 1.26.4), usually dated to the 7th c. BC</t>
  </si>
  <si>
    <t xml:space="preserve">C305</t>
  </si>
  <si>
    <t xml:space="preserve">Lyrbe</t>
  </si>
  <si>
    <t xml:space="preserve">Λύρβη</t>
  </si>
  <si>
    <t xml:space="preserve">Lyrba; the site was formerly identified as Seleukeia; Scandalor (portolans, if the site is Seleukeia)</t>
  </si>
  <si>
    <t xml:space="preserve">Şıhlar, 1 km N of Bucakşeyhler, 15 km NE of Side (Manavgat, Antalya)</t>
  </si>
  <si>
    <t xml:space="preserve">Sidetic inscriptions and graffiti from the site show a Sidetic-speaking population; the name may be Luwian, but there is no pre-Greek attestation.</t>
  </si>
  <si>
    <t xml:space="preserve">Roman imperial coins; Ptolemy 5.5.8; Hierocles; bishops 381, 431</t>
  </si>
  <si>
    <t xml:space="preserve">Sidetic in use alongside Greek in the Hellenistic period (Sidetic texts found on the site)</t>
  </si>
  <si>
    <t xml:space="preserve">Identification of the Şıhlar ruins as Lyrbe rather than Seleukeia (Nollé) is likely but not proven.</t>
  </si>
  <si>
    <t xml:space="preserve">Nollé 1993; Pleiades 638970; Wikipedia: Lyrbe; turkisharchaeonews.net: Lyrbe</t>
  </si>
  <si>
    <t xml:space="preserve">Hellenistic town: agora 2nd c. BC; Roman imperial coins (ΛΥΡΒΙΤΩΝ)</t>
  </si>
  <si>
    <t xml:space="preserve">C306</t>
  </si>
  <si>
    <t xml:space="preserve">Ptolemais (Pamphylia)</t>
  </si>
  <si>
    <t xml:space="preserve">Πτολεμαΐς</t>
  </si>
  <si>
    <t xml:space="preserve">Fığla Burnu, on the coast W of Alanya (Alanya, Antalya)</t>
  </si>
  <si>
    <t xml:space="preserve">a Ptolemaic king (probably Ptolemy II or III)</t>
  </si>
  <si>
    <t xml:space="preserve">Ptolemies</t>
  </si>
  <si>
    <t xml:space="preserve">Strabo 14.4.2 (polis between the Melas and Korakesion)</t>
  </si>
  <si>
    <t xml:space="preserve">Short-lived Hellenistic town, not in Hierocles. Border case: Alanya district, may duplicate the CIL batch.</t>
  </si>
  <si>
    <t xml:space="preserve">Strabo 14.4.2; Cohen 1995; Pleiades 639073; Wikipedia: Ptolemais (Pamphylia)</t>
  </si>
  <si>
    <t xml:space="preserve">Ptolemaic foundation of the 3rd c. BC (Ptolemaic control of the coast c. 280–197 BC); named as a polis by Strabo 14.4.2</t>
  </si>
  <si>
    <t xml:space="preserve">A short-lived Ptolemaic town at Fığla Burnu, known only from surface remains. No pre-Hellenistic finds or earlier name are reported.</t>
  </si>
  <si>
    <t xml:space="preserve">Strabo 14.4.2; Pleiades 639073</t>
  </si>
  <si>
    <t xml:space="preserve">C307</t>
  </si>
  <si>
    <t xml:space="preserve">Carallia</t>
  </si>
  <si>
    <t xml:space="preserve">Καράλλεια</t>
  </si>
  <si>
    <t xml:space="preserve">Karalia (Hierocles)</t>
  </si>
  <si>
    <t xml:space="preserve">near Güney Kalesi, Güzelbağ (Alanya, Antalya)</t>
  </si>
  <si>
    <t xml:space="preserve">c. AD 431</t>
  </si>
  <si>
    <t xml:space="preserve">Hierocles (Karalia); bishops 431, 451, 680</t>
  </si>
  <si>
    <t xml:space="preserve">Hill town in the hinterland of Korakesion; native name. Border case (Alanya district), possibly also in the CIL batch.</t>
  </si>
  <si>
    <t xml:space="preserve">Nollé 1987; Pleiades 638898; Wikipedia: Carallia</t>
  </si>
  <si>
    <t xml:space="preserve">first bishop at Ephesus 431; Roman-period town</t>
  </si>
  <si>
    <t xml:space="preserve">C308</t>
  </si>
  <si>
    <t xml:space="preserve">Etenna</t>
  </si>
  <si>
    <t xml:space="preserve">Ἔτεννα</t>
  </si>
  <si>
    <t xml:space="preserve">Aetenna</t>
  </si>
  <si>
    <t xml:space="preserve">250–500 m N of Sırtköy, N of Manavgat (Manavgat, Antalya)</t>
  </si>
  <si>
    <t xml:space="preserve">Classical-period sherds on the site</t>
  </si>
  <si>
    <t xml:space="preserve">coins 4th/3rd c. BC–3rd c. AD; Polybius 5.73; Hierocles; bishops 381–879</t>
  </si>
  <si>
    <t xml:space="preserve">Site at Sırtköy chosen on coin finds; Gölcük near Sarraçlı is the weaker alternative. Some equate the Etenneis with the Kotenneis, but the Notitiae list them as separate sees.</t>
  </si>
  <si>
    <t xml:space="preserve">Polybius 5.73; Nollé 1992; Pleiades 638832; Wikipedia: Etenna</t>
  </si>
  <si>
    <t xml:space="preserve">silver coins from the late 4th–3rd c. BC; the Etenneis sent 8,000 hoplites to Achaios in 218 BC (Polybius 5.73)</t>
  </si>
  <si>
    <t xml:space="preserve">C309</t>
  </si>
  <si>
    <t xml:space="preserve">Cotenna (Kotenna)</t>
  </si>
  <si>
    <t xml:space="preserve">Κότεννα</t>
  </si>
  <si>
    <t xml:space="preserve">Kotana (Hierocles); Kotaina (Notitiae); Katenneis (Strabo 12.7.1)</t>
  </si>
  <si>
    <t xml:space="preserve">Gödene (Menteşbey), near İbradı (Antalya)</t>
  </si>
  <si>
    <t xml:space="preserve">The Katenneis appear as a Pisidian people in Strabo 12.7.1.</t>
  </si>
  <si>
    <t xml:space="preserve">Roman inscriptions; Hierocles (Kotana); bishops 381–879</t>
  </si>
  <si>
    <t xml:space="preserve">Possibly the same community as, or split from, the Etenneis. No coins of its own unless the Etenna coins belong to it.</t>
  </si>
  <si>
    <t xml:space="preserve">Bean 1970; Strabo 12.7.1; Pleiades 638940; Wikipedia: Cotenna</t>
  </si>
  <si>
    <t xml:space="preserve">Roman-period civic inscriptions of the Kotenneis; first bishop 381</t>
  </si>
  <si>
    <t xml:space="preserve">C310</t>
  </si>
  <si>
    <t xml:space="preserve">Erymna (Orymna)</t>
  </si>
  <si>
    <t xml:space="preserve">Ἔρυμνα</t>
  </si>
  <si>
    <t xml:space="preserve">Orymna (Hierocles, Notitiae, councils); Erymnai (Alexander Polyhistor)</t>
  </si>
  <si>
    <t xml:space="preserve">Ormana</t>
  </si>
  <si>
    <t xml:space="preserve">Ormana (İbradı, Antalya)</t>
  </si>
  <si>
    <t xml:space="preserve">Named as 'Erymnai' in Alexander Polyhistor's Lyciaca (1st c. BC, via Stephanus).</t>
  </si>
  <si>
    <t xml:space="preserve">inscriptions; Hierocles (Orymna); bishops 431, 680/692, 787, 879</t>
  </si>
  <si>
    <t xml:space="preserve">The village of Ormana keeps the ancient name (Orymna).</t>
  </si>
  <si>
    <t xml:space="preserve">Bean 1970; Pleiades 638831; Wikipedia: Erymna</t>
  </si>
  <si>
    <t xml:space="preserve">Roman-period civic inscriptions (no coinage); first bishop 431</t>
  </si>
  <si>
    <t xml:space="preserve">C311</t>
  </si>
  <si>
    <t xml:space="preserve">Selge</t>
  </si>
  <si>
    <t xml:space="preserve">Σέλγη</t>
  </si>
  <si>
    <t xml:space="preserve">Estlegiys (Pamphylian-script coin legend ΕΣΤΛΕΓΙΙΥΣ); acropolis Kesbedion</t>
  </si>
  <si>
    <t xml:space="preserve">Altınkaya</t>
  </si>
  <si>
    <t xml:space="preserve">Altınkaya (formerly Zerk), above the Köprülü Kanyon (Manavgat, Antalya)</t>
  </si>
  <si>
    <t xml:space="preserve">Kalchas, then Lacedaemonians (tradition: Strabo 12.7.3)</t>
  </si>
  <si>
    <t xml:space="preserve">Strabo calls the Selgeis the leading Pisidians; no pre-Greek attestation of the name.</t>
  </si>
  <si>
    <t xml:space="preserve">coins from 4th c. BC; Polybius 5.72–76; Strabo 12.7.3; Hierocles; bishops 431 and later (into the 14th c.)</t>
  </si>
  <si>
    <t xml:space="preserve">The Spartan-colony claim is a Hellenistic kinship tradition; treated as a native Pisidian town.</t>
  </si>
  <si>
    <t xml:space="preserve">Strabo 12.7.3; Polybius 5.72–76; Pleiades 639100; Wikipedia: Selge</t>
  </si>
  <si>
    <t xml:space="preserve">4th c. BC: coins with the Pamphylian-Greek legend ΕΣΤΛΕΓΙΙΥΣ; embassy to Alexander 333 BC (Arrian 1.28.1); claimed Spartan kinship (Polybius 5.76)</t>
  </si>
  <si>
    <t xml:space="preserve">C312</t>
  </si>
  <si>
    <t xml:space="preserve">Pednelissus (Pednelissos)</t>
  </si>
  <si>
    <t xml:space="preserve">Πεδνηλισσός</t>
  </si>
  <si>
    <t xml:space="preserve">Petnelissos</t>
  </si>
  <si>
    <t xml:space="preserve">near Kozan, N of Gebiz (Serik, Antalya)</t>
  </si>
  <si>
    <t xml:space="preserve">c. 218 BC</t>
  </si>
  <si>
    <t xml:space="preserve">Polybius 5.72; Strabo 12.7.2; coins Trajan–3rd c. AD; Hierocles; Notitiae</t>
  </si>
  <si>
    <t xml:space="preserve">Site near Kozan identified by survey (Vandeput &amp; Köse); sometimes called uncertain.</t>
  </si>
  <si>
    <t xml:space="preserve">Polybius 5.72; Strabo 12.7.2; Pleiades 639046; Wikipedia: Pednelissus</t>
  </si>
  <si>
    <t xml:space="preserve">attested as a city besieged by Selge in 218 BC (Polybius 5.72); listed by Artemidorus c. 100 BC; coins from Trajan</t>
  </si>
  <si>
    <t xml:space="preserve">C313</t>
  </si>
  <si>
    <t xml:space="preserve">Termessus (Termessos Major)</t>
  </si>
  <si>
    <t xml:space="preserve">Τερμησσός</t>
  </si>
  <si>
    <t xml:space="preserve">Termessos hē meizōn</t>
  </si>
  <si>
    <t xml:space="preserve">Güllük Dağı national park (Döşemealtı, Antalya)</t>
  </si>
  <si>
    <t xml:space="preserve">Solymoi (native)</t>
  </si>
  <si>
    <t xml:space="preserve">Solymian/Pisidian town that held out against Alexander in 333 BC (Arrian 1.27–28).</t>
  </si>
  <si>
    <t xml:space="preserve">Arrian 1.27; Polybius 21.35; treaty with Adada; lex Antonia de Termessibus 71 BC; coins; Hierocles; bishops 325, 431, 448</t>
  </si>
  <si>
    <t xml:space="preserve">Declined in late antiquity (bishops 'of Termessos and Eudokias' combined later).</t>
  </si>
  <si>
    <t xml:space="preserve">Arrian 1.27; Polybius 21.35; Pleiades 639139; Wikipedia: Termessos</t>
  </si>
  <si>
    <t xml:space="preserve">Hellenistic polis: Greek decrees from c. 200 BC, war with Isinda 189 BC, treaty with Adada (2nd c. BC); coins from 71 BC</t>
  </si>
  <si>
    <t xml:space="preserve">C314</t>
  </si>
  <si>
    <t xml:space="preserve">Eudocias (Pamphylia)</t>
  </si>
  <si>
    <t xml:space="preserve">Εὐδοκιάς</t>
  </si>
  <si>
    <t xml:space="preserve">Eudokia (Hierocles); Anydros? (earlier name)</t>
  </si>
  <si>
    <t xml:space="preserve">near Evdir Han, on the Antalya–Korkuteli road (Döşemealtı, Antalya)</t>
  </si>
  <si>
    <t xml:space="preserve">Theodosius II (named after Empress Eudocia)</t>
  </si>
  <si>
    <t xml:space="preserve">Hierocles; bishops 431, 448, 458, 787; Notitiae</t>
  </si>
  <si>
    <t xml:space="preserve">Lowland successor of Termessos; the Seljuk Evdir Han probably preserves the name. Said to have been an earlier town (Anydros?) rebuilt and renamed.</t>
  </si>
  <si>
    <t xml:space="preserve">Pleiades 638833; Wikipedia: Eudocias (Pamphylia); TIB 8</t>
  </si>
  <si>
    <t xml:space="preserve">named after Empress Eudocia (married Theodosius II in 421); first bishop at Ephesus 431</t>
  </si>
  <si>
    <t xml:space="preserve">Located only approximately near Evdir Han. Reportedly a renamed earlier town (Anydros?), whose date and origin are unknown. No excavation.</t>
  </si>
  <si>
    <t xml:space="preserve">Pleiades 638833; knowledge: Barrington Atlas map 65</t>
  </si>
  <si>
    <t xml:space="preserve">C315</t>
  </si>
  <si>
    <t xml:space="preserve">Isinda (Pisidia)</t>
  </si>
  <si>
    <t xml:space="preserve">İstanoz/Stenez (Ottoman name of the town)</t>
  </si>
  <si>
    <t xml:space="preserve">Korkuteli</t>
  </si>
  <si>
    <t xml:space="preserve">Kışla / Alaaddin Mahallesi, Korkuteli (Korkuteli, Antalya)</t>
  </si>
  <si>
    <t xml:space="preserve">Polybius 21.35; Hellenistic and Roman coins; Hierocles; bishops 325–879</t>
  </si>
  <si>
    <t xml:space="preserve">Coins call the citizens Ionians, a claim of Greek descent; the -nda name is native Anatolian. Not to be confused with Lycian Isinda (Belenli, LYC batch).</t>
  </si>
  <si>
    <t xml:space="preserve">Polybius 21.35; Livy 38.15; Pleiades 638872; Wikipedia: Isinda (Pisidia)</t>
  </si>
  <si>
    <t xml:space="preserve">first attested 189 BC, besieged by Termessos (Polybius 21.35; Livy 38.15); Hellenistic coins (claiming Ionian origin)</t>
  </si>
  <si>
    <t xml:space="preserve">C316</t>
  </si>
  <si>
    <t xml:space="preserve">Ariassus (Ariassos)</t>
  </si>
  <si>
    <t xml:space="preserve">Ἀριασσός</t>
  </si>
  <si>
    <t xml:space="preserve">Aarassos (Artemidorus ap. Strabo)</t>
  </si>
  <si>
    <t xml:space="preserve">near Bademağacı / Dağbeli (Döşemealtı, Antalya)</t>
  </si>
  <si>
    <t xml:space="preserve">Strabo 12.7.2; Ptolemy 5.5.6; Roman imperial coins; Hierocles; bishops 381, 451, 458</t>
  </si>
  <si>
    <t xml:space="preserve">Survey (Mitchell) dates the first town to the Hellenistic period; most visible remains Roman.</t>
  </si>
  <si>
    <t xml:space="preserve">Strabo 12.7.2; Mitchell 1991; Pleiades 638761; Wikipedia: Ariassus</t>
  </si>
  <si>
    <t xml:space="preserve">listed as a Pisidian city by Artemidorus c. 100 BC (Strabo 12.7.2, as Aarassos); Hellenistic remains (3rd–2nd c. BC); Roman coins</t>
  </si>
  <si>
    <t xml:space="preserve">C317</t>
  </si>
  <si>
    <t xml:space="preserve">Verbe (Ouerbe)</t>
  </si>
  <si>
    <t xml:space="preserve">Οὐέρβη</t>
  </si>
  <si>
    <t xml:space="preserve">Berbe</t>
  </si>
  <si>
    <t xml:space="preserve">near Bozova (Korkuteli, Antalya)</t>
  </si>
  <si>
    <t xml:space="preserve">Roman imperial coins; Hierocles; bishop at Nicaea 325 (per seed list); Notitiae</t>
  </si>
  <si>
    <t xml:space="preserve">Location approximate (Barrington '*Ouerbe').</t>
  </si>
  <si>
    <t xml:space="preserve">Pleiades 639029; von Aulock 1977; asiaminorcoins.com (Pisidia)</t>
  </si>
  <si>
    <t xml:space="preserve">Roman imperial coins (ΟΥΕΡΒΙΑΝΩΝ, 2nd–3rd c. AD)</t>
  </si>
  <si>
    <t xml:space="preserve">C318</t>
  </si>
  <si>
    <t xml:space="preserve">Andeda</t>
  </si>
  <si>
    <t xml:space="preserve">Ἄνδηδα</t>
  </si>
  <si>
    <t xml:space="preserve">Yavuz</t>
  </si>
  <si>
    <t xml:space="preserve">Yavuz (Korkuteli, Antalya)</t>
  </si>
  <si>
    <t xml:space="preserve">Roman imperial coins; Notitiae (Pamphylia II)</t>
  </si>
  <si>
    <t xml:space="preserve">Pleiades also records Hellenistic occupation; no earlier civic evidence known to me.</t>
  </si>
  <si>
    <t xml:space="preserve">Pleiades 638744; Wikipedia: Andeda; asiaminorcoins.com (Pisidia)</t>
  </si>
  <si>
    <t xml:space="preserve">Roman imperial coins (ΑΝΔΗΔΕΩΝ, 2nd–3rd c. AD)</t>
  </si>
  <si>
    <t xml:space="preserve">C319</t>
  </si>
  <si>
    <t xml:space="preserve">Pogla</t>
  </si>
  <si>
    <t xml:space="preserve">Πώγλα</t>
  </si>
  <si>
    <t xml:space="preserve">Sokla (Hierocles, corrupt?)</t>
  </si>
  <si>
    <t xml:space="preserve">Çomaklı</t>
  </si>
  <si>
    <t xml:space="preserve">Çomaklı (Korkuteli, Antalya)</t>
  </si>
  <si>
    <t xml:space="preserve">Roman imperial coins; Ptolemy; Hierocles (?); bishops 451, 787</t>
  </si>
  <si>
    <t xml:space="preserve">Pleiades 639066; Wikipedia: Pogla; asiaminorcoins.com (Pisidia)</t>
  </si>
  <si>
    <t xml:space="preserve">Roman imperial coins (ΠΟΓΛΕΩΝ, 2nd–3rd c. AD); Ptolemy 5.5.6</t>
  </si>
  <si>
    <t xml:space="preserve">C320</t>
  </si>
  <si>
    <t xml:space="preserve">Comama (Komama)</t>
  </si>
  <si>
    <t xml:space="preserve">Κόμαμα</t>
  </si>
  <si>
    <t xml:space="preserve">Colonia Iulia Augusta Prima Fida Comama</t>
  </si>
  <si>
    <t xml:space="preserve">Şerefönü, near Ürkütlü (Bucak, Burdur)</t>
  </si>
  <si>
    <t xml:space="preserve">c. 25 BC</t>
  </si>
  <si>
    <t xml:space="preserve">Augustus</t>
  </si>
  <si>
    <t xml:space="preserve">The Augustan colony kept the native name of the place (Komama), implying an existing native Pisidian community; the name is known only from Greek and Latin sources.</t>
  </si>
  <si>
    <t xml:space="preserve">colonial coins (Antoninus Pius, Marcus Aurelius); bishops 381, 458</t>
  </si>
  <si>
    <t xml:space="preserve">Latin was the colony's official language in the 1st–2nd c. AD; Greek took over in the 3rd c.</t>
  </si>
  <si>
    <t xml:space="preserve">Counted under the brief's rule for Pisidian coloniae that became Greek-speaking.</t>
  </si>
  <si>
    <t xml:space="preserve">Levick 1967; Pleiades 638812; Wikipedia: Comama</t>
  </si>
  <si>
    <t xml:space="preserve">Augustan veteran colony, founded after 27 BC (probably by the Via Sebaste milestones of 6 BC)</t>
  </si>
  <si>
    <t xml:space="preserve">C321</t>
  </si>
  <si>
    <t xml:space="preserve">Cretopolis (Kretopolis)</t>
  </si>
  <si>
    <t xml:space="preserve">Κρητόπολις</t>
  </si>
  <si>
    <t xml:space="preserve">Krētōn polis</t>
  </si>
  <si>
    <t xml:space="preserve">Buğdüz, near Yüreğil (Bucak, Burdur)</t>
  </si>
  <si>
    <t xml:space="preserve">319 BC</t>
  </si>
  <si>
    <t xml:space="preserve">unknown; the name ('city of the Cretans') implies Cretan settlers, probably early Hellenistic</t>
  </si>
  <si>
    <t xml:space="preserve">Diodorus 18.44, 18.47; Polybius 5.72; Ptolemy 5.5; Cohen 1995</t>
  </si>
  <si>
    <t xml:space="preserve">Founder and founder_group are conjecture from the name; it may be a settlement of Cretan mercenaries under Alexander or Antigonos. Site identification (Mitchell) probable.</t>
  </si>
  <si>
    <t xml:space="preserve">Diodorus 18.44; Cohen 1995; Mitchell 1994; Pleiades 638946; Wikipedia: Cretopolis</t>
  </si>
  <si>
    <t xml:space="preserve">attested 319 BC (battle of Kretopolis, Diodorus 18.44–47)</t>
  </si>
  <si>
    <t xml:space="preserve">The site at Buğdüz/Yüreğil is a probable identification (Mitchell) and is unexcavated. No pre-Hellenistic level or earlier name is known.</t>
  </si>
  <si>
    <t xml:space="preserve">Diod. 18.44–47; Pleiades 638946; knowledge: Mitchell, AnatSt 1994 (Cretopolis)</t>
  </si>
  <si>
    <t xml:space="preserve">C322</t>
  </si>
  <si>
    <t xml:space="preserve">Panemoteichos (Panemotichus)</t>
  </si>
  <si>
    <t xml:space="preserve">Πανήμου τεῖχος</t>
  </si>
  <si>
    <t xml:space="preserve">Panemoteichos</t>
  </si>
  <si>
    <t xml:space="preserve">near Boğazköy (Bucak, Burdur)</t>
  </si>
  <si>
    <t xml:space="preserve">Iron Age fortified settlement (Panemoteichos I) next to the Roman town.</t>
  </si>
  <si>
    <t xml:space="preserve">Roman imperial coins; Hierocles 681.3; bishops 325, 451?, 536; Constantine Porph. De them. 1.38</t>
  </si>
  <si>
    <t xml:space="preserve">Aydal et al. 1997; Mitchell 1994; Pleiades 639036; Wikipedia: Panemoteichos</t>
  </si>
  <si>
    <t xml:space="preserve">Roman imperial coins (2nd–3rd c. AD); bishop at Nicaea 325</t>
  </si>
  <si>
    <t xml:space="preserve">C323</t>
  </si>
  <si>
    <t xml:space="preserve">Sia</t>
  </si>
  <si>
    <t xml:space="preserve">Σία</t>
  </si>
  <si>
    <t xml:space="preserve">near Karaot (Bucak, Burdur)</t>
  </si>
  <si>
    <t xml:space="preserve">dedication by the demos of Sia; Hellenistic and Roman public buildings</t>
  </si>
  <si>
    <t xml:space="preserve">Not named in any ancient author; date from the Hellenistic remains. Under excavation (Ü. Işın).</t>
  </si>
  <si>
    <t xml:space="preserve">Pleiades 639103; Wikipedia: Sia (Pisidia); Smithsonian 2024</t>
  </si>
  <si>
    <t xml:space="preserve">Hellenistic polis known only from the site: temple inscription 'ho demos ho Sienōn'</t>
  </si>
  <si>
    <t xml:space="preserve">C324</t>
  </si>
  <si>
    <t xml:space="preserve">Olbasa</t>
  </si>
  <si>
    <t xml:space="preserve">Ὄλβασα</t>
  </si>
  <si>
    <t xml:space="preserve">Colonia Iulia Augusta Olbasenorum</t>
  </si>
  <si>
    <t xml:space="preserve">Belenli</t>
  </si>
  <si>
    <t xml:space="preserve">Belenli (Kemer/Tefenni, Burdur)</t>
  </si>
  <si>
    <t xml:space="preserve">The Augustan colony took the name of the native Pisidian town of Olbasa (Colonia Iulia Augusta Olbasenorum), which has Hellenistic occupation (Pleiades); the name is known only from Greek and Latin sources.</t>
  </si>
  <si>
    <t xml:space="preserve">colonial coins (2nd–3rd c. AD); Ptolemy</t>
  </si>
  <si>
    <t xml:space="preserve">Pleiades records Hellenistic occupation; the native name (-asa) suggests an earlier Pisidian town, but there is no direct evidence.</t>
  </si>
  <si>
    <t xml:space="preserve">Levick 1967; Pleiades 639015; asiaminorcoins.com (Pisidia)</t>
  </si>
  <si>
    <t xml:space="preserve">Augustan veteran colony (after 27 BC) at a native town</t>
  </si>
  <si>
    <t xml:space="preserve">C325</t>
  </si>
  <si>
    <t xml:space="preserve">Colbasa (Kolbasa)</t>
  </si>
  <si>
    <t xml:space="preserve">Κόλβασα</t>
  </si>
  <si>
    <t xml:space="preserve">near Çeltikçi (Çeltikçi, Burdur)</t>
  </si>
  <si>
    <t xml:space="preserve">Roman imperial coins; Hierocles; bishop at Ephesus 431; Notitiae (Pamphylia II)</t>
  </si>
  <si>
    <t xml:space="preserve">Exact site uncertain (Hall survey; Barrington position).</t>
  </si>
  <si>
    <t xml:space="preserve">Pleiades 638929; Wikipedia: Colbasa; asiaminorcoins.com (Pisidia)</t>
  </si>
  <si>
    <t xml:space="preserve">Roman imperial coins (ΚΟΛΒΑΣΕΩΝ, 2nd–3rd c. AD)</t>
  </si>
  <si>
    <t xml:space="preserve">C326</t>
  </si>
  <si>
    <t xml:space="preserve">Codrula (Kodroula)</t>
  </si>
  <si>
    <t xml:space="preserve">Κόδρουλα</t>
  </si>
  <si>
    <t xml:space="preserve">unexcavated site SW of Bucak (Bucak/Çeltikçi, Burdur)</t>
  </si>
  <si>
    <t xml:space="preserve">Roman imperial coins; Hierocles; bishops 451, 787</t>
  </si>
  <si>
    <t xml:space="preserve">Location from the Barrington Atlas; Pleiades also records Hellenistic occupation.</t>
  </si>
  <si>
    <t xml:space="preserve">Pleiades 638928; asiaminorcoins.com (Pisidia)</t>
  </si>
  <si>
    <t xml:space="preserve">Roman imperial coins (2nd–3rd c. AD)</t>
  </si>
  <si>
    <t xml:space="preserve">C327</t>
  </si>
  <si>
    <t xml:space="preserve">Ceraetae (Keraitai)</t>
  </si>
  <si>
    <t xml:space="preserve">Κεραῖται</t>
  </si>
  <si>
    <t xml:space="preserve">Keraia (Barrington)</t>
  </si>
  <si>
    <t xml:space="preserve">near Bucak (Bucak, Burdur)</t>
  </si>
  <si>
    <t xml:space="preserve">coins (late Hellenistic and Roman)</t>
  </si>
  <si>
    <t xml:space="preserve">Known mainly from its coinage; location and coin dating need checking (Barrington '*Keraia').</t>
  </si>
  <si>
    <t xml:space="preserve">Pleiades 638913; von Aulock 1977; asiaminorcoins.com (Pisidia)</t>
  </si>
  <si>
    <t xml:space="preserve">late Hellenistic coins of the Keraeitai (ΚΕΡΑΕΙΤΩΝ)</t>
  </si>
  <si>
    <t xml:space="preserve">C328</t>
  </si>
  <si>
    <t xml:space="preserve">Cremna (Kremna)</t>
  </si>
  <si>
    <t xml:space="preserve">Κρῆμνα</t>
  </si>
  <si>
    <t xml:space="preserve">Colonia Iulia Augusta Felix Cremnensium</t>
  </si>
  <si>
    <t xml:space="preserve">above Çamlık (Girme) (Bucak, Burdur)</t>
  </si>
  <si>
    <t xml:space="preserve">Strabo 12.6.4, 12.7.2; colonial coins from Hadrian; Hierocles; bishop 787</t>
  </si>
  <si>
    <t xml:space="preserve">Latin official in the colony (1st–3rd c. AD)</t>
  </si>
  <si>
    <t xml:space="preserve">Besieged and taken from the brigand Lydius in 276/278 AD. Population moved to Çamlık in the Middle Ages.</t>
  </si>
  <si>
    <t xml:space="preserve">Strabo 12.6.4; Mitchell 1995 (Cremna in Pisidia); Pleiades 638814; Wikipedia: Cremna</t>
  </si>
  <si>
    <t xml:space="preserve">Pisidian city in Artemidorus' list, c. 100 BC (Strabo 12.7.2); taken by Amyntas; Augustan colony c. 25 BC</t>
  </si>
  <si>
    <t xml:space="preserve">C329</t>
  </si>
  <si>
    <t xml:space="preserve">Cormasa (Kormasa)</t>
  </si>
  <si>
    <t xml:space="preserve">Κόρμασα</t>
  </si>
  <si>
    <t xml:space="preserve">Palaiopolis? (Notitiae; coin series)</t>
  </si>
  <si>
    <t xml:space="preserve">Gâvur Ören, SW of Lake Burdur (Burdur)</t>
  </si>
  <si>
    <t xml:space="preserve">Polybius 21.36; Livy 38.15; coins (Kormasa; and Palaiopolis, if the same); Notitiae (Palaiopolis)</t>
  </si>
  <si>
    <t xml:space="preserve">Pleiades joins Kormasa and Palaiopolis at the Gâvur Ören site (from von Aulock 1977); the identification and the date of city status are uncertain.</t>
  </si>
  <si>
    <t xml:space="preserve">Livy 38.15; von Aulock 1977; Hall 1986; Pleiades 638936</t>
  </si>
  <si>
    <t xml:space="preserve">first attested 189 BC on Manlius Vulso's march (Polybius 21.36; Livy 38.15)</t>
  </si>
  <si>
    <t xml:space="preserve">C330</t>
  </si>
  <si>
    <t xml:space="preserve">Lysinia (Lysinoe)</t>
  </si>
  <si>
    <t xml:space="preserve">Λυσινία</t>
  </si>
  <si>
    <t xml:space="preserve">Lysinoe (Livy); Lysenara (Hierocles)</t>
  </si>
  <si>
    <t xml:space="preserve">Karakent</t>
  </si>
  <si>
    <t xml:space="preserve">Karakent, W end of Lake Burdur (Burdur)</t>
  </si>
  <si>
    <t xml:space="preserve">Polybius 21.36; Livy 38.15; Roman imperial coins; Hierocles (Lysenara); bishop 451</t>
  </si>
  <si>
    <t xml:space="preserve">The 189 BC mention shows a town, not necessarily Greek civic institutions; secure civic evidence (coins) is Roman.</t>
  </si>
  <si>
    <t xml:space="preserve">Livy 38.15; Pleiades 638973; Wikipedia: Lysinia</t>
  </si>
  <si>
    <t xml:space="preserve">first attested 189 BC (Polybius 21.36; Livy 38.15); Roman imperial coins</t>
  </si>
  <si>
    <t xml:space="preserve">C331</t>
  </si>
  <si>
    <t xml:space="preserve">Sagalassus (Sagalassos)</t>
  </si>
  <si>
    <t xml:space="preserve">Σαγαλασσός</t>
  </si>
  <si>
    <t xml:space="preserve">Selgessos, Sagallesos (variants)</t>
  </si>
  <si>
    <t xml:space="preserve">Akdağ, above Ağlasun (Ağlasun, Burdur)</t>
  </si>
  <si>
    <t xml:space="preserve">Šalawašša (Hittite)?</t>
  </si>
  <si>
    <t xml:space="preserve">Salawassa, a mountain place in 14th-c. BC Hittite texts, has been suggested as Sagalassos; uncertain, and the same Hittite name has been linked to Sillyon. Achaemenid-period settlement at nearby Düzen Tepe and on the site.</t>
  </si>
  <si>
    <t xml:space="preserve">Arrian 1.28; Strabo 12.6.5; Hellenistic and Roman coins; Hierocles; bishops 381, 451 and later</t>
  </si>
  <si>
    <t xml:space="preserve">The modern town of Ağlasun, below the site, keeps the name; the ancient city was largely abandoned after 7th-c. earthquakes.</t>
  </si>
  <si>
    <t xml:space="preserve">Arrian 1.28; Waelkens &amp; Poblome (Sagalassos reports); Pleiades 639087; Wikipedia: Sagalassos</t>
  </si>
  <si>
    <t xml:space="preserve">Pisidian town taken by Alexander in 333 BC (Arrian 1.28); Hellenistic civic buildings and Greek inscriptions from the 2nd c. BC; coins from the 1st c. BC</t>
  </si>
  <si>
    <t xml:space="preserve">C332</t>
  </si>
  <si>
    <t xml:space="preserve">Adada</t>
  </si>
  <si>
    <t xml:space="preserve">Ἄδαδα</t>
  </si>
  <si>
    <t xml:space="preserve">Adadare, Odada (variants); Karabavlu (Turkish name of the ruins)</t>
  </si>
  <si>
    <t xml:space="preserve">Karabavlu, near Sağrak (Sütçüler, Isparta)</t>
  </si>
  <si>
    <t xml:space="preserve">Isparta</t>
  </si>
  <si>
    <t xml:space="preserve">treaty with Termessos; Strabo 12.7.2; coins 1st c. BC and Trajan–Gallienus; Hierocles; bishops 381, 451</t>
  </si>
  <si>
    <t xml:space="preserve">Strabo 12.7.2; Pleiades 638733; Wikipedia: Adada (Pisidia); TIB 7</t>
  </si>
  <si>
    <t xml:space="preserve">Greek treaty of friendship and alliance with Termessos (2nd c. BC); listed by Artemidorus c. 100 BC; coins from the 1st c. BC</t>
  </si>
  <si>
    <t xml:space="preserve">C333</t>
  </si>
  <si>
    <t xml:space="preserve">Tityassus (Tityassos)</t>
  </si>
  <si>
    <t xml:space="preserve">Τιτυασσός</t>
  </si>
  <si>
    <t xml:space="preserve">Pityassos (Strabo's text)</t>
  </si>
  <si>
    <t xml:space="preserve">near Yenişarbademli (Yenişarbademli, Isparta)</t>
  </si>
  <si>
    <t xml:space="preserve">Strabo 12.7.2 (if = Pityassos); Roman imperial coins; bishopric (Notitiae)</t>
  </si>
  <si>
    <t xml:space="preserve">The Artemidorus identification (Pityassos = Tityassos) is a common emendation; secure evidence is Roman.</t>
  </si>
  <si>
    <t xml:space="preserve">Strabo 12.7.2; Pleiades 639146; Wikipedia: Tityassus; asiaminorcoins.com (Pisidia)</t>
  </si>
  <si>
    <t xml:space="preserve">probably the 'Pityassos' of Artemidorus' list of Pisidian cities, c. 100 BC (Strabo 12.7.2); Roman imperial coins</t>
  </si>
  <si>
    <t xml:space="preserve">C334</t>
  </si>
  <si>
    <t xml:space="preserve">Timbriada (Tymbrias)</t>
  </si>
  <si>
    <t xml:space="preserve">Τυμβριάς</t>
  </si>
  <si>
    <t xml:space="preserve">Tymbriada</t>
  </si>
  <si>
    <t xml:space="preserve">near Mirahor / Akçaşar, at the source of the Köprüçay (Aksu, Isparta)</t>
  </si>
  <si>
    <t xml:space="preserve">Strabo 12.7.2; Roman imperial coins (river-god Eurymedon); bishops 680/81, 787</t>
  </si>
  <si>
    <t xml:space="preserve">Strabo 12.7.2; Pleiades 639144; Wikipedia: Timbriada; TIB 7</t>
  </si>
  <si>
    <t xml:space="preserve">listed among Pisidian cities by Artemidorus c. 100 BC (Strabo 12.7.2); coins 2nd–3rd c. AD</t>
  </si>
  <si>
    <t xml:space="preserve">C335</t>
  </si>
  <si>
    <t xml:space="preserve">Malus (Malos)</t>
  </si>
  <si>
    <t xml:space="preserve">Μάλος</t>
  </si>
  <si>
    <t xml:space="preserve">Mallos</t>
  </si>
  <si>
    <t xml:space="preserve">near Sarıidris (Isparta)</t>
  </si>
  <si>
    <t xml:space="preserve">Hierocles; bishopric (Notitiae; titular see)</t>
  </si>
  <si>
    <t xml:space="preserve">Pleiades and DARE give positions some 8 km apart; site uncertain.</t>
  </si>
  <si>
    <t xml:space="preserve">Pleiades 638983; TIB 7; Wikipedia: Malus (Pisidia)</t>
  </si>
  <si>
    <t xml:space="preserve">listed as a city by Hierocles (c. 527); Roman-period remains</t>
  </si>
  <si>
    <t xml:space="preserve">C336</t>
  </si>
  <si>
    <t xml:space="preserve">Baris (Pisidia)</t>
  </si>
  <si>
    <t xml:space="preserve">Farı mevkii, near Kılıç (Keçiborlu, Isparta)</t>
  </si>
  <si>
    <t xml:space="preserve">Roman imperial coins; Hierocles; bishops 325, 381</t>
  </si>
  <si>
    <t xml:space="preserve">Formerly placed at Isparta (Pleiades 638790 coordinates are Isparta's); modern scholars (TIB 7) put it near Kılıç. Isparta's name comes from medieval Roman Sparta/Saporda, not from Baris.</t>
  </si>
  <si>
    <t xml:space="preserve">TIB 7; Pleiades 638790; Wikipedia: Baris (Pisidia); Wikipedia: Isparta</t>
  </si>
  <si>
    <t xml:space="preserve">Roman imperial coins (ΒΑΡΗΝΩΝ, 2nd–3rd c. AD); first bishop 325</t>
  </si>
  <si>
    <t xml:space="preserve">C337</t>
  </si>
  <si>
    <t xml:space="preserve">Seleucia Sidera</t>
  </si>
  <si>
    <t xml:space="preserve">Σελεύκεια ἡ Σιδηρᾶ</t>
  </si>
  <si>
    <t xml:space="preserve">Claudioseleucia (Claudius); Seleukeia Sidera</t>
  </si>
  <si>
    <t xml:space="preserve">Bayat</t>
  </si>
  <si>
    <t xml:space="preserve">Bayat (formerly Selef) (Atabey, Isparta)</t>
  </si>
  <si>
    <t xml:space="preserve">Seleucus I or Antiochus I</t>
  </si>
  <si>
    <t xml:space="preserve">Cohen 1995; coins as Claudioseleucia (Claudius–Claudius II); Hierocles; bishops 325, 451</t>
  </si>
  <si>
    <t xml:space="preserve">The village's former name, Selef, preserved 'Seleukeia'.</t>
  </si>
  <si>
    <t xml:space="preserve">Cohen 1995; Robert 1939; Pleiades 639098; Wikipedia: Seleucia Sidera</t>
  </si>
  <si>
    <t xml:space="preserve">founded by Seleucus I or Antiochus I to guard the northern Pisidian road, early 3rd c. BC</t>
  </si>
  <si>
    <t xml:space="preserve">Kept 'yes' at low confidence. The excavation volume Seleukeia Sidera I (eds. Hürmüzlü, Talloen, Sönmez, Togan, 2022/23) is bilingual and co-edited by P. Talloen of the Sagalassos school, so it counts as an international-team publication. It states that 'the original settlement, dating back to the 8th century BC, was located on top of Hisar Tepe', based on 8th-c. BC Iron Age pottery from surveys on the hill (pp. 8, 21). These are surface finds, not stratified, and the volume calls early evidence 'limited'. Chalcolithic–Iron Age mounds in the territory are separate sites and were not used. kureansiklopedi was disregarded.</t>
  </si>
  <si>
    <t xml:space="preserve">seleukeiasiderakazilari.sdu.edu.tr/assets/files/seleukeia_sidera_1.pdf (pp. 3, 8, 15, 21); Pleiades 639098</t>
  </si>
  <si>
    <t xml:space="preserve">C338</t>
  </si>
  <si>
    <t xml:space="preserve">Prostanna</t>
  </si>
  <si>
    <t xml:space="preserve">Πρόσταννα</t>
  </si>
  <si>
    <t xml:space="preserve">Prostana</t>
  </si>
  <si>
    <t xml:space="preserve">saddle of Sivri Tepe / Davraz, 4 km SW of Eğirdir (Eğirdir, Isparta)</t>
  </si>
  <si>
    <t xml:space="preserve">Roman imperial coins; Ptolemy 5.5.7; bishop at Constantinople 381</t>
  </si>
  <si>
    <t xml:space="preserve">Ballance 1959; Labarre 2005; Pleiades 639072; Wikipedia: Prostanna</t>
  </si>
  <si>
    <t xml:space="preserve">Roman imperial coins (ΠΡΟΣΤΑΝΝΕΩΝ); boundary stone with Parlais; Ptolemy 5.5.7</t>
  </si>
  <si>
    <t xml:space="preserve">C339</t>
  </si>
  <si>
    <t xml:space="preserve">Bindaeus (Bindaios)</t>
  </si>
  <si>
    <t xml:space="preserve">Βίνδαιος</t>
  </si>
  <si>
    <t xml:space="preserve">W of Lake Eğirdir, between Isparta and Eğirdir (Isparta)</t>
  </si>
  <si>
    <t xml:space="preserve">Hierocles; Notitiae (suffragan of Antioch); titular see</t>
  </si>
  <si>
    <t xml:space="preserve">Status from Hierocles/Notitiae, from memory and TIB 7 via Pleiades; not checked against the text.</t>
  </si>
  <si>
    <t xml:space="preserve">TIB 7; Pleiades 638791</t>
  </si>
  <si>
    <t xml:space="preserve">listed as a city by Hierocles (c. 527); later see of Pisidia</t>
  </si>
  <si>
    <t xml:space="preserve">C340</t>
  </si>
  <si>
    <t xml:space="preserve">Conana (Konana)</t>
  </si>
  <si>
    <t xml:space="preserve">Κόνανα</t>
  </si>
  <si>
    <t xml:space="preserve">Iustinianopolis (Justinian)</t>
  </si>
  <si>
    <t xml:space="preserve">Gönen (Gönen, Isparta)</t>
  </si>
  <si>
    <t xml:space="preserve">Roman imperial coins; Hierocles; bishop 431; Notitiae</t>
  </si>
  <si>
    <t xml:space="preserve">Gönen continues the native name Konana. Pleiades also records Hellenistic occupation.</t>
  </si>
  <si>
    <t xml:space="preserve">Pleiades 638813; Wikipedia: Conana; asiaminorcoins.com (Pisidia)</t>
  </si>
  <si>
    <t xml:space="preserve">Roman imperial coins (ΚΟΝΑΝΕΩΝ, 2nd–3rd c. AD)</t>
  </si>
  <si>
    <t xml:space="preserve">C341</t>
  </si>
  <si>
    <t xml:space="preserve">Parlais</t>
  </si>
  <si>
    <t xml:space="preserve">Πάρλαις</t>
  </si>
  <si>
    <t xml:space="preserve">Colonia Iulia Augusta Hadriana Parlais; Paralais (Ptolemy)</t>
  </si>
  <si>
    <t xml:space="preserve">Barla</t>
  </si>
  <si>
    <t xml:space="preserve">Barla, on the W shore of Lake Eğirdir (Eğirdir, Isparta)</t>
  </si>
  <si>
    <t xml:space="preserve">The Augustan colony kept the native name of the place (Parlais/Paralais, modern Barla), implying an existing native Pisidian community; the name is known only from Greek and Latin sources.</t>
  </si>
  <si>
    <t xml:space="preserve">colonial coins; Ptolemy 5.4.12; boundary stone with Prostanna; bishops 381, 451, 692, 879</t>
  </si>
  <si>
    <t xml:space="preserve">The native name Parlais survives in Barla; site identification (Kiepert) generally accepted, against Ramsay's Uzumla Monastir.</t>
  </si>
  <si>
    <t xml:space="preserve">Levick 1967; Pleiades 639039; Wikipedia: Parlais</t>
  </si>
  <si>
    <t xml:space="preserve">Augustan veteran colony (Colonia Iulia Augusta), late 1st c. BC; 'Hadriana' added under Hadrian</t>
  </si>
  <si>
    <t xml:space="preserve">C342</t>
  </si>
  <si>
    <t xml:space="preserve">Anabura (Anaboura)</t>
  </si>
  <si>
    <t xml:space="preserve">Ἀναβούρα</t>
  </si>
  <si>
    <t xml:space="preserve">near Enevre (Şarkikaraağaç, Isparta)</t>
  </si>
  <si>
    <t xml:space="preserve">Strabo 12.7.2; Hellenistic–medieval Roman remains</t>
  </si>
  <si>
    <t xml:space="preserve">Only literary evidence for civic status is Artemidorus' list; no coins or see known to me.</t>
  </si>
  <si>
    <t xml:space="preserve">Strabo 12.7.2; Pleiades 638742; Wikipedia: Anabura (Pisidia); TIB 7</t>
  </si>
  <si>
    <t xml:space="preserve">listed among Pisidian cities by Artemidorus c. 100 BC (Strabo 12.7.2)</t>
  </si>
  <si>
    <t xml:space="preserve">C343</t>
  </si>
  <si>
    <t xml:space="preserve">Neapolis (Pisidia)</t>
  </si>
  <si>
    <t xml:space="preserve">near Kıyakdede, on the Isparta–Konya border (Şarkikaraağaç, Isparta)</t>
  </si>
  <si>
    <t xml:space="preserve">Pliny NH 5 (Galatia); Ptolemy 5.4.11; Hierocles; bishops 325, 381, 451</t>
  </si>
  <si>
    <t xml:space="preserve">The Greek name ('new city') suggests a late Hellenistic or early Roman foundation, but no founder is recorded. Border case: also in the GAL seeds (placed in Hüyük, Konya).</t>
  </si>
  <si>
    <t xml:space="preserve">Pliny NH 5; Pleiades 639008; Wikipedia: Neapolis (Pisidia)</t>
  </si>
  <si>
    <t xml:space="preserve">first attested by Pliny (NH book 5, list of Galatia, 1st c. AD); Ptolemy; bishops from 325</t>
  </si>
  <si>
    <t xml:space="preserve">An unexcavated site near Kıyakdede. Its Greek name 'new city' says nothing about earlier occupation, and no prehistoric level or earlier name is reported.</t>
  </si>
  <si>
    <t xml:space="preserve">en.wikipedia.org/wiki/Neapolis_(Pisidia); Pleiades 639008; Pliny NH 5.147</t>
  </si>
  <si>
    <t xml:space="preserve">C344</t>
  </si>
  <si>
    <t xml:space="preserve">Tymandus (Tymandos)</t>
  </si>
  <si>
    <t xml:space="preserve">Τύμανδος</t>
  </si>
  <si>
    <t xml:space="preserve">Yassıören</t>
  </si>
  <si>
    <t xml:space="preserve">Yassıören (Senirkent, Isparta)</t>
  </si>
  <si>
    <t xml:space="preserve">c. AD 300</t>
  </si>
  <si>
    <t xml:space="preserve">an emperor, probably Diocletian</t>
  </si>
  <si>
    <t xml:space="preserve">The rescript raises an existing village community to a city.</t>
  </si>
  <si>
    <t xml:space="preserve">imperial rescript in Latin (ILS 6090); Hierocles; bishops at Constantinople 381</t>
  </si>
  <si>
    <t xml:space="preserve">Date of the rescript disputed (late 3rd to 4th c.).</t>
  </si>
  <si>
    <t xml:space="preserve">ILS 6090; Jones 1937 (CERP); Pleiades 609563; Wikipedia: Tymandus</t>
  </si>
  <si>
    <t xml:space="preserve">raised to city status by an imperial rescript (probably Diocletian, late 3rd c. AD), with council of 50 decurions and magistrates</t>
  </si>
  <si>
    <t xml:space="preserve">C345</t>
  </si>
  <si>
    <t xml:space="preserve">Apollonia (Pisidia), later Sozopolis</t>
  </si>
  <si>
    <t xml:space="preserve">Mordiaion (native name, Stephanus); Sozopolis (Christian)</t>
  </si>
  <si>
    <t xml:space="preserve">Uluborlu</t>
  </si>
  <si>
    <t xml:space="preserve">Uluborlu (Uluborlu, Isparta)</t>
  </si>
  <si>
    <t xml:space="preserve">a Seleucid king (coins claim Alexander)</t>
  </si>
  <si>
    <t xml:space="preserve">Mordiaion is known only from Stephanus (a Greek source), so it is not a pre-Greek attestation.</t>
  </si>
  <si>
    <t xml:space="preserve">Cohen 1995; coins; inscriptions of the 'Apolloniatai Lykioi Thrakes kolonoi'; Hierocles; bishops 381–680</t>
  </si>
  <si>
    <t xml:space="preserve">Settlers included Lycians and Thracians (inscriptions). medieval Roman Sozopolis fell to the Seljuks c. 1074 and was retaken by John II in 1120.</t>
  </si>
  <si>
    <t xml:space="preserve">Cohen 1995; Pleiades 638758; Wikipedia: Apollonia (Pisidia); TIB 7</t>
  </si>
  <si>
    <t xml:space="preserve">Seleucid foundation (3rd c. BC) at the native town of Mordiaion; Roman-period coins name Alexander as founder</t>
  </si>
  <si>
    <t xml:space="preserve">C346</t>
  </si>
  <si>
    <t xml:space="preserve">Limnae (Pisidia)</t>
  </si>
  <si>
    <t xml:space="preserve">Limenai, Lymnaia, Limnopolis</t>
  </si>
  <si>
    <t xml:space="preserve">Gaziri, near Kumdanlı on Lake Hoyran (Yalvaç, Isparta)</t>
  </si>
  <si>
    <t xml:space="preserve">AD 325</t>
  </si>
  <si>
    <t xml:space="preserve">bishops 325, 381; Hierocles; Notitiae (suffragan of Antioch)</t>
  </si>
  <si>
    <t xml:space="preserve">Known only from church sources; coordinates from the council-sees seed list. Island ruins (Limenia) in Lake Hoyran nearby.</t>
  </si>
  <si>
    <t xml:space="preserve">council-sees seed; Wikipedia: Limenae; TIB 7</t>
  </si>
  <si>
    <t xml:space="preserve">first bishop at Nicaea 325</t>
  </si>
  <si>
    <t xml:space="preserve">Known only from church sources and located only approximately at Gaziri on Lake Hoyran. No excavation, and no earlier name or prehistoric level is reported for the site.</t>
  </si>
  <si>
    <t xml:space="preserve">Notitiae/council lists; Pleiades (none)</t>
  </si>
  <si>
    <t xml:space="preserve">C347</t>
  </si>
  <si>
    <t xml:space="preserve">Antioch in Pisidia (Antiochia Pisidiae)</t>
  </si>
  <si>
    <t xml:space="preserve">Ἀντιόχεια ἡ πρὸς Πισιδίᾳ</t>
  </si>
  <si>
    <t xml:space="preserve">Colonia Caesarea Antiochia (Augustus)</t>
  </si>
  <si>
    <t xml:space="preserve">Yalvaç</t>
  </si>
  <si>
    <t xml:space="preserve">1 km NE of Yalvaç (Yalvaç, Isparta)</t>
  </si>
  <si>
    <t xml:space="preserve">Antiochus I (probably)</t>
  </si>
  <si>
    <t xml:space="preserve">No pre-Seleucid levels known on the city hill; the sanctuary of Men Askaenos nearby has 4th-c. BC finds.</t>
  </si>
  <si>
    <t xml:space="preserve">Strabo 12.8.14; Hellenistic and colonial coins; capital of Pisidia (Diocletian); bishops 381–787</t>
  </si>
  <si>
    <t xml:space="preserve">Settlers came from Magnesia on the Maeander (Strabo 12.8.14). Sacked by the Arabs in 713 and declined.</t>
  </si>
  <si>
    <t xml:space="preserve">Strabo 12.8.14; Cohen 1995; Levick 1967; Pleiades 609307; Wikipedia: Antioch of Pisidia</t>
  </si>
  <si>
    <t xml:space="preserve">Seleucid foundation, probably by Antiochus I (281–261 BC), with settlers from Magnesia on the Maeander (Strabo 12.8.14); Augustan colony 25 BC</t>
  </si>
  <si>
    <t xml:space="preserve">Rejected the proposed 'no known'. That no Proto-Hittite, Hittite, Phrygian or Lydian finds have come from the city is absence of evidence. Its source is unclear (Wikipedia, apparently relaying Demirer 2002, a Turkish museum guide). Most excavation (Robinson 1924; Özhanlı) exposed Roman levels, and the Hellenistic and earlier strata are barely reached (rule 7). Strabo 12.8.14 says only that Magnesians settled it, not that the site was new. I could not confirm that Mitchell &amp; Waelkens 1998 explicitly call it virgin ground. The 3rd-millennium mounds in the plain and the Men sanctuary (4th c. BC finds, c. 3.5 km away) are not the city site.</t>
  </si>
  <si>
    <t xml:space="preserve">en.wikipedia.org/wiki/Antioch_of_Pisidia (citing Mitchell &amp; Waelkens 1998; Demirer 2002; Blanco-Pérez 2016); Strabo 12.8.14; Pleiades 609307</t>
  </si>
  <si>
    <t xml:space="preserve">C348</t>
  </si>
  <si>
    <t xml:space="preserve">Cassae</t>
  </si>
  <si>
    <t xml:space="preserve">Κασαί</t>
  </si>
  <si>
    <t xml:space="preserve">Kasai</t>
  </si>
  <si>
    <t xml:space="preserve">Asar Tepe near Eksere (Gündoğmuş, Antalya)</t>
  </si>
  <si>
    <t xml:space="preserve">Native name; no pre-Greek attestation.</t>
  </si>
  <si>
    <t xml:space="preserve">Roman provincial coins (ΚΑΣΑΤΩΝ); bishops 381, 431, 553</t>
  </si>
  <si>
    <t xml:space="preserve">Site lies in Gündoğmuş district, just outside the Alanya/Gazipaşa area; included because it is in this batch's seed (may duplicate PAM). Location is the 'modern view'.</t>
  </si>
  <si>
    <t xml:space="preserve">Pleiades 638904; Council lists (Ephesus 431); Wikipedia: Cassae</t>
  </si>
  <si>
    <t xml:space="preserve">Roman provincial coins (2nd–3rd c. AD); bishops 381–553</t>
  </si>
  <si>
    <t xml:space="preserve">C349</t>
  </si>
  <si>
    <t xml:space="preserve">Amblada</t>
  </si>
  <si>
    <t xml:space="preserve">Ἄμβλαδα</t>
  </si>
  <si>
    <t xml:space="preserve">Amlada (coins Ἀμλαδέων)</t>
  </si>
  <si>
    <t xml:space="preserve">Asar Dağı near Hisartepe (Seydişehir, Konya)</t>
  </si>
  <si>
    <t xml:space="preserve">Konya</t>
  </si>
  <si>
    <t xml:space="preserve">Central Anatolia</t>
  </si>
  <si>
    <t xml:space="preserve">Strabo 12.7.2; coins Commodus–Philip I (RPC IV.3–VIII); bishops 325, 381, 787; Hierocles</t>
  </si>
  <si>
    <t xml:space="preserve">Pleiades also records Hellenistic occupation.</t>
  </si>
  <si>
    <t xml:space="preserve">Pleiades 638741; Strabo 12.7.2; RPC IV.3 (Amblada); Wikipedia: Amblada</t>
  </si>
  <si>
    <t xml:space="preserve">listed among the Pisidian poleis in Artemidorus' list, c. 100 BC (Strabo 12.7.2); civic coins Commodus–Philip I</t>
  </si>
  <si>
    <t xml:space="preserve">C350</t>
  </si>
  <si>
    <t xml:space="preserve">Pappa</t>
  </si>
  <si>
    <t xml:space="preserve">Πάππα</t>
  </si>
  <si>
    <t xml:space="preserve">Tiberiopolis (Τιβεριεῖς Παππηνοί on coins); Pappa Orondikos (Ptolemy)</t>
  </si>
  <si>
    <t xml:space="preserve">near Doğanbey (Beyşehir, Konya)</t>
  </si>
  <si>
    <t xml:space="preserve">c. AD 25</t>
  </si>
  <si>
    <t xml:space="preserve">coins Antoninus Pius (RPC IV.3 7693–94, 7785); Ptolemy; Notitiae; bishop 787</t>
  </si>
  <si>
    <t xml:space="preserve">Town of the Orondeis; the Tiberian dating rests on the city title only.</t>
  </si>
  <si>
    <t xml:space="preserve">Pleiades 639038; RPC IV.3 7693; von Aulock 1977</t>
  </si>
  <si>
    <t xml:space="preserve">title Tiberiopolis implies civic status under Tiberius (AD 14–37); Greek civic coins under Antoninus Pius</t>
  </si>
  <si>
    <t xml:space="preserve">C351</t>
  </si>
  <si>
    <t xml:space="preserve">Cilicia, Isauria and Syria</t>
  </si>
  <si>
    <t xml:space="preserve">Cilicia</t>
  </si>
  <si>
    <t xml:space="preserve">Coracesium</t>
  </si>
  <si>
    <t xml:space="preserve">Κορακήσιον</t>
  </si>
  <si>
    <t xml:space="preserve">Korakesion; Kalon Oros (medieval Roman); Candelore (medieval Latin); Alaiye (Seljuk, after 1221)</t>
  </si>
  <si>
    <t xml:space="preserve">Alanya</t>
  </si>
  <si>
    <t xml:space="preserve">Alanya castle peninsula (Alanya, Antalya)</t>
  </si>
  <si>
    <t xml:space="preserve">c. 197 BC</t>
  </si>
  <si>
    <t xml:space="preserve">no recorded founder</t>
  </si>
  <si>
    <t xml:space="preserve">Strabo 14.5.2 (first city of Cilicia); Roman provincial coins; bishops 431–692</t>
  </si>
  <si>
    <t xml:space="preserve">Greek-named fortress town; Ptolemaic control in the 3rd c. BC is inferred from Bagnall's list of Ptolemaic possessions. Taken by the Seljuks in 1221 (renamed Alaiye &gt; Alanya).</t>
  </si>
  <si>
    <t xml:space="preserve">Strabo 14.5.2; Livy 33.20; Bagnall 1976; Pleiades 638933</t>
  </si>
  <si>
    <t xml:space="preserve">Ptolemaic possession in the 3rd c. BC; first named as a town resisting Antiochus III in 197 BC (Livy 33.20); stronghold of Diodotos Tryphon c. 140 BC; Roman provincial coins</t>
  </si>
  <si>
    <t xml:space="preserve">The castle rock was first fortified in the Hellenistic period. The claimed Luwian etymology (*Korakassa) and 'probable' Hittite/Achaemenid occupation are unsupported speculation. The 7th c. BC Phoenician inscription often cited for Alanya comes from Laertes (Cebel Ires Dağı), not from the castle.</t>
  </si>
  <si>
    <t xml:space="preserve">https://en.wikipedia.org/wiki/Alanya; Pleiades 638933</t>
  </si>
  <si>
    <t xml:space="preserve">C352</t>
  </si>
  <si>
    <t xml:space="preserve">Hamaxia</t>
  </si>
  <si>
    <t xml:space="preserve">Ἁμαξία</t>
  </si>
  <si>
    <t xml:space="preserve">Sinek Kalesi above Elikesik (Alanya, Antalya)</t>
  </si>
  <si>
    <t xml:space="preserve">Strabo 14.5.3; Roman-period inscriptions (Bean &amp; Mitford 1970)</t>
  </si>
  <si>
    <t xml:space="preserve">Identification of Sinek Kalesi with Hamaxia (Bean &amp; Mitford) is generally accepted but marked '?' in Barrington. By c. AD 200 apparently dependent on Coracesium; no coins or bishops known, so civic status rests on inscriptions.</t>
  </si>
  <si>
    <t xml:space="preserve">Strabo 14.5.3; Bean &amp; Mitford 1970; Pleiades 638853</t>
  </si>
  <si>
    <t xml:space="preserve">Strabo (c. AD 20) calls it a katoikia with an anchorage; Roman-period civic inscriptions (1st–2nd c. AD)</t>
  </si>
  <si>
    <t xml:space="preserve">Sinek Kalesi has Hellenistic-Roman remains only (Bean &amp; Mitford; Rough Cilicia survey). No pre-Hellenistic evidence, and no proof of new ground.</t>
  </si>
  <si>
    <t xml:space="preserve">Bean &amp; Mitford 1970; Pleiades 638853; Rough Cilicia Archaeological Survey reports (Rauh et al.)</t>
  </si>
  <si>
    <t xml:space="preserve">C353</t>
  </si>
  <si>
    <t xml:space="preserve">Colybrassus</t>
  </si>
  <si>
    <t xml:space="preserve">Κολύβρασσος</t>
  </si>
  <si>
    <t xml:space="preserve">Kolybrassos</t>
  </si>
  <si>
    <t xml:space="preserve">Ayasofya, near Güzelbağ (Alanya, Antalya)</t>
  </si>
  <si>
    <t xml:space="preserve">Anatolian (-assos) place name of a native hill community; no pre-Greek attestation.</t>
  </si>
  <si>
    <t xml:space="preserve">Roman provincial coins; Notitiae; bishops 381, 431</t>
  </si>
  <si>
    <t xml:space="preserve">Hill city in the hinterland of Alanya; Hellenistic remains reported (Pleiades periods).</t>
  </si>
  <si>
    <t xml:space="preserve">Mitford 1980; Pleiades 638931; Wikipedia: Colybrassus</t>
  </si>
  <si>
    <t xml:space="preserve">Roman provincial coins (2nd–3rd c. AD); bishops 381 and 431</t>
  </si>
  <si>
    <t xml:space="preserve">C354</t>
  </si>
  <si>
    <t xml:space="preserve">Laertes</t>
  </si>
  <si>
    <t xml:space="preserve">Λαέρτης</t>
  </si>
  <si>
    <t xml:space="preserve">Cebelires Dağı near Gözüküçüklü (Alanya, Antalya)</t>
  </si>
  <si>
    <t xml:space="preserve">Strabo 14.5.3; inscriptions; Roman provincial coins</t>
  </si>
  <si>
    <t xml:space="preserve">Hellenistic occupation reported (Pleiades); not a bishopric. Diogenes Laertius' connection to the town is unproven.</t>
  </si>
  <si>
    <t xml:space="preserve">Strabo 14.5.3; Bean &amp; Mitford 1970; Pleiades 648685</t>
  </si>
  <si>
    <t xml:space="preserve">Strabo (c. AD 20) calls it a phrourion on a hill; civic inscriptions and Roman provincial coins of the 1st–3rd c. AD</t>
  </si>
  <si>
    <t xml:space="preserve">A Phoenician judicial inscription of the second half of the 7th c. BC was found (in secondary context) within the ruins of Laertes on Cebel Ires Dağı. It records land dealings among people with Luwian names under King Warika (of Hiyawa/Adana), showing a native community there long before the Greek town.</t>
  </si>
  <si>
    <t xml:space="preserve">Mosca &amp; Russell, Epigraphica Anatolica 9 (1987) 1-28; https://en.wikipedia.org/wiki/Çebel_Ires_Dağı_inscription; hittitemonuments.com/cebelireis</t>
  </si>
  <si>
    <t xml:space="preserve">C355</t>
  </si>
  <si>
    <t xml:space="preserve">Syedra</t>
  </si>
  <si>
    <t xml:space="preserve">Σύεδρα</t>
  </si>
  <si>
    <t xml:space="preserve">Syagra</t>
  </si>
  <si>
    <t xml:space="preserve">Syedra, near Demirtaş/Seki (Alanya, Antalya)</t>
  </si>
  <si>
    <t xml:space="preserve">c. 48 BC</t>
  </si>
  <si>
    <t xml:space="preserve">Non-Greek name; no pre-Greek attestation.</t>
  </si>
  <si>
    <t xml:space="preserve">Roman provincial coins; Hierocles; bishops 325, 451</t>
  </si>
  <si>
    <t xml:space="preserve">Probably a polis already in the Hellenistic period, but the first datable mention is 48 BC.</t>
  </si>
  <si>
    <t xml:space="preserve">Lucan 8.259; Pleiades 648783; PECS: Syedra</t>
  </si>
  <si>
    <t xml:space="preserve">Town where Pompey stopped after Pharsalus, 48 BC (Lucan 8.259; Florus); Roman provincial coins; bishops 325, 451</t>
  </si>
  <si>
    <t xml:space="preserve">C356</t>
  </si>
  <si>
    <t xml:space="preserve">Iotape</t>
  </si>
  <si>
    <t xml:space="preserve">Ἰωτάπη</t>
  </si>
  <si>
    <t xml:space="preserve">Aytap (Gazipaşa, Antalya)</t>
  </si>
  <si>
    <t xml:space="preserve">c. AD 52</t>
  </si>
  <si>
    <t xml:space="preserve">Antiochus IV of Commagene</t>
  </si>
  <si>
    <t xml:space="preserve">Commagenian kings</t>
  </si>
  <si>
    <t xml:space="preserve">Roman provincial coins; Hierocles; bishops (Isauria)</t>
  </si>
  <si>
    <t xml:space="preserve">Exact foundation year unknown (c. AD 52 often cited). The modern locality name Aytap preserves Iotape.</t>
  </si>
  <si>
    <t xml:space="preserve">Pleiades 648650; TIB 5 (Kilikien und Isaurien); Wikipedia: Iotape (city)</t>
  </si>
  <si>
    <t xml:space="preserve">Founded by Antiochus IV of Commagene (client ruler of Rough Cilicia AD 38/41–72), named after his wife Iotape; coins Trajan–Valerian</t>
  </si>
  <si>
    <t xml:space="preserve">Changed from 'no known': no source states that Antiochus IV of Commagene built Iotape on virgin ground, and Pleiades records Hellenistic attestation. The site has no published stratigraphy before the 1st c. AD.</t>
  </si>
  <si>
    <t xml:space="preserve">Pleiades 648650; turkisharchaeonews.net/site/iotape; Bean &amp; Mitford 1970</t>
  </si>
  <si>
    <t xml:space="preserve">C357</t>
  </si>
  <si>
    <t xml:space="preserve">Selinus</t>
  </si>
  <si>
    <t xml:space="preserve">Σελινοῦς</t>
  </si>
  <si>
    <t xml:space="preserve">Traianopolis (after AD 117); Selinti (Turkish, older)</t>
  </si>
  <si>
    <t xml:space="preserve">coastal acropolis and plain at the mouth of the Hacımusa Çayı, c. 3 km WSW of Gazipaşa centre (Gazipaşa, Antalya)</t>
  </si>
  <si>
    <t xml:space="preserve">Sallune (Neo-Babylonian)?</t>
  </si>
  <si>
    <t xml:space="preserve">Sallunê, burned by Neriglissar in 557/6 BC 'at the border of Lydia' (Babylonian Chronicle ABC 6), is often identified with Selinous; uncertain.</t>
  </si>
  <si>
    <t xml:space="preserve">Ps.-Skylax 102 (polis); Roman provincial coins; Hierocles; bishops 381, 451</t>
  </si>
  <si>
    <t xml:space="preserve">Ps.-Skylax calls it a polis but not 'Hellenic', so it may have been a native community with a Greek name in the 4th c. BC. Older Turkish name Selinti continued Selinous; the town was renamed Gazipaşa in the 20th c.</t>
  </si>
  <si>
    <t xml:space="preserve">Ps.-Skylax 102; Livy 33.20; Pleiades 648772; ABC 6 (Neriglissar chronicle)</t>
  </si>
  <si>
    <t xml:space="preserve">Listed as a polis by Ps.-Skylax 102 (c. 340 BC); taken by Antiochus III 197 BC (Livy 33.20); Trajan died here 117 → Traianopolis</t>
  </si>
  <si>
    <t xml:space="preserve">C358</t>
  </si>
  <si>
    <t xml:space="preserve">Cestrus</t>
  </si>
  <si>
    <t xml:space="preserve">Κέστρος</t>
  </si>
  <si>
    <t xml:space="preserve">Kestros</t>
  </si>
  <si>
    <t xml:space="preserve">Macar Kalesi near Macar (Gazipaşa, Antalya)</t>
  </si>
  <si>
    <t xml:space="preserve">Roman inscriptions (Bean &amp; Mitford 1965); Hierocles; bishop 451</t>
  </si>
  <si>
    <t xml:space="preserve">Earlier scholars (Le Quien) put the see in Pamphylia by the river Kestros; the Macar site follows Bean &amp; Mitford and TIB 5.</t>
  </si>
  <si>
    <t xml:space="preserve">Bean &amp; Mitford 1965; Pleiades 648665; TIB 5; Wikipedia: Cestrus</t>
  </si>
  <si>
    <t xml:space="preserve">Roman-period civic inscriptions and buildings (1st–3rd c. AD); bishop at Chalcedon 451</t>
  </si>
  <si>
    <t xml:space="preserve">Macar Kalesi has only Roman-period remains recorded. No pre-Greek evidence and no proof of new ground.</t>
  </si>
  <si>
    <t xml:space="preserve">Bean &amp; Mitford 1970 (knowledge); TIB 5; Pleiades 648665</t>
  </si>
  <si>
    <t xml:space="preserve">C359</t>
  </si>
  <si>
    <t xml:space="preserve">Lamus</t>
  </si>
  <si>
    <t xml:space="preserve">Λάμος</t>
  </si>
  <si>
    <t xml:space="preserve">Lamotis (district); metropolis of the Lamotis</t>
  </si>
  <si>
    <t xml:space="preserve">Hill above Adanda (Gazipaşa, Antalya)</t>
  </si>
  <si>
    <t xml:space="preserve">Roman provincial coins; Hierocles; bishops 451/458, 787</t>
  </si>
  <si>
    <t xml:space="preserve">The council seed placed the see 'Lamus' at the mouth of the Lamos river (Limonlu, Erdemli), but that Lamos was only a village (Strabo 14.5.6); the coin-issuing city and see is this Lamos above Adanda, whose port was Charadros (bishop Nunechius of 'Lamus and Charadrus').</t>
  </si>
  <si>
    <t xml:space="preserve">Bean &amp; Mitford 1970; TIB 5; Pleiades 648690; Wikipedia: Lamus (see)</t>
  </si>
  <si>
    <t xml:space="preserve">Roman-period city, 'metropolis of the Lamotis' on Roman provincial coins (3rd c. AD); bishops 451/458 (with Charadros) and 787</t>
  </si>
  <si>
    <t xml:space="preserve">C360</t>
  </si>
  <si>
    <t xml:space="preserve">Antiochia ad Cragum</t>
  </si>
  <si>
    <t xml:space="preserve">Ἀντιόχεια ἡ ἐπὶ Κράγῳ</t>
  </si>
  <si>
    <t xml:space="preserve">Antiocheia epi Krago; Antioch in Isauria</t>
  </si>
  <si>
    <t xml:space="preserve">Güney (Gazipaşa, Antalya)</t>
  </si>
  <si>
    <t xml:space="preserve">Roman provincial coins; Hierocles; bishops 325, 381, 451</t>
  </si>
  <si>
    <t xml:space="preserve">Pleiades dates the foundation to 170 BC (Antiochus IV Epiphanes), but the excavators (Hoff et al.) and most scholars attribute it to Antiochus IV of Commagene.</t>
  </si>
  <si>
    <t xml:space="preserve">Hoff 2013; Pleiades 648560; Bean &amp; Mitford 1965</t>
  </si>
  <si>
    <t xml:space="preserve">Founded by Antiochus IV of Commagene (ruled Rough Cilicia AD 38/41–72); coins from Trajan; bishops from 325</t>
  </si>
  <si>
    <t xml:space="preserve">Changed from 'no known': the excavators (Hoff, Townsend, Erdoğmuş) attribute the city to Antiochus IV of Commagene but think the harbour may earlier have been a Cilician pirate haven ('From Pirate Base to Roman City'). They report no pre-Roman remains, yet nothing shows the site was virgin ground.</t>
  </si>
  <si>
    <t xml:space="preserve">archaeological.org/fieldwork/antiochia-ad-cragum-excavations; 'From Pirate Base to Roman City: The Excavations of Antiochia ad Cragum in Rough Cilicia' (excavation volume); Pleiades 648560</t>
  </si>
  <si>
    <t xml:space="preserve">C361</t>
  </si>
  <si>
    <t xml:space="preserve">Nephelis</t>
  </si>
  <si>
    <t xml:space="preserve">Νεφελίς</t>
  </si>
  <si>
    <t xml:space="preserve">Nephelion</t>
  </si>
  <si>
    <t xml:space="preserve">near Muzkent (Gazipaşa, Antalya)</t>
  </si>
  <si>
    <t xml:space="preserve">c. AD 550</t>
  </si>
  <si>
    <t xml:space="preserve">Notitiae episcopatuum (Isauria); Catholic titular see</t>
  </si>
  <si>
    <t xml:space="preserve">Cape Nephelis appears in Livy 33.20 (197 BC); site of the town identified only tentatively (Barrington 'Nephelis?').</t>
  </si>
  <si>
    <t xml:space="preserve">Pleiades 648720; Livy 33.20; Wikipedia: Nephelis</t>
  </si>
  <si>
    <t xml:space="preserve">Attested as a city only as a bishopric of Isauria in the Notitiae episcopatuum (6th c. onward)</t>
  </si>
  <si>
    <t xml:space="preserve">Site only tentatively identified near Muzkent; no relevant archaeology.</t>
  </si>
  <si>
    <t xml:space="preserve">Barrington 66 A4 ('Nephelis?'); Pleiades 648720</t>
  </si>
  <si>
    <t xml:space="preserve">C362</t>
  </si>
  <si>
    <t xml:space="preserve">Iuliosebaste</t>
  </si>
  <si>
    <t xml:space="preserve">Ἰουλιοσεβαστή</t>
  </si>
  <si>
    <t xml:space="preserve">Heliosebaste (Notitiae)</t>
  </si>
  <si>
    <t xml:space="preserve">Asar Tepe near Gazipaşa (Gazipaşa, Antalya)</t>
  </si>
  <si>
    <t xml:space="preserve">unknown; name honours the Julio-Claudian house (perhaps a foundation of Antiochus IV of Commagene)</t>
  </si>
  <si>
    <t xml:space="preserve">Notitiae episcopatuum; Catholic titular see</t>
  </si>
  <si>
    <t xml:space="preserve">Origin and founder are inferred only from the name; location tentative (Barrington 'Iuliosebaste/Heliosebaste?').</t>
  </si>
  <si>
    <t xml:space="preserve">Pleiades 648657; Wikipedia: Juliosebaste</t>
  </si>
  <si>
    <t xml:space="preserve">name implies a Julio-Claudian foundation or renaming (1st c. AD, perhaps by Antiochus IV of Commagene); attested only as a see (Heliosebaste) in the Notitiae</t>
  </si>
  <si>
    <t xml:space="preserve">Location tentative (Asar Tepe); no archaeology of early levels.</t>
  </si>
  <si>
    <t xml:space="preserve">Barrington 66 A4; Pleiades 648657</t>
  </si>
  <si>
    <t xml:space="preserve">C363</t>
  </si>
  <si>
    <t xml:space="preserve">Charadrus</t>
  </si>
  <si>
    <t xml:space="preserve">Χαραδροῦς</t>
  </si>
  <si>
    <t xml:space="preserve">Charadros</t>
  </si>
  <si>
    <t xml:space="preserve">Kaledran (Anamur, Mersin)</t>
  </si>
  <si>
    <t xml:space="preserve">Mersin</t>
  </si>
  <si>
    <t xml:space="preserve">Ps.-Skylax 102 (polis); bishop 451 (Nunechius 'of Lamus and Charadrus')</t>
  </si>
  <si>
    <t xml:space="preserve">Not labelled 'Hellenic' by Ps.-Skylax. The local name Kaledran preserves Charadros.</t>
  </si>
  <si>
    <t xml:space="preserve">Ps.-Skylax 102; Strabo 14.5.3; Pleiades 648597</t>
  </si>
  <si>
    <t xml:space="preserve">Listed as a polis with harbour by Ps.-Skylax 102 (c. 340 BC); later the port of Lamos; bishop 451</t>
  </si>
  <si>
    <t xml:space="preserve">Kaledran has visible Roman and later remains. The Ps.-Skylax polis (c. 340 BC) shows a pre-Hellenistic town but not its character, and no excavation exists.</t>
  </si>
  <si>
    <t xml:space="preserve">Ps.-Skylax 102; Pleiades 648597; TIB 5</t>
  </si>
  <si>
    <t xml:space="preserve">C364</t>
  </si>
  <si>
    <t xml:space="preserve">Anemurium</t>
  </si>
  <si>
    <t xml:space="preserve">Ἀνεμούριον</t>
  </si>
  <si>
    <t xml:space="preserve">Anemourion</t>
  </si>
  <si>
    <t xml:space="preserve">Eski Anamur / Ören, 6 km W of Anamur (Anamur, Mersin)</t>
  </si>
  <si>
    <t xml:space="preserve">Ps.-Skylax 102 (polis); coins; Hierocles; bishops 381–692</t>
  </si>
  <si>
    <t xml:space="preserve">Greek name ('windy'); not labelled 'Hellenic' by Ps.-Skylax. The nearby town of Anamur preserves the name, but the ruins lie outside it.</t>
  </si>
  <si>
    <t xml:space="preserve">Ps.-Skylax 102; Russell 1980s excavations; Pleiades 648557; TIB 5</t>
  </si>
  <si>
    <t xml:space="preserve">Listed as cape and polis by Ps.-Skylax 102 (c. 340 BC); taken by Antiochus III 197 BC (Livy 33.20); coins under Antiochus IV of Commagene and Roman emperors</t>
  </si>
  <si>
    <t xml:space="preserve">The Russell excavations recovered mainly Roman-Byzantine levels with only Hellenistic elements in the citadel walls. The popular claim that Anemurium 'began as a Phoenician city' is unsupported, and the 4th c. BC town of Ps.-Skylax is archaeologically unknown.</t>
  </si>
  <si>
    <t xml:space="preserve">Russell, Anemurium excavation reports; https://en.wikipedia.org/wiki/Anemurium; turkisharchaeonews.net/site/anemurium</t>
  </si>
  <si>
    <t xml:space="preserve">C365</t>
  </si>
  <si>
    <t xml:space="preserve">Titiopolis</t>
  </si>
  <si>
    <t xml:space="preserve">Τιτιούπολις</t>
  </si>
  <si>
    <t xml:space="preserve">Titioupolis</t>
  </si>
  <si>
    <t xml:space="preserve">unlocated; tentatively near Anamur (Anamur, Mersin)</t>
  </si>
  <si>
    <t xml:space="preserve">unknown; name probably honours Titus (Flavian period)</t>
  </si>
  <si>
    <t xml:space="preserve">Hierocles; Notitiae; bishops 381, 451, 692</t>
  </si>
  <si>
    <t xml:space="preserve">City status is secure (see), but the site is unknown: Barrington marks 'Titioupolis?' near Anamur, while its listing in the inland Isaurian Decapolis suggests an interior site.</t>
  </si>
  <si>
    <t xml:space="preserve">Pleiades 648796; Catholic Encyclopedia: Titopolis; Hierocles 709</t>
  </si>
  <si>
    <t xml:space="preserve">name (Titioupolis) implies a Flavian foundation or renaming (Titus, 79–81); first bishop (Artemius) at Constantinople 381; Isaurian Decapolis</t>
  </si>
  <si>
    <t xml:space="preserve">Barrington 66 B4 ('Titioupolis?'); Pleiades 648796</t>
  </si>
  <si>
    <t xml:space="preserve">C366</t>
  </si>
  <si>
    <t xml:space="preserve">Nagidus</t>
  </si>
  <si>
    <t xml:space="preserve">Νάγιδος</t>
  </si>
  <si>
    <t xml:space="preserve">Nagidos</t>
  </si>
  <si>
    <t xml:space="preserve">Paşabeleni hill at the mouth of the Sini Çay, Bozyazı (Bozyazı, Mersin)</t>
  </si>
  <si>
    <t xml:space="preserve">Samians (Mela); eponym Nagidos (Steph. Byz., mythical)</t>
  </si>
  <si>
    <t xml:space="preserve">IACP (Kilikia); Ps.-Skylax 102 (polis); coins from c. 400 BC</t>
  </si>
  <si>
    <t xml:space="preserve">Lost land to the Ptolemaic foundation Arsinoe (c. 260s BC) and was its nominal mother city; abandoned c. mid-2nd c. BC. Foundation date uncertain: 6th c. BC is a guess bracketed by the 5th-c. graves.</t>
  </si>
  <si>
    <t xml:space="preserve">IACP (Kilikia); Mela 1.77; Jones &amp; Habicht 1989; Pleiades 648717</t>
  </si>
  <si>
    <t xml:space="preserve">Samian colony (Mela 1.77), date unknown; excavated graves from the 5th c. BC; Greek-legend silver coins from c. 400 BC</t>
  </si>
  <si>
    <t xml:space="preserve">Changed from 'no known'. The Mersin University excavations (1997-2003) and the 1986 necropolis dig found nothing earlier than 5th c. BC graves and Classical pottery. However, the 1930s Swedish survey (Gjerstad) reported Iron Age (Cypro-Archaic-type) sherds, which may belong to a native or Cypriot settlement before or alongside the Samian colony. Neither new ground nor a pre-Greek settlement is demonstrated.</t>
  </si>
  <si>
    <t xml:space="preserve">Durugönül (ed.), Nagidos (2007); turkisharchaeonews.net/site/nagidos; Gjerstad, Revue archéologique 1934; https://en.wikipedia.org/wiki/Nagidus</t>
  </si>
  <si>
    <t xml:space="preserve">C367</t>
  </si>
  <si>
    <t xml:space="preserve">Arsinoe (Cilicia)</t>
  </si>
  <si>
    <t xml:space="preserve">Ἀρσινόη</t>
  </si>
  <si>
    <t xml:space="preserve">near Softa Kalesi, E of Bozyazı (Bozyazı, Mersin)</t>
  </si>
  <si>
    <t xml:space="preserve">c. 265 BC</t>
  </si>
  <si>
    <t xml:space="preserve">Aetos son of Apollonios, for Ptolemy II</t>
  </si>
  <si>
    <t xml:space="preserve">Nagidos (nominal mother city)</t>
  </si>
  <si>
    <t xml:space="preserve">Arsinoe–Nagidos inscription (SEG 39.1426); Strabo 14.5.3; Cohen 1995</t>
  </si>
  <si>
    <t xml:space="preserve">Shared citizenship with Nagidos according to the inscription. Exact site uncertain.</t>
  </si>
  <si>
    <t xml:space="preserve">Jones &amp; Habicht 1989 (SEG 39.1426); Cohen 1995; Pleiades 648571</t>
  </si>
  <si>
    <t xml:space="preserve">Founded by Aetos son of Apollonios, Ptolemaic strategos of Cilicia, on land taken from Nagidos, between 279 and 253 BC (probably 260s)</t>
  </si>
  <si>
    <t xml:space="preserve">Changed from 'no known'. The Nagidos decree (SEG 39.1426) says Aetos occupied a strong position, expelled the 'barbarians' encroaching on Nagidian land, and founded and settled the city. That may mean natives were living on or near the spot, so new ground is not proven. The site is not securely located and has not been excavated.</t>
  </si>
  <si>
    <t xml:space="preserve">SEG 39.1426 (Jones &amp; Habicht, Phoenix 43, 1989), attalus.org/docs/seg/s39_1426.html; en.wikipedia.org/wiki/Arsinoe_(Cilicia)</t>
  </si>
  <si>
    <t xml:space="preserve">C368</t>
  </si>
  <si>
    <t xml:space="preserve">Syce</t>
  </si>
  <si>
    <t xml:space="preserve">Σύκη</t>
  </si>
  <si>
    <t xml:space="preserve">Syke; Setos?</t>
  </si>
  <si>
    <t xml:space="preserve">near Softa Kalesi (Bozyazı, Mersin)</t>
  </si>
  <si>
    <t xml:space="preserve">Possibly Ps.-Skylax's harbour 'Seton'; site tentative.</t>
  </si>
  <si>
    <t xml:space="preserve">Pleiades 648784; Wikipedia: Syce</t>
  </si>
  <si>
    <t xml:space="preserve">Attested as a city only as a bishopric of Isauria (Notitiae)</t>
  </si>
  <si>
    <t xml:space="preserve">Known only as a late bishopric. The site near Softa Kalesi is tentative and unexcavated, and no earlier name or prehistoric site is reported.</t>
  </si>
  <si>
    <t xml:space="preserve">Pleiades 648784; Hild &amp; Hellenkemper, TIB 5 (knowledge)</t>
  </si>
  <si>
    <t xml:space="preserve">C369</t>
  </si>
  <si>
    <t xml:space="preserve">Celenderis</t>
  </si>
  <si>
    <t xml:space="preserve">Κελένδερις</t>
  </si>
  <si>
    <t xml:space="preserve">Kelenderis; Gilindire (Turkish, older)</t>
  </si>
  <si>
    <t xml:space="preserve">Aydıncık</t>
  </si>
  <si>
    <t xml:space="preserve">Aydıncık town and harbour (Aydıncık, Mersin)</t>
  </si>
  <si>
    <t xml:space="preserve">Samians; legend of Sandokos from Syria (Apollod. 3.14.3)</t>
  </si>
  <si>
    <t xml:space="preserve">Hittite Ura has occasionally been placed near Gilindire, but most locate it at Silifke or Olba.</t>
  </si>
  <si>
    <t xml:space="preserve">IACP (Kilikia); Ps.-Skylax 102 (polis); coins; Hierocles; bishops 381, 451, 787</t>
  </si>
  <si>
    <t xml:space="preserve">A Phoenician/Syrian element is suggested by the Sandokos legend. The older Turkish name Gilindire continued Kelenderis; renamed Aydıncık in the 20th c.</t>
  </si>
  <si>
    <t xml:space="preserve">IACP (Kilikia); Zoroğlu 1994; Mela 1.77; Pleiades 648596</t>
  </si>
  <si>
    <t xml:space="preserve">Samian colony (Mela 1.77); excavated Greek material from the late 8th/7th c. BC; coins from c. 450 BC</t>
  </si>
  <si>
    <t xml:space="preserve">Excavations at Aydıncık (Zoroğlu) give Greek-style material and local East-Greek-style pottery workshops from c. 700 BC. No Bronze Age or earlier Iron Age level is reported. The Syrian founder Sandokos (Apollod. 3.14.3) is legend only.</t>
  </si>
  <si>
    <t xml:space="preserve">levantineceramics.org/kilns/118; Lehmann et al., Levant 2020 (doi 10.1080/00758914.2020.1772633); knowledge: Zoroğlu, Kelenderis I (1994)</t>
  </si>
  <si>
    <t xml:space="preserve">C370</t>
  </si>
  <si>
    <t xml:space="preserve">Aphrodisias (Cilicia)</t>
  </si>
  <si>
    <t xml:space="preserve">Porto Cavaliere (medieval)</t>
  </si>
  <si>
    <t xml:space="preserve">Cape Zeytin/Tisan, near Yeşilovacık (Silifke, Mersin)</t>
  </si>
  <si>
    <t xml:space="preserve">Diodorus 19.64; Livy 33.20; Steph. Byz.</t>
  </si>
  <si>
    <t xml:space="preserve">Civic status is weakly attested: no coins or bishops are certain, and Ps.-Skylax lists it only as a harbour. It was a Ptolemaic port in the late 4th–3rd c. BC.</t>
  </si>
  <si>
    <t xml:space="preserve">Ps.-Skylax 102; Diodorus 19.64; Pleiades 648565</t>
  </si>
  <si>
    <t xml:space="preserve">Harbour in Ps.-Skylax 102; town in 315 BC (Diodorus 19.64) and 197 BC (Livy 33.20); called a polis by Stephanus</t>
  </si>
  <si>
    <t xml:space="preserve">Known as a harbour and Hellenistic town (Ps.-Skylax, Diodorus, Livy). The headland remains are not excavated, and no pre-Greek name or prehistoric level is reported.</t>
  </si>
  <si>
    <t xml:space="preserve">Pleiades 648565; Ps.-Skylax 102; Diod. 19.64</t>
  </si>
  <si>
    <t xml:space="preserve">C371</t>
  </si>
  <si>
    <t xml:space="preserve">Holmi</t>
  </si>
  <si>
    <t xml:space="preserve">Ὅλμοι</t>
  </si>
  <si>
    <t xml:space="preserve">Holmoi; Holmia (Pliny); Hermia?</t>
  </si>
  <si>
    <t xml:space="preserve">Taşucu</t>
  </si>
  <si>
    <t xml:space="preserve">Taşucu (Silifke, Mersin)</t>
  </si>
  <si>
    <t xml:space="preserve">IACP (Kilikia); Ps.-Skylax 102 ('Hellenic polis')</t>
  </si>
  <si>
    <t xml:space="preserve">Mother city unrecorded. After the synoecism into Seleukeia it survived as Seleukeia's harbour.</t>
  </si>
  <si>
    <t xml:space="preserve">Ps.-Skylax 102; Strabo 14.5.4; Pleiades 648643</t>
  </si>
  <si>
    <t xml:space="preserve">Called a 'Hellenic polis' by Ps.-Skylax 102 (c. 340 BC); its people were moved to Seleukeia c. 295–280 BC (Strabo 14.5.4)</t>
  </si>
  <si>
    <t xml:space="preserve">Ps.-Skylax calls it a Hellenic polis. There is no excavation at Taşucu, and no pre-Greek name or prehistoric level is reported.</t>
  </si>
  <si>
    <t xml:space="preserve">C372</t>
  </si>
  <si>
    <t xml:space="preserve">Seleucia ad Calycadnum</t>
  </si>
  <si>
    <t xml:space="preserve">Σελεύκεια ἡ ἐπὶ Καλυκάδνῳ</t>
  </si>
  <si>
    <t xml:space="preserve">Seleukeia Tracheia; Olbia and Hyria (earlier names, Steph. Byz.); Seleucia Isauriae</t>
  </si>
  <si>
    <t xml:space="preserve">Silifke</t>
  </si>
  <si>
    <t xml:space="preserve">Silifke (Silifke, Mersin)</t>
  </si>
  <si>
    <t xml:space="preserve">c. 290 BC</t>
  </si>
  <si>
    <t xml:space="preserve">Ura (Hittite)?</t>
  </si>
  <si>
    <t xml:space="preserve">Hittite/Ugaritic port Ura placed at Silifke by Beal 1992; alternatives are Olba (modern village Ura), the Gilindire area or Soloi. Stephanus' earlier name 'Hyria' may echo it. Doubtful.</t>
  </si>
  <si>
    <t xml:space="preserve">Strabo 14.5.4; coins; Hierocles (metropolis of Isauria); bishops 325–787</t>
  </si>
  <si>
    <t xml:space="preserve">Metropolis of Isauria and pilgrimage centre of St Thecla (Meriamlik). In Armenian and Crusader hands in the 13th c., then Karamanid.</t>
  </si>
  <si>
    <t xml:space="preserve">Strabo 14.5.4; Cohen 1995; Beal 1992; Pleiades 648771</t>
  </si>
  <si>
    <t xml:space="preserve">Founded by Seleucus I between c. 296 and 280 BC, with settlers from Holmoi</t>
  </si>
  <si>
    <t xml:space="preserve">C373</t>
  </si>
  <si>
    <t xml:space="preserve">Corycus</t>
  </si>
  <si>
    <t xml:space="preserve">Κώρυκος</t>
  </si>
  <si>
    <t xml:space="preserve">Korykos; Korgos (older Turkish)</t>
  </si>
  <si>
    <t xml:space="preserve">Kızkalesi</t>
  </si>
  <si>
    <t xml:space="preserve">Kızkalesi (Erdemli, Mersin)</t>
  </si>
  <si>
    <t xml:space="preserve">Livy 33.20; coins; Hierocles; bishops 381–692</t>
  </si>
  <si>
    <t xml:space="preserve">Under Armenian rule c. 1200–1360 and Cypriot (Lusignan) 1361–1448; the population was then mixed.</t>
  </si>
  <si>
    <t xml:space="preserve">Livy 33.20; Pleiades 648612; TIB 5</t>
  </si>
  <si>
    <t xml:space="preserve">Taken by Antiochus III in 197 BC (Livy 33.20); autonomous coins in the 1st c. BC; Roman provincial coins</t>
  </si>
  <si>
    <t xml:space="preserve">Aşkın (2010) says the written and archaeological evidence for Korykos goes back only to the early Hellenistic period: Livy 33.20 for 197 BC and a polygonal wall. Nothing earlier is known, but the site is not excavated deeply enough to show new ground.</t>
  </si>
  <si>
    <t xml:space="preserve">Aşkın 2010, ancientportsantiques.com/.../Korikos-Askin2010.pdf; Livy 33.20</t>
  </si>
  <si>
    <t xml:space="preserve">C374</t>
  </si>
  <si>
    <t xml:space="preserve">Elaeusa-Sebaste</t>
  </si>
  <si>
    <t xml:space="preserve">Ἐλαιοῦσσα</t>
  </si>
  <si>
    <t xml:space="preserve">Sebaste (Archelaus I of Cappadocia)</t>
  </si>
  <si>
    <t xml:space="preserve">Ayaş</t>
  </si>
  <si>
    <t xml:space="preserve">Ayaş (Erdemli, Mersin)</t>
  </si>
  <si>
    <t xml:space="preserve">no recorded founder; refounded by Archelaus I of Cappadocia</t>
  </si>
  <si>
    <t xml:space="preserve">Strabo 14.5.6; coins of Elaiussa and Sebaste; Hierocles; bishops (Sebaste in Cilicia)</t>
  </si>
  <si>
    <t xml:space="preserve">Excavated by the Rome-La Sapienza mission (Equini Schneider).</t>
  </si>
  <si>
    <t xml:space="preserve">Strabo 14.5.6; Equini Schneider 1999–2003; Pleiades 648628</t>
  </si>
  <si>
    <t xml:space="preserve">Hellenistic settlement of the 2nd c. BC on the former island (excavations); capital of Archelaus I of Cappadocia as Sebaste from c. 25–20 BC; coins</t>
  </si>
  <si>
    <t xml:space="preserve">The Rome–La Sapienza excavations (since 1995) show settlement on the former island running continuously from the 2nd c. BC to the 7th c. AD. No earlier levels are reported, so this was a new Hellenistic settlement.</t>
  </si>
  <si>
    <t xml:space="preserve">italiana.esteri.it 'Scavi e ricerche a Elaiussa Sebaste'; en.wikipedia.org/wiki/Elaiussa_Sebaste; knowledge: Equini Schneider (ed.), Elaiussa Sebaste I–III</t>
  </si>
  <si>
    <t xml:space="preserve">C375</t>
  </si>
  <si>
    <t xml:space="preserve">Canytelis</t>
  </si>
  <si>
    <t xml:space="preserve">Κανυτηλίς</t>
  </si>
  <si>
    <t xml:space="preserve">Kanytella; Neapolis? (Theodosius II)</t>
  </si>
  <si>
    <t xml:space="preserve">Kanlıdivane, near Kumkuyu (Erdemli, Mersin)</t>
  </si>
  <si>
    <t xml:space="preserve">c. AD 425</t>
  </si>
  <si>
    <t xml:space="preserve">Theodosius II (renaming as Neapolis, reported)</t>
  </si>
  <si>
    <t xml:space="preserve">Neapolis of the Isaurian Decapolis/Notitiae (identification unproven); five churches</t>
  </si>
  <si>
    <t xml:space="preserve">The Neapolis renaming appears in modern site literature; Barrington leaves Isaurian Neapolis unlocated, so the identification is doubtful. If it is wrong, Kanytelis was a large village of the territory of Elaiussa/Olba.</t>
  </si>
  <si>
    <t xml:space="preserve">Pleiades 648663; Wikipedia: Kanlıdivane; Edwards 2016</t>
  </si>
  <si>
    <t xml:space="preserve">Hellenistic settlement of the Olban priest-dynasts; reportedly renamed Neapolis by Theodosius II (408–450)</t>
  </si>
  <si>
    <t xml:space="preserve">The visible settlement grew up around a Hellenistic tower of the Olban priest-dynasts and the sinkhole. No pre-Hellenistic finds or earlier name are reported.</t>
  </si>
  <si>
    <t xml:space="preserve">Pleiades 648663; knowledge: Hild &amp; Hellenkemper, TIB 5</t>
  </si>
  <si>
    <t xml:space="preserve">C376</t>
  </si>
  <si>
    <t xml:space="preserve">Soli (Cilicia)</t>
  </si>
  <si>
    <t xml:space="preserve">Σόλοι</t>
  </si>
  <si>
    <t xml:space="preserve">Pompeiopolis (Pompey, 67/66 BC); Viranşehir (Turkish, older)</t>
  </si>
  <si>
    <t xml:space="preserve">Viranşehir, Mezitli (Mezitli, Mersin)</t>
  </si>
  <si>
    <t xml:space="preserve">Mezitli</t>
  </si>
  <si>
    <t xml:space="preserve">Rhodians from Lindos with Achaeans/Argives (Strabo 14.5.8; Polybius 21.24)</t>
  </si>
  <si>
    <t xml:space="preserve">Late Bronze Age (Luwian/Hittite) occupation on Soli Höyük from the 15th c. BC. Identifications with Ellipra, Pitura (Šunaššura treaty) or Sallusa are speculative.</t>
  </si>
  <si>
    <t xml:space="preserve">IACP (Kilikia); Ps.-Skylax 102 ('Hellenic polis'); coins; Hierocles; bishops</t>
  </si>
  <si>
    <t xml:space="preserve">Mycenaean (LH IIIA–B) imports at Soli Höyük show only trade. 'Soloikismos' (solecism) was proverbially attributed to the Greek spoken here. Refounded by Pompey with pirates as Pompeiopolis; largely abandoned after the 525 earthquake.</t>
  </si>
  <si>
    <t xml:space="preserve">IACP (Kilikia); Strabo 14.5.8; Yağcı (Soli Höyük excavations); Pleiades 648781</t>
  </si>
  <si>
    <t xml:space="preserve">Colony of Lindos (Rhodes) and Achaeans/Argives by tradition; excavations at Soli Höyük show the Greek settlement c. 700–690 BC; 'Hellenic polis' in Ps.-Skylax; coins from the 5th c. BC</t>
  </si>
  <si>
    <t xml:space="preserve">C377</t>
  </si>
  <si>
    <t xml:space="preserve">Zephyrium (Cilicia)</t>
  </si>
  <si>
    <t xml:space="preserve">Ζεφύριον</t>
  </si>
  <si>
    <t xml:space="preserve">Hadrianopolis (Hadrian)</t>
  </si>
  <si>
    <t xml:space="preserve">central Mersin (Mersin)</t>
  </si>
  <si>
    <t xml:space="preserve">Akdeniz</t>
  </si>
  <si>
    <t xml:space="preserve">Ps.-Skylax 102 (polis); coins; Hierocles; bishops 381, 451</t>
  </si>
  <si>
    <t xml:space="preserve">The exact site lies under modern Mersin. Not to be confused with Cape Zephyrion near Korykos.</t>
  </si>
  <si>
    <t xml:space="preserve">Ps.-Skylax 102; Livy 33.20; Pleiades 648810</t>
  </si>
  <si>
    <t xml:space="preserve">Listed as a polis by Ps.-Skylax 102 (c. 340 BC); taken by Antiochus III 197 BC (Livy 33.20); coins Hellenistic and Roman (Hadrianopolis)</t>
  </si>
  <si>
    <t xml:space="preserve">Zephyrion's exact site under modern Mersin is unexcavated. The great Neolithic-Iron Age mound of Yumuktepe lies c. 3 km NW of the centre, too far to count as the same nucleus unless Zephyrion lay beside it, which is unproven. Pleiades' Bronze/Iron Age tags come only from Mersin/Yumuktepe toponyms.</t>
  </si>
  <si>
    <t xml:space="preserve">Pleiades 648810 (TAVO names for Mersin/Yumuktepe); https://en.wikipedia.org/wiki/Yumuktepe; Barrington 66 F3</t>
  </si>
  <si>
    <t xml:space="preserve">C378</t>
  </si>
  <si>
    <t xml:space="preserve">Anchiale</t>
  </si>
  <si>
    <t xml:space="preserve">Ἀγχιάλη</t>
  </si>
  <si>
    <t xml:space="preserve">Anchialeia; Anchialos</t>
  </si>
  <si>
    <t xml:space="preserve">Yumuktepe mound, Mersin (Mersin)</t>
  </si>
  <si>
    <t xml:space="preserve">Toroslar</t>
  </si>
  <si>
    <t xml:space="preserve">c. 333 BC</t>
  </si>
  <si>
    <t xml:space="preserve">Sardanapalos (Assyrian legend)</t>
  </si>
  <si>
    <t xml:space="preserve">Ingira (Assyrian)?</t>
  </si>
  <si>
    <t xml:space="preserve">Ingirâ, taken by Sennacherib's army in 696 BC, is generally equated with Anchiale; the location of Anchiale (Yumuktepe or Karaduvar) is itself uncertain. Yumuktepe has Neolithic to Iron Age levels.</t>
  </si>
  <si>
    <t xml:space="preserve">Arrian 2.5; Strabo 14.5.9; no secure coins or bishop</t>
  </si>
  <si>
    <t xml:space="preserve">Whether it was ever a Greek polis rather than a native town that declined (Strabo calls it a small place) is uncertain. Beaufort placed it at Karaduvar.</t>
  </si>
  <si>
    <t xml:space="preserve">Arrian Anab. 2.5; Strabo 14.5.9; Pleiades 648555; Caneva 2004</t>
  </si>
  <si>
    <t xml:space="preserve">Called a polis (founded by Sardanapalos) when Alexander passed in 333 BC (Arrian, Anab. 2.5.2–4)</t>
  </si>
  <si>
    <t xml:space="preserve">C379</t>
  </si>
  <si>
    <t xml:space="preserve">Tarsus</t>
  </si>
  <si>
    <t xml:space="preserve">Ταρσός</t>
  </si>
  <si>
    <t xml:space="preserve">Antiocheia on the Kydnos (Antiochus IV); imperial titles Hadriana, Severiana, Antoniniana etc.</t>
  </si>
  <si>
    <t xml:space="preserve">Tarsus, with Gözlükule mound (Tarsus, Mersin)</t>
  </si>
  <si>
    <t xml:space="preserve">c. 420 BC</t>
  </si>
  <si>
    <t xml:space="preserve">Argives with Triptolemos (Greek legend, Strabo 14.5.12); Sennacherib (Berossus)</t>
  </si>
  <si>
    <t xml:space="preserve">Tarša (Hittite); Tarzi (Assyrian)</t>
  </si>
  <si>
    <t xml:space="preserve">Hittite Tarša (Kizzuwatna) and Neo-Assyrian Tarzi/Tarzu (Shalmaneser III, Sennacherib) are secure. Gözlükule has Neolithic to Iron Age levels.</t>
  </si>
  <si>
    <t xml:space="preserve">IACP (Kilikia); coins from c. 420 BC; Hierocles (metropolis of Cilicia I); bishops 325–692</t>
  </si>
  <si>
    <t xml:space="preserve">Cilician (Luwian) and Aramaic used alongside Greek in the Achaemenid period; Arabic-speaking Muslim frontier city c. 700–965; under Armenian rule 12th–14th c.</t>
  </si>
  <si>
    <t xml:space="preserve">Early coins also carry Aramaic legends, so Greek was one language among several before the Hellenistic period.</t>
  </si>
  <si>
    <t xml:space="preserve">IACP (Kilikia); Xenophon Anab. 1.2.23; Goldman, Gözlükule; Pleiades 648789</t>
  </si>
  <si>
    <t xml:space="preserve">Greek coin legend ΤΕΡΣΙΚΟΝ c. 420–400 BC; 'large and prosperous polis' in Xenophon (401 BC); refounded as Antiocheia on the Kydnos under Antiochus IV (175–164 BC)</t>
  </si>
  <si>
    <t xml:space="preserve">C380</t>
  </si>
  <si>
    <t xml:space="preserve">Adana</t>
  </si>
  <si>
    <t xml:space="preserve">Ἄδανα</t>
  </si>
  <si>
    <t xml:space="preserve">Antiocheia on the Saros (Antiochus IV)</t>
  </si>
  <si>
    <t xml:space="preserve">Adana city centre, Tepebağ mound (Seyhan, Adana)</t>
  </si>
  <si>
    <t xml:space="preserve">Seyhan</t>
  </si>
  <si>
    <t xml:space="preserve">c. 170 BC</t>
  </si>
  <si>
    <t xml:space="preserve">Antiochus IV (refoundation of the native town)</t>
  </si>
  <si>
    <t xml:space="preserve">Adaniya (Hittite); Adanawa (Hieroglyphic Luwian)</t>
  </si>
  <si>
    <t xml:space="preserve">Hittite Adaniya (Kizzuwatna); Hieroglyphic Luwian Adanawa and Phoenician ʾDN in the Karatepe and Çineköy inscriptions (8th c. BC); Tepebağ mound occupied from the Bronze Age.</t>
  </si>
  <si>
    <t xml:space="preserve">Seleucid civic coins; Roman provincial coins; Hierocles; bishops 325–680</t>
  </si>
  <si>
    <t xml:space="preserve">Arabic-speaking Muslim frontier city c. 700–965; Armenian rule 12th–14th c.; Ramadanid Turkish from the mid-14th c.</t>
  </si>
  <si>
    <t xml:space="preserve">Ps.-Skylax 102 lists an 'Adane' emporion with harbour, perhaps this place.</t>
  </si>
  <si>
    <t xml:space="preserve">Cohen 2006; Karatepe bilingual; Pleiades 648548; Wikipedia: Adana</t>
  </si>
  <si>
    <t xml:space="preserve">Refounded as the polis Antiocheia on the Saros under Antiochus IV (175–164 BC), with civic coins</t>
  </si>
  <si>
    <t xml:space="preserve">C381</t>
  </si>
  <si>
    <t xml:space="preserve">Magarsus</t>
  </si>
  <si>
    <t xml:space="preserve">Μάγαρσος</t>
  </si>
  <si>
    <t xml:space="preserve">Magarsa; Antiocheia on the Pyramos (Antiochus IV)</t>
  </si>
  <si>
    <t xml:space="preserve">Dörtdirek, c. 3.5 km SW of Karataş town (Karataş, Adana)</t>
  </si>
  <si>
    <t xml:space="preserve">Antiochus IV (refoundation)</t>
  </si>
  <si>
    <t xml:space="preserve">Magarsos is a non-Greek name; a sanctuary and town existed before the Seleucid refoundation (Arrian 2.5.9).</t>
  </si>
  <si>
    <t xml:space="preserve">Coins of Antiocheia on the Pyramos; inscriptions at Karataş (Robert 1951)</t>
  </si>
  <si>
    <t xml:space="preserve">Port and sanctuary of Mallos. Robert placed Antiocheia on the Pyramos here; others think Mallos itself was renamed, so this entry may overlap with Mallos.</t>
  </si>
  <si>
    <t xml:space="preserve">Robert 1951; Arrian Anab. 2.5.9; Pleiades 648701</t>
  </si>
  <si>
    <t xml:space="preserve">Sanctuary town of Athena Magarsia (Alexander sacrificed there, 333 BC); refounded as Antiocheia on the Pyramos under Antiochus IV (175–164 BC), with coins</t>
  </si>
  <si>
    <t xml:space="preserve">C382</t>
  </si>
  <si>
    <t xml:space="preserve">Mallus</t>
  </si>
  <si>
    <t xml:space="preserve">Μαλλός</t>
  </si>
  <si>
    <t xml:space="preserve">Mallos; Colonia Mallos (3rd c. AD)</t>
  </si>
  <si>
    <t xml:space="preserve">Kızıltahta, Karataş peninsula (Karataş, Adana)</t>
  </si>
  <si>
    <t xml:space="preserve">c. 425 BC</t>
  </si>
  <si>
    <t xml:space="preserve">Amphilochos and Mopsos (Argive legend)</t>
  </si>
  <si>
    <t xml:space="preserve">Native Cilician town in the 'House of Mopsos' milieu (Luwian Muksa-, Phoenician MPŠ); no pre-Greek attestation of the name.</t>
  </si>
  <si>
    <t xml:space="preserve">IACP (Kilikia); coins; Ps.-Skylax 102; Roman colony (3rd c.); Hierocles; bishops 377–553</t>
  </si>
  <si>
    <t xml:space="preserve">Argos claimed it as a colony (Arrian 2.5.9), but the founding legend is mythical; Schürr 2019 argues there was no Greek settlement in Cilicia before the Hellenistic period. The site at Kızıltahta is inferred from ancient distances.</t>
  </si>
  <si>
    <t xml:space="preserve">IACP (Kilikia); Arrian Anab. 2.5.9; Pleiades 648702; Schürr 2019 (Gephyra 17)</t>
  </si>
  <si>
    <t xml:space="preserve">Silver coins with Greek legends from the later 5th c. BC; polis in Ps.-Skylax 102; treated as an Argive colony by Alexander (333 BC)</t>
  </si>
  <si>
    <t xml:space="preserve">C383</t>
  </si>
  <si>
    <t xml:space="preserve">Aegeae (Cilicia)</t>
  </si>
  <si>
    <t xml:space="preserve">Aigeai; Aigaiai; Ayas, Laiazzo (medieval)</t>
  </si>
  <si>
    <t xml:space="preserve">Yumurtalık</t>
  </si>
  <si>
    <t xml:space="preserve">Yumurtalık (Yumurtalık, Adana)</t>
  </si>
  <si>
    <t xml:space="preserve">no recorded founder (possibly Seleucid, Cohen)</t>
  </si>
  <si>
    <t xml:space="preserve">Bronze Age (Hittite-period) pottery comes from Zeytinbeli Höyük nearby, not from the city site.</t>
  </si>
  <si>
    <t xml:space="preserve">Coins; Hierocles; bishops 325–553; Asklepieion</t>
  </si>
  <si>
    <t xml:space="preserve">Armenian port (Ayas/Laiazzo) under the Armenian Kingdom of Cilicia, 12th–14th c.; Mamluk from 1347</t>
  </si>
  <si>
    <t xml:space="preserve">The medieval name Ayas continues Aigai.</t>
  </si>
  <si>
    <t xml:space="preserve">Cohen 1995; Strabo 14.5.18; Pleiades 658368</t>
  </si>
  <si>
    <t xml:space="preserve">Hellenistic polis: autonomous civic coins from the later 2nd/1st c. BC; civic era from 47 BC (Caesar); Strabo calls it a small town</t>
  </si>
  <si>
    <t xml:space="preserve">A Syro-Hittite (Neo-Hittite) basalt funerary stele of the 9th c. BC was found in 1994 during building work in Yumurtalık itself, showing an Iron Age native community at the site. Hittite pottery of the 17th c. BC also comes from Zeytinbeli Höyük, c. 7 km away, too far to count.</t>
  </si>
  <si>
    <t xml:space="preserve">Bonatz 2000, Das syro-hethitische Grabdenkmal, C 58; hittitemonuments.com/yumurtalik; vici.org/vici/73930; https://en.wikipedia.org/wiki/Aegeae_(Cilicia)</t>
  </si>
  <si>
    <t xml:space="preserve">C384</t>
  </si>
  <si>
    <t xml:space="preserve">Issus</t>
  </si>
  <si>
    <t xml:space="preserve">Ἰσσός</t>
  </si>
  <si>
    <t xml:space="preserve">Nikopolis (after 333 BC?)</t>
  </si>
  <si>
    <t xml:space="preserve">Kinet Höyük (Dörtyol, Hatay)</t>
  </si>
  <si>
    <t xml:space="preserve">Hatay</t>
  </si>
  <si>
    <t xml:space="preserve">Izziya (Hittite)?</t>
  </si>
  <si>
    <t xml:space="preserve">Kinet Höyük was occupied from the Neolithic onward; the excavator (Gates) proposed Late Bronze Age Izziya, which is not certain.</t>
  </si>
  <si>
    <t xml:space="preserve">IACP (Kilikia); Xenophon Anab. 1.2.24; coins</t>
  </si>
  <si>
    <t xml:space="preserve">The site was abandoned c. 50 BC and eclipsed by Alexandreia and Nikopolis; whether Nikopolis was Issos renamed or a separate town is disputed.</t>
  </si>
  <si>
    <t xml:space="preserve">Xenophon Anab. 1.2.24; Gates 2013; Pleiades 658490; Livius: Issus</t>
  </si>
  <si>
    <t xml:space="preserve">'Last city of Cilicia, large and prosperous' (Xenophon, 401 BC); coins with Greek legend ΙΣΣΙΚΟΝ c. 400–380 BC</t>
  </si>
  <si>
    <t xml:space="preserve">C385</t>
  </si>
  <si>
    <t xml:space="preserve">Epiphania (Cilicia)</t>
  </si>
  <si>
    <t xml:space="preserve">Ἐπιφάνεια</t>
  </si>
  <si>
    <t xml:space="preserve">Oiniandos (earlier name)</t>
  </si>
  <si>
    <t xml:space="preserve">near Gözene (Erzin, Hatay)</t>
  </si>
  <si>
    <t xml:space="preserve">Antiochus IV (refoundation of Oiniandos)</t>
  </si>
  <si>
    <t xml:space="preserve">The earlier name Oiniandos survives only in Greek sources (Pliny, Steph. Byz.).</t>
  </si>
  <si>
    <t xml:space="preserve">Coins; Hierocles; bishops 325–553</t>
  </si>
  <si>
    <t xml:space="preserve">Cohen 2006; Hellenkemper 1986; Pleiades 658556</t>
  </si>
  <si>
    <t xml:space="preserve">Native Oiniandos refounded as Epiphaneia under Antiochus IV (175–164 BC); Pompey settled pirates there (civic era 67/66 BC)</t>
  </si>
  <si>
    <t xml:space="preserve">C386</t>
  </si>
  <si>
    <t xml:space="preserve">Alexandria ad Issum</t>
  </si>
  <si>
    <t xml:space="preserve">Ἀλεξάνδρεια ἡ κατ᾽ Ἰσσόν</t>
  </si>
  <si>
    <t xml:space="preserve">Alexandretta; Alexandria Minor; Alexandria Scabiosa</t>
  </si>
  <si>
    <t xml:space="preserve">İskenderun</t>
  </si>
  <si>
    <t xml:space="preserve">İskenderun (İskenderun, Hatay)</t>
  </si>
  <si>
    <t xml:space="preserve">Alexander the Great (tradition) or a Successor</t>
  </si>
  <si>
    <t xml:space="preserve">Alexander</t>
  </si>
  <si>
    <t xml:space="preserve">The Phoenician emporion Myriandos lay nearby but on a different site.</t>
  </si>
  <si>
    <t xml:space="preserve">Strabo 14.5.19; coins; Hierocles; bishops 325–518</t>
  </si>
  <si>
    <t xml:space="preserve">Arab-held c. 640–969; Crusader, Armenian and Mamluk control 12th–15th c.</t>
  </si>
  <si>
    <t xml:space="preserve">The ancient city is probably, but not certainly, under modern İskenderun.</t>
  </si>
  <si>
    <t xml:space="preserve">Cohen 2006; Strabo 14.5.19; Pleiades 658371</t>
  </si>
  <si>
    <t xml:space="preserve">Founded according to tradition by Alexander after Issos (333 BC); more likely a foundation of one of the Successors</t>
  </si>
  <si>
    <t xml:space="preserve">The ancient site is not securely located (Barrington: Esentepe in İskenderun). Phoenician Myriandos (Xen. Anab. 1.4.6) lay c. 6 km to the SW and was superseded, not built over. No archaeology of earlier levels.</t>
  </si>
  <si>
    <t xml:space="preserve">Barrington 67 C3; Pleiades 658371; https://en.wikipedia.org/wiki/Iskenderun; https://en.wikipedia.org/wiki/Myriandus</t>
  </si>
  <si>
    <t xml:space="preserve">C387</t>
  </si>
  <si>
    <t xml:space="preserve">Syria</t>
  </si>
  <si>
    <t xml:space="preserve">Rhosus</t>
  </si>
  <si>
    <t xml:space="preserve">Ῥωσός</t>
  </si>
  <si>
    <t xml:space="preserve">Rhossos</t>
  </si>
  <si>
    <t xml:space="preserve">Arsuz</t>
  </si>
  <si>
    <t xml:space="preserve">Arsuz (Arsuz, Hatay)</t>
  </si>
  <si>
    <t xml:space="preserve">Kilix son of Agenor (legend, Malalas)</t>
  </si>
  <si>
    <t xml:space="preserve">Pleiades lists an Akkadian form 'Urrus', but no attestation could be traced, so it is not used. Malalas makes Rhosos a foundation of Kilix (legend); the native town is known only from Greek sources.</t>
  </si>
  <si>
    <t xml:space="preserve">Coins ('sacred, inviolable and autonomous'); Hierocles; bishops 363–600</t>
  </si>
  <si>
    <t xml:space="preserve">Arsuz continues Rhosos. 'Pre-Greek name' assumes Rhosos is not Greek, which is likely but unproven.</t>
  </si>
  <si>
    <t xml:space="preserve">Athenaeus 13.586c; Pleiades 658585; Wikipedia: Arsuz</t>
  </si>
  <si>
    <t xml:space="preserve">native harbour town where Harpalus set up a statue of Glykera c. 325 BC (Theopompus); first civic evidence: city coins of the 2nd–1st c. BC; polis with archons, boule and demos in Octavian's dossier of Seleukos of Rhosos (42–31 BC)</t>
  </si>
  <si>
    <t xml:space="preserve">C388</t>
  </si>
  <si>
    <t xml:space="preserve">Seleucia Pieria</t>
  </si>
  <si>
    <t xml:space="preserve">Σελεύκεια ἡ ἐν Πιερίᾳ</t>
  </si>
  <si>
    <t xml:space="preserve">Seleukeia Pieria; Hydatos Potamoi (earlier village?)</t>
  </si>
  <si>
    <t xml:space="preserve">Çevlik</t>
  </si>
  <si>
    <t xml:space="preserve">Çevlik, near Samandağ (Samandağ, Hatay)</t>
  </si>
  <si>
    <t xml:space="preserve">300 BC</t>
  </si>
  <si>
    <t xml:space="preserve">Pleiades notes a possible earlier village (Hydatos Potamoi). The Archaic emporion al-Mina is nearby but on a different site.</t>
  </si>
  <si>
    <t xml:space="preserve">Strabo 16.2.8; coins; Hierocles; bishops 325–553</t>
  </si>
  <si>
    <t xml:space="preserve">Aramaic (Syriac) widespread in the hinterland; Arab rule 637–969</t>
  </si>
  <si>
    <t xml:space="preserve">Settlers from Antigonia were transferred here in part. The city declined after the 6th century.</t>
  </si>
  <si>
    <t xml:space="preserve">Cohen 2006; Strabo 16.2.8; Pleiades 658483</t>
  </si>
  <si>
    <t xml:space="preserve">Founded by Seleucus I in 300 BC as his first capital and the port of Antioch</t>
  </si>
  <si>
    <t xml:space="preserve">An earlier place stood here. Strabo 16.2.8 says the site was formerly called Hydatos Potamoi, and Malalas (and Pausanias) mention a 'Palaiopolis'. Both names are Greek, though, and no pre-Hellenistic level has been published, so the earlier place cannot be shown to be non-Greek. Iron Age Al Mina is c. 6 km away at the Orontes mouth.</t>
  </si>
  <si>
    <t xml:space="preserve">Strabo 16.2.8; Malalas 8; Pleiades 658483; en.wikipedia.org/wiki/Seleucia_Pieria</t>
  </si>
  <si>
    <t xml:space="preserve">C389</t>
  </si>
  <si>
    <t xml:space="preserve">Antigonia (Syria)</t>
  </si>
  <si>
    <t xml:space="preserve">Ἀντιγόνεια</t>
  </si>
  <si>
    <t xml:space="preserve">unlocated, on the Orontes c. 7 km NE of Antakya (Antakya, Hatay)</t>
  </si>
  <si>
    <t xml:space="preserve">307 BC</t>
  </si>
  <si>
    <t xml:space="preserve">Antigonus I Monophthalmus</t>
  </si>
  <si>
    <t xml:space="preserve">Diodorus 20.47; Strabo 16.2.4; Malalas</t>
  </si>
  <si>
    <t xml:space="preserve">A short-lived city (307–300 BC); its exact site is unknown.</t>
  </si>
  <si>
    <t xml:space="preserve">Diodorus 20.47; Cohen 2006; Pleiades 658380</t>
  </si>
  <si>
    <t xml:space="preserve">Founded by Antigonus I in 307 BC; its population was moved to Antioch (and Seleukeia) by Seleucus I in 300 BC</t>
  </si>
  <si>
    <t xml:space="preserve">Unlocated; the city existed only from 307 to 300 BC.</t>
  </si>
  <si>
    <t xml:space="preserve">Diod. 20.47; Pleiades 658380</t>
  </si>
  <si>
    <t xml:space="preserve">C390</t>
  </si>
  <si>
    <t xml:space="preserve">Antioch</t>
  </si>
  <si>
    <t xml:space="preserve">Ἀντιόχεια ἡ ἐπὶ Ὀρόντῃ</t>
  </si>
  <si>
    <t xml:space="preserve">Antiocheia epi Daphne; Theoupolis (Justinian, after 528)</t>
  </si>
  <si>
    <t xml:space="preserve">Antakya</t>
  </si>
  <si>
    <t xml:space="preserve">Antakya (Antakya, Hatay)</t>
  </si>
  <si>
    <t xml:space="preserve">Native villages such as Bottia and Meroe are mentioned by late sources (Libanius, Malalas); Neo-Hittite Kunulua (Tell Tayinat) is a different site c. 25 km away.</t>
  </si>
  <si>
    <t xml:space="preserve">Coins; Hierocles (metropolis of Syria I); patriarchal see; bishops 325–787</t>
  </si>
  <si>
    <t xml:space="preserve">Bilingual with Syriac (Aramaic) in Late Antiquity; Arabic increasingly dominant after 637 (Roman again 969–1084; Seljuk 1084; Crusader 1098–1268; Mamluk from 1268)</t>
  </si>
  <si>
    <t xml:space="preserve">Malalas reports a legendary Argive settlement (Iopolis) on Mt Silpius; it has no archaeological confirmation.</t>
  </si>
  <si>
    <t xml:space="preserve">Downey 1961; Cohen 2006; Pleiades 658381; Strabo 16.2.4</t>
  </si>
  <si>
    <t xml:space="preserve">Founded by Seleucus I on 22 Artemisios (May) 300 BC</t>
  </si>
  <si>
    <t xml:space="preserve">The Amuq tells (Atchana, Tayinat) lie well away, and most had been abandoned before Alexander. No pre-Seleucid level is published from Antakya. Libanius' and Malalas' predecessors (Iopolis, Kasiotis, Herakleia, Alexander's Emathia/Bottia) are legendary or Greek. Pleiades' Bronze Age tags come from TAVO name indexing.</t>
  </si>
  <si>
    <t xml:space="preserve">en.wikipedia.org/wiki/Antioch; asor.org/anetoday/2016/12/antioch-orontes-ancient-city; Libanius Or. 11; Malalas 8</t>
  </si>
  <si>
    <t xml:space="preserve">C391</t>
  </si>
  <si>
    <t xml:space="preserve">Dometiopolis</t>
  </si>
  <si>
    <t xml:space="preserve">Δομετιούπολις</t>
  </si>
  <si>
    <t xml:space="preserve">Domitiopolis</t>
  </si>
  <si>
    <t xml:space="preserve">Katranlı</t>
  </si>
  <si>
    <t xml:space="preserve">Katranlı, formerly Dindebol (Ermenek, Karaman)</t>
  </si>
  <si>
    <t xml:space="preserve">Karaman</t>
  </si>
  <si>
    <t xml:space="preserve">c. AD 90</t>
  </si>
  <si>
    <t xml:space="preserve">Domitian (Malalas); alternatively named for L. Domitius Ahenobarbus</t>
  </si>
  <si>
    <t xml:space="preserve">Isaurian Decapolis; Notitiae; bishops 451–879 (Le Quien)</t>
  </si>
  <si>
    <t xml:space="preserve">Karaman province (GAL batch); border duplicate. The former village name Dindebol may continue Dometiopolis.</t>
  </si>
  <si>
    <t xml:space="preserve">Pleiades 648625; Malalas; Wikipedia: Dometiopolis</t>
  </si>
  <si>
    <t xml:space="preserve">Named after Domitian (Malalas) or L. Domitius Ahenobarbus; Roman-period town; bishops from 451</t>
  </si>
  <si>
    <t xml:space="preserve">An unexcavated Roman-period town at Katranlı (Dindebol); no earlier settlement or native name is known.</t>
  </si>
  <si>
    <t xml:space="preserve">Pleiades 648625; TIB 5 (Kilikien und Isaurien)</t>
  </si>
  <si>
    <t xml:space="preserve">C392</t>
  </si>
  <si>
    <t xml:space="preserve">Meloe (Isauria)</t>
  </si>
  <si>
    <t xml:space="preserve">uncertain; Barrington places it W of Mut (Mut, Mersin)</t>
  </si>
  <si>
    <t xml:space="preserve">Location disputed: Barrington 'Meloe?' W of Mut; GCatholic gives Ağalimanı on the coast near Taşucu.</t>
  </si>
  <si>
    <t xml:space="preserve">Pleiades 648707; Wikipedia: Meloe (Isauria); GCatholic: Meloë in Isauria</t>
  </si>
  <si>
    <t xml:space="preserve">Known as a city only as a bishopric of Isauria (Notitiae)</t>
  </si>
  <si>
    <t xml:space="preserve">The site is unlocated (W of Mut, or Ağalimanı) and known only from church lists.</t>
  </si>
  <si>
    <t xml:space="preserve">Pleiades 648707; Barrington Atlas</t>
  </si>
  <si>
    <t xml:space="preserve">C393</t>
  </si>
  <si>
    <t xml:space="preserve">Claudiopolis (Isauria)</t>
  </si>
  <si>
    <t xml:space="preserve">Κλαυδιούπολις</t>
  </si>
  <si>
    <t xml:space="preserve">Ninica, Colonia Iulia Augusta Felix (Augustan colony, if the same place)</t>
  </si>
  <si>
    <t xml:space="preserve">Mut</t>
  </si>
  <si>
    <t xml:space="preserve">Mut (Mut, Mersin)</t>
  </si>
  <si>
    <t xml:space="preserve">Augustus (Ninica colony); Claudius (Claudiopolis)</t>
  </si>
  <si>
    <t xml:space="preserve">Colonial coins (Latin legends, 2nd–3rd c.); Hierocles; Isaurian Decapolis; bishops 325, 381, 451</t>
  </si>
  <si>
    <t xml:space="preserve">Latin was used officially by the colony (coin legends) before Greek prevailed</t>
  </si>
  <si>
    <t xml:space="preserve">Pleiades and Mitford equate Ninica with Claudiopolis; if they are separate, the date is AD 41–54 (Claudius).</t>
  </si>
  <si>
    <t xml:space="preserve">Ammianus 14.8.2; Mitford 1980; Pleiades 648723</t>
  </si>
  <si>
    <t xml:space="preserve">Augustan veteran colony Ninica (Colonia Iulia Augusta Felix, after 27 BC), if the same place; colony of Claudius as Claudiopolis (Ammianus 14.8.2); bishops from 325</t>
  </si>
  <si>
    <t xml:space="preserve">The colony title 'Ninica' looks native and may preserve a pre-colonial place name, but it is attested only with the Roman colony. No pre-Roman finds are reported under Mut or its castle. Bronze–Iron Age sites in the Göksu valley (e.g. Kilise Tepe) lie well away.</t>
  </si>
  <si>
    <t xml:space="preserve">en.wikipedia.org/wiki/Claudiopolis_(Cilicia); castles.nl/mut-castle; Pleiades 648723</t>
  </si>
  <si>
    <t xml:space="preserve">C394</t>
  </si>
  <si>
    <t xml:space="preserve">Coropissus</t>
  </si>
  <si>
    <t xml:space="preserve">Κοροπισσός</t>
  </si>
  <si>
    <t xml:space="preserve">Koropissos, metropolis of the Ketis</t>
  </si>
  <si>
    <t xml:space="preserve">Dağpazarı</t>
  </si>
  <si>
    <t xml:space="preserve">Dağpazarı (Mut, Mersin)</t>
  </si>
  <si>
    <t xml:space="preserve">Anatolian (-issos) place name of the native Ketis; no pre-Greek attestation.</t>
  </si>
  <si>
    <t xml:space="preserve">Coins; Notitiae; bishop 325</t>
  </si>
  <si>
    <t xml:space="preserve">Identification with Dağpazarı follows Hild &amp; Hellenkemper (TIB 5); Pleiades also has a separate Koropissos entry (652347) further west. Not to be confused with Koropassos in Lycaonia.</t>
  </si>
  <si>
    <t xml:space="preserve">TIB 5; Pleiades 648618; Pleiades 652347</t>
  </si>
  <si>
    <t xml:space="preserve">Roman provincial coins as 'metropolis of the Ketis' (2nd–3rd c. AD); bishop 325</t>
  </si>
  <si>
    <t xml:space="preserve">C395</t>
  </si>
  <si>
    <t xml:space="preserve">Olba</t>
  </si>
  <si>
    <t xml:space="preserve">Ὄλβα</t>
  </si>
  <si>
    <t xml:space="preserve">Olbe</t>
  </si>
  <si>
    <t xml:space="preserve">Ura (Ören), 4 km E of Uzuncaburç (Silifke, Mersin)</t>
  </si>
  <si>
    <t xml:space="preserve">Ajax son of Teukros (Greek legend, Strabo 14.5.10)</t>
  </si>
  <si>
    <t xml:space="preserve">The priest-dynasts bore Luwian names (Tarkyaris, Teukros &lt; Tarku-?). The modern village name Ura has been linked to Hittite Ura (see Seleukeia), which is doubtful.</t>
  </si>
  <si>
    <t xml:space="preserve">Strabo 14.5.10; coins; Hierocles; bishops 381, 680</t>
  </si>
  <si>
    <t xml:space="preserve">The cult centre at Uzuncaburç became the separate city Diokaisareia under Vespasian.</t>
  </si>
  <si>
    <t xml:space="preserve">Strabo 14.5.10; MacKay 1968/1990 (Olba); Pleiades 648725; TIB 5</t>
  </si>
  <si>
    <t xml:space="preserve">Seat of the Teukrid priest-dynasts of Zeus Olbios, with Greek inscriptions from the 3rd/2nd c. BC; coins of the dynasts (Ajax son of Teukros, AD 10–15) and civic coins of Olba</t>
  </si>
  <si>
    <t xml:space="preserve">C396</t>
  </si>
  <si>
    <t xml:space="preserve">Diocaesarea (Isauria)</t>
  </si>
  <si>
    <t xml:space="preserve">Διοκαισάρεια</t>
  </si>
  <si>
    <t xml:space="preserve">Uzuncaburç; earlier the sanctuary of Zeus Olbios at Olba</t>
  </si>
  <si>
    <t xml:space="preserve">Uzuncaburç</t>
  </si>
  <si>
    <t xml:space="preserve">Uzuncaburç (Silifke, Mersin)</t>
  </si>
  <si>
    <t xml:space="preserve">c. AD 72</t>
  </si>
  <si>
    <t xml:space="preserve">Vespasian</t>
  </si>
  <si>
    <t xml:space="preserve">Coins from Vespasian; Hierocles; Isaurian Decapolis; bishops 381, 451</t>
  </si>
  <si>
    <t xml:space="preserve">Before city status it was the temple precinct of Olba (Hellenistic tower of Teukros son of Tarkyaris).</t>
  </si>
  <si>
    <t xml:space="preserve">Pleiades 648623; Wikipedia: Uzuncaburç (Diokaisareia); TIB 5</t>
  </si>
  <si>
    <t xml:space="preserve">The Hellenistic sanctuary of Zeus Olbios (temple c. 300 BC) was made a city with coinage under Vespasian (AD 69–79)</t>
  </si>
  <si>
    <t xml:space="preserve">Changed from 'no known'. Vespasian's city replaced an existing Hellenistic sanctuary settlement of Zeus Olbios, so it was not new ground. That sanctuary was run by Hellenized native (Luwian-named) priest-dynasts, e.g. Teukros son of Tarkyaris, which may make it a native community. Still, the Corinthian temple and the remains are Hellenistic Greek, and no pre-Hellenistic level is reported.</t>
  </si>
  <si>
    <t xml:space="preserve">Strabo 14.5.10; dergipark.org.tr/en/pub/olba/article/1269054; knowledge: Wannagat; Trampedach on the Olba temple state</t>
  </si>
  <si>
    <t xml:space="preserve">C397</t>
  </si>
  <si>
    <t xml:space="preserve">Mopsuestia</t>
  </si>
  <si>
    <t xml:space="preserve">Μοψουεστία</t>
  </si>
  <si>
    <t xml:space="preserve">Mopsouhestia; Seleukeia on the Pyramos (Antiochus IV); Hadriana, Decia (imperial titles); al-Massisa (Arabic); Mamistra (Crusader)</t>
  </si>
  <si>
    <t xml:space="preserve">Yakapınar</t>
  </si>
  <si>
    <t xml:space="preserve">Yakapınar, formerly Misis (Yüreğir, Adana)</t>
  </si>
  <si>
    <t xml:space="preserve">Antiochus IV (refoundation); Mopsos (Greek legend)</t>
  </si>
  <si>
    <t xml:space="preserve">Paḫri (Assyrian)?</t>
  </si>
  <si>
    <t xml:space="preserve">Neo-Assyrian Pahri (and Phoenician/Luwian Pʿr/Pahar at Karatepe) is identified with Misis by Pleiades and others; uncertain. The Misis mound has Bronze and Iron Age levels.</t>
  </si>
  <si>
    <t xml:space="preserve">Coins; free city (Pliny); Hierocles; bishops 325–553</t>
  </si>
  <si>
    <t xml:space="preserve">Arabic-speaking Muslim frontier city (al-Massisa) c. 700–965; Armenian rule 12th–14th c.</t>
  </si>
  <si>
    <t xml:space="preserve">Its traditional Turkish name Misis continues Mopsuestia (officially Yakapınar since the 1960s).</t>
  </si>
  <si>
    <t xml:space="preserve">Cohen 2006; Pleiades 658538; Wikipedia: Mopsuestia; Schürr 2019</t>
  </si>
  <si>
    <t xml:space="preserve">Native town refounded as Seleukeia on the Pyramos under Antiochus IV (175–164 BC), with coins; earlier Greek name Mopsou hestia ('hearth of Mopsos')</t>
  </si>
  <si>
    <t xml:space="preserve">C398</t>
  </si>
  <si>
    <t xml:space="preserve">Augusta (Cilicia)</t>
  </si>
  <si>
    <t xml:space="preserve">Αὐγοῦστα</t>
  </si>
  <si>
    <t xml:space="preserve">Augustopolis; Thebai?</t>
  </si>
  <si>
    <t xml:space="preserve">Gübe, now under the Seyhan reservoir near Çatalan (Adana)</t>
  </si>
  <si>
    <t xml:space="preserve">AD 20</t>
  </si>
  <si>
    <t xml:space="preserve">Tiberius, in honour of Livia (Julia Augusta)</t>
  </si>
  <si>
    <t xml:space="preserve">Coins (era AD 20); Hierocles; bishops 431, 451</t>
  </si>
  <si>
    <t xml:space="preserve">Surveyed by Gough before the Seyhan dam flooded the site in 1955.</t>
  </si>
  <si>
    <t xml:space="preserve">Gough 1956; Pleiades 648577</t>
  </si>
  <si>
    <t xml:space="preserve">Founded in AD 20 and named after Livia (Julia Augusta); civic era from AD 20; coins</t>
  </si>
  <si>
    <t xml:space="preserve">Gough's 1952 survey before the flooding describes only the Roman city and reports a höyük (Ortatepe) c. 5 km to the south, not at the site. No evidence of earlier occupation or of new ground.</t>
  </si>
  <si>
    <t xml:space="preserve">M. Gough, 'Augusta Ciliciae', Anatolian Studies 2 (1952), n. 20 (cambridge.org abstract); https://en.wikipedia.org/wiki/Augusta_(Cilicia)</t>
  </si>
  <si>
    <t xml:space="preserve">C399</t>
  </si>
  <si>
    <t xml:space="preserve">Anazarbus</t>
  </si>
  <si>
    <t xml:space="preserve">Ἀνάζαρβος</t>
  </si>
  <si>
    <t xml:space="preserve">Caesarea by Anazarbos (Augustus); Iustinopolis/Iustinianopolis (Justin I/Justinian); ʿAyn Zarba (Arabic)</t>
  </si>
  <si>
    <t xml:space="preserve">Dilekkaya</t>
  </si>
  <si>
    <t xml:space="preserve">Anavarza, by Dilekkaya (Kozan, Adana)</t>
  </si>
  <si>
    <t xml:space="preserve">19 BC</t>
  </si>
  <si>
    <t xml:space="preserve">eponym Anazarbos (legend); city status under Augustus</t>
  </si>
  <si>
    <t xml:space="preserve">Native (non-Greek) name; within the dynasty of Tarkondimotos in the 1st c. BC.</t>
  </si>
  <si>
    <t xml:space="preserve">Coins (era 19 BC); Hierocles (metropolis of Cilicia II); bishops 325–680</t>
  </si>
  <si>
    <t xml:space="preserve">Arab frontier city (ʿAyn Zarba) 8th–10th c.; Armenian royal city 12th–14th c.; destroyed by the Mamluks 1374</t>
  </si>
  <si>
    <t xml:space="preserve">The traditional name Anavarza continues Anazarbos.</t>
  </si>
  <si>
    <t xml:space="preserve">Gough 1952; Pleiades 658378; TIB 5</t>
  </si>
  <si>
    <t xml:space="preserve">Made a polis as Caesarea by Anazarbos, civic era 19 BC (Augustus); coins</t>
  </si>
  <si>
    <t xml:space="preserve">C400</t>
  </si>
  <si>
    <t xml:space="preserve">Hierapolis-Castabala</t>
  </si>
  <si>
    <t xml:space="preserve">Καστάβαλα</t>
  </si>
  <si>
    <t xml:space="preserve">Hieropolis on the Pyramos (Antiochus IV)</t>
  </si>
  <si>
    <t xml:space="preserve">Bodrum Kalesi near Kırmıtlı/Tecirli (Osmaniye, Osmaniye)</t>
  </si>
  <si>
    <t xml:space="preserve">Osmaniye</t>
  </si>
  <si>
    <t xml:space="preserve">Kastabala is probably a Luwian name and the cult of Perasia continues an Anatolian goddess, but no pre-Greek attestation of the town is known.</t>
  </si>
  <si>
    <t xml:space="preserve">Coins; capital of Tarkondimotos (1st c. BC); Hierocles; bishop 325</t>
  </si>
  <si>
    <t xml:space="preserve">Cohen 2006; Strabo 12.2.7; Pleiades 658481</t>
  </si>
  <si>
    <t xml:space="preserve">Native Kastabala refounded as Hieropolis on the Pyramos under Antiochus IV (175–164 BC), with coins</t>
  </si>
  <si>
    <t xml:space="preserve">C401</t>
  </si>
  <si>
    <t xml:space="preserve">Flaviopolis (Cilicia)</t>
  </si>
  <si>
    <t xml:space="preserve">Flavias; Kars/Kars-ı Zülkadriye (Ottoman)</t>
  </si>
  <si>
    <t xml:space="preserve">Kadirli</t>
  </si>
  <si>
    <t xml:space="preserve">Kadirli (Kadirli, Osmaniye)</t>
  </si>
  <si>
    <t xml:space="preserve">AD 74</t>
  </si>
  <si>
    <t xml:space="preserve">Coins (era 73/74); Hierocles; bishops 325, 451, 680</t>
  </si>
  <si>
    <t xml:space="preserve">The seed gives the province as Adana, but Kadirli belongs to Osmaniye.</t>
  </si>
  <si>
    <t xml:space="preserve">Pleiades 658569; TIB 5</t>
  </si>
  <si>
    <t xml:space="preserve">Founded under Vespasian; civic era AD 73/74; coins</t>
  </si>
  <si>
    <t xml:space="preserve">No pre-Roman remains are reported at Kadirli itself. Neo-Hittite Karatepe lies c. 20 km away, which is irrelevant. Whether Flaviopolis was a refoundation or a new site is not stated.</t>
  </si>
  <si>
    <t xml:space="preserve">https://en.wikipedia.org/wiki/Kadirli; Pleiades 658569</t>
  </si>
  <si>
    <t xml:space="preserve">C402</t>
  </si>
  <si>
    <t xml:space="preserve">Irenopolis (Cilicia)</t>
  </si>
  <si>
    <t xml:space="preserve">Εἰρηνούπολις</t>
  </si>
  <si>
    <t xml:space="preserve">Neronias (Nero)</t>
  </si>
  <si>
    <t xml:space="preserve">Düziçi</t>
  </si>
  <si>
    <t xml:space="preserve">Düziçi, formerly Haruniye (Düziçi, Osmaniye)</t>
  </si>
  <si>
    <t xml:space="preserve">AD 51</t>
  </si>
  <si>
    <t xml:space="preserve">unknown, under Claudius/Nero</t>
  </si>
  <si>
    <t xml:space="preserve">Coins (era 51/52); Hierocles; bishops 325, 451 (as Neronias)</t>
  </si>
  <si>
    <t xml:space="preserve">Identification of the site with Düziçi is the modern view. Not to be confused with Eirenopolis in Isauria (Kazancı, Karaman).</t>
  </si>
  <si>
    <t xml:space="preserve">Pleiades 658458; TIB 5; RPC</t>
  </si>
  <si>
    <t xml:space="preserve">Civic era AD 51/52; named Neronias under Nero, later Eirenopolis; coins</t>
  </si>
  <si>
    <t xml:space="preserve">Rescue excavations at Düziçi report Roman and later remains only. No pre-Roman occupation is reported, and nothing shows a fresh site either.</t>
  </si>
  <si>
    <t xml:space="preserve">https://en.wikipedia.org/wiki/Irenopolis_(Cilicia); Osmaniye Univ. rescue-excavation survey paper (openaccess.osmaniye.edu.tr)</t>
  </si>
  <si>
    <t xml:space="preserve">C403</t>
  </si>
  <si>
    <t xml:space="preserve">Isauria</t>
  </si>
  <si>
    <t xml:space="preserve">Kotrada</t>
  </si>
  <si>
    <t xml:space="preserve">Κότραδα</t>
  </si>
  <si>
    <t xml:space="preserve">Cotrada; Kotrades/Kotradeis (Notitiae); Ano Kotradis, Klima Kotradon (Barrington)</t>
  </si>
  <si>
    <t xml:space="preserve">Ano Kotradis, near Göktepe on the Karaman–Antalya border (Gazipaşa, Antalya)</t>
  </si>
  <si>
    <t xml:space="preserve">AD 680</t>
  </si>
  <si>
    <t xml:space="preserve">see of Isauria in the Notitiae; bishops 680–81, 787</t>
  </si>
  <si>
    <t xml:space="preserve">Native Isaurian name; Barrington locates 'Ano Kotradis' on the Karaman–Antalya border (seed coordinates fall just inside Antalya). Border case, included because seeded here.</t>
  </si>
  <si>
    <t xml:space="preserve">Pleiades 648558; TIB 5 (Hild &amp; Hellenkemper 1990); Barrington 66 A3</t>
  </si>
  <si>
    <t xml:space="preserve">first attested bishop at Constantinople 680–81 (also Nicaea 787)</t>
  </si>
  <si>
    <t xml:space="preserve">C404</t>
  </si>
  <si>
    <t xml:space="preserve">Mousbanda</t>
  </si>
  <si>
    <t xml:space="preserve">Μουσβάνδα</t>
  </si>
  <si>
    <t xml:space="preserve">Musbanda; Mousbada</t>
  </si>
  <si>
    <t xml:space="preserve">near Dumlugöze (Sarıveliler, Karaman)</t>
  </si>
  <si>
    <t xml:space="preserve">see of Isauria (Notitiae); bishop 787</t>
  </si>
  <si>
    <t xml:space="preserve">Small Isaurian highland see; native name.</t>
  </si>
  <si>
    <t xml:space="preserve">Pleiades 648712; TIB 5; Wikipedia: Musbanda</t>
  </si>
  <si>
    <t xml:space="preserve">first attested bishop at Nicaea II (787); probably a see earlier (Isaurian Notitiae)</t>
  </si>
  <si>
    <t xml:space="preserve">C405</t>
  </si>
  <si>
    <t xml:space="preserve">Eirenopolis (Isauria)</t>
  </si>
  <si>
    <t xml:space="preserve">Irenopolis in Isauria</t>
  </si>
  <si>
    <t xml:space="preserve">Çatalbadem</t>
  </si>
  <si>
    <t xml:space="preserve">Çatalbadem / İkizçınar, near Kazancı (Ermenek, Karaman)</t>
  </si>
  <si>
    <t xml:space="preserve">unknown (Greek name suggests a Roman-period foundation or renaming)</t>
  </si>
  <si>
    <t xml:space="preserve">Hierocles; Notitia of Anastasius of Antioch; George of Cyprus; bishops 325, 451, 458, 692, 878</t>
  </si>
  <si>
    <t xml:space="preserve">Not to be confused with Eirenopolis-Neronias in Cilicia Pedias (Antiochus IV). Founder and date of the Isaurian city unknown.</t>
  </si>
  <si>
    <t xml:space="preserve">Pleiades 648627; TIB 5; Wikipedia: Irenopolis (Isauria)</t>
  </si>
  <si>
    <t xml:space="preserve">first bishop (John) at Nicaea 325; Hierocles; Isaurian Decapolis</t>
  </si>
  <si>
    <t xml:space="preserve">An unexcavated Isaurian town known from church lists; no earlier name or settlement is recorded.</t>
  </si>
  <si>
    <t xml:space="preserve">Pleiades 648627; TIB 5</t>
  </si>
  <si>
    <t xml:space="preserve">C406</t>
  </si>
  <si>
    <t xml:space="preserve">Philadelphia (Isauria)</t>
  </si>
  <si>
    <t xml:space="preserve">Philadelpheia tes Kietidos (coins); Philadelphia Minor (titular see)</t>
  </si>
  <si>
    <t xml:space="preserve">İmşi Ören near Gökçeseki (Ermenek, Karaman), tentative</t>
  </si>
  <si>
    <t xml:space="preserve">probably Antiochus IV of Commagene</t>
  </si>
  <si>
    <t xml:space="preserve">coins Trajan–Maximinus (RPC III, IV.3, VI); Hierocles; bishops 381, 451, 787</t>
  </si>
  <si>
    <t xml:space="preserve">Attribution to Antiochus IV is inferred from the dynastic name (cf. Germanikopolis, Iotape); site identification at İmşi Ören tentative.</t>
  </si>
  <si>
    <t xml:space="preserve">Pleiades 648736; RPC III 3211–14; TIB 5; Wikipedia: Philadelphia (Cilicia)</t>
  </si>
  <si>
    <t xml:space="preserve">dynastic name: probably founded or renamed by Antiochus IV of Commagene, king of Cilicia Tracheia (AD 38–72); coins from Trajan ('Philadelpheis of the Kietis')</t>
  </si>
  <si>
    <t xml:space="preserve">The site (İmşi Ören) is tentative and unexcavated. The coin legend 'of the Kietis' names a native district, not an earlier town on the site.</t>
  </si>
  <si>
    <t xml:space="preserve">Pleiades 648736; TIB 5</t>
  </si>
  <si>
    <t xml:space="preserve">C407</t>
  </si>
  <si>
    <t xml:space="preserve">Germanicopolis (Isauria)</t>
  </si>
  <si>
    <t xml:space="preserve">Γερμανικόπολις</t>
  </si>
  <si>
    <t xml:space="preserve">Hadriane Germanikopolis (coins under Hadrian); Klibanos?; Germanig/Ermenak (medieval)</t>
  </si>
  <si>
    <t xml:space="preserve">Ermenek</t>
  </si>
  <si>
    <t xml:space="preserve">Ermenek (Karaman)</t>
  </si>
  <si>
    <t xml:space="preserve">c. AD 40</t>
  </si>
  <si>
    <t xml:space="preserve">Antiochus IV of Commagene (probable), honouring Germanicus</t>
  </si>
  <si>
    <t xml:space="preserve">coins Hadrian–Marcus/Verus (RPC III 3207–10, IV.3); Hierocles; bishops 451, 787, 879</t>
  </si>
  <si>
    <t xml:space="preserve">Ermenek derives from Germanik(opolis). Identification with Klibanos uncertain.</t>
  </si>
  <si>
    <t xml:space="preserve">Pleiades 648635; RPC III 3207–10; TIB 5; Wikipedia: Ermenek</t>
  </si>
  <si>
    <t xml:space="preserve">named after Germanicus, most likely under Caligula when Antiochus IV of Commagene received Cilicia Tracheia (AD 38); coins from Hadrian</t>
  </si>
  <si>
    <t xml:space="preserve">No archaeology at Ermenek earlier than Roman. Local claims of Hittite origins rest on place-name etymology only; the equation with Klibanos is uncertain and would not show a pre-Greek town anyway.</t>
  </si>
  <si>
    <t xml:space="preserve">Pleiades 648635; en.wikipedia Ermenek; ermenek tarihi (meb.k12.tr school page, unreliable)</t>
  </si>
  <si>
    <t xml:space="preserve">C408</t>
  </si>
  <si>
    <t xml:space="preserve">Adrassus</t>
  </si>
  <si>
    <t xml:space="preserve">Ἀδρασός</t>
  </si>
  <si>
    <t xml:space="preserve">Adrasos</t>
  </si>
  <si>
    <t xml:space="preserve">near Balabolu (Mut, Mersin), on the Karaman border</t>
  </si>
  <si>
    <t xml:space="preserve">see of Isauria (Notitiae); bishop 553</t>
  </si>
  <si>
    <t xml:space="preserve">Native (-ssos) name. Site just across the Karaman border in Mersin; border case included from seed.</t>
  </si>
  <si>
    <t xml:space="preserve">Pleiades 648549; TIB 5; Wikipedia: Adrasus</t>
  </si>
  <si>
    <t xml:space="preserve">first attested bishop at Constantinople 553</t>
  </si>
  <si>
    <t xml:space="preserve">C409</t>
  </si>
  <si>
    <t xml:space="preserve">Zenonopolis (Isauria)</t>
  </si>
  <si>
    <t xml:space="preserve">Ζηνωνούπολις</t>
  </si>
  <si>
    <t xml:space="preserve">Rousoumblada (native village, birthplace of Zeno); Zenopolis</t>
  </si>
  <si>
    <t xml:space="preserve">near Elmayurdu (Isnebol), Ermenek (Karaman)</t>
  </si>
  <si>
    <t xml:space="preserve">c. AD 480</t>
  </si>
  <si>
    <t xml:space="preserve">Zeno</t>
  </si>
  <si>
    <t xml:space="preserve">Isaurian Decapolis (George of Cyprus, Const. Porph.); bishops 553?, 680–81, 787</t>
  </si>
  <si>
    <t xml:space="preserve">Equation with Rousoumblada (Ramsay) and the exact site are uncertain (Pleiades marks the identification with ?).</t>
  </si>
  <si>
    <t xml:space="preserve">Pleiades 648758; TIB 5; Wikipedia: Zenopolis (Isauria)</t>
  </si>
  <si>
    <t xml:space="preserve">Zeno's native place raised to city and renamed after him (474–491)</t>
  </si>
  <si>
    <t xml:space="preserve">C410</t>
  </si>
  <si>
    <t xml:space="preserve">Lauzadus</t>
  </si>
  <si>
    <t xml:space="preserve">Λαύζαδος</t>
  </si>
  <si>
    <t xml:space="preserve">Lauzados; Lauzadeai</t>
  </si>
  <si>
    <t xml:space="preserve">near Başyayla (Karaman)</t>
  </si>
  <si>
    <t xml:space="preserve">c. AD 570</t>
  </si>
  <si>
    <t xml:space="preserve">see of Isauria (Notitiae); titular see</t>
  </si>
  <si>
    <t xml:space="preserve">Native name; few data. Date is the earliest certain episcopal listing.</t>
  </si>
  <si>
    <t xml:space="preserve">Pleiades 648695; TIB 5; Wikipedia: Lauzadus</t>
  </si>
  <si>
    <t xml:space="preserve">listed as a see of Isauria in the Notitiae (Antiochene list c. 570 and later)</t>
  </si>
  <si>
    <t xml:space="preserve">C411</t>
  </si>
  <si>
    <t xml:space="preserve">Sbide</t>
  </si>
  <si>
    <t xml:space="preserve">Σβίδη</t>
  </si>
  <si>
    <t xml:space="preserve">Sbida</t>
  </si>
  <si>
    <t xml:space="preserve">near Yukarıçağlar (Ermenek, Karaman)</t>
  </si>
  <si>
    <t xml:space="preserve">Native name; minimal evidence beyond episcopal lists.</t>
  </si>
  <si>
    <t xml:space="preserve">Pleiades 648767; TIB 5; Wikipedia: Sbida</t>
  </si>
  <si>
    <t xml:space="preserve">listed as a see of Isauria in the Notitiae (6th–7th c.)</t>
  </si>
  <si>
    <t xml:space="preserve">C412</t>
  </si>
  <si>
    <t xml:space="preserve">Dalisandus (Lycaonia/Pamphylia)</t>
  </si>
  <si>
    <t xml:space="preserve">Δαλισανδός</t>
  </si>
  <si>
    <t xml:space="preserve">Dalisandos</t>
  </si>
  <si>
    <t xml:space="preserve">Sarıoğlan</t>
  </si>
  <si>
    <t xml:space="preserve">Sarıoğlan (Belören in Barrington) (Bozkır, Konya)</t>
  </si>
  <si>
    <t xml:space="preserve">c. AD 163</t>
  </si>
  <si>
    <t xml:space="preserve">coins Marcus/Verus and Philip I (RPC IV.3, VIII); see in the Notitiae under Side</t>
  </si>
  <si>
    <t xml:space="preserve">Commonly identified with Belören (Bozkır); Fasıllar and the Seydişehir area have also been proposed. A homonymous Isaurian Dalisandos (Hierocles) is unlocated and not included.</t>
  </si>
  <si>
    <t xml:space="preserve">Pleiades 652334; RPC IV.3 (Dalisandus); Wikipedia: Dalisandus in Pamphylia</t>
  </si>
  <si>
    <t xml:space="preserve">Greek civic coins (Lycaonian koinon issues) under Marcus Aurelius and Lucius Verus (c. 163–169)</t>
  </si>
  <si>
    <t xml:space="preserve">C413</t>
  </si>
  <si>
    <t xml:space="preserve">Isaura (Nea)</t>
  </si>
  <si>
    <t xml:space="preserve">Ἴσαυρα</t>
  </si>
  <si>
    <t xml:space="preserve">Isaura Nea; Isauropolis (see merged with it); Leontopolis (medieval Roman)</t>
  </si>
  <si>
    <t xml:space="preserve">Zengibar Kalesi near Hacılar, c. 19 km E of Bozkır (Bozkır, Konya)</t>
  </si>
  <si>
    <t xml:space="preserve">Amyntas of Galatia (refounded the native town as Isaura Nea)</t>
  </si>
  <si>
    <t xml:space="preserve">Strabo 12.6.3; Greek civic inscriptions; coins Antoninus Pius–Severus Alexander (RPC IV.3, V.3, VI); bishops 325, 381, 451; Hierocles</t>
  </si>
  <si>
    <t xml:space="preserve">Old vs New Isaura is disputed: most place the Roman city (Amyntas' Isaura Nea) at Zengibar Kalesi, with Old Isaura nearby (Pleiades 648652, 'Isaura Vetus/Isauropolis?'); Ramsay put Isaura Nea at Dorla (Aydoğmuş).</t>
  </si>
  <si>
    <t xml:space="preserve">Pleiades 648651; Strabo 12.6.3; Diodorus 18.22; RPC IV.3 5730; Wikipedia: Isaura Nea</t>
  </si>
  <si>
    <t xml:space="preserve">native Isaurian town (sacked by Perdiccas 322 BC and by Servilius Isauricus 75 BC); rebuilt with new walls by Amyntas of Galatia (c. 36–25 BC, Strabo 12.6.3); Greek civic coins from Antoninus Pius</t>
  </si>
  <si>
    <t xml:space="preserve">C414</t>
  </si>
  <si>
    <t xml:space="preserve">Umanada</t>
  </si>
  <si>
    <t xml:space="preserve">Ὁμόναδα</t>
  </si>
  <si>
    <t xml:space="preserve">Homonada; Homona; Homonanda (capital of the Homonadeis)</t>
  </si>
  <si>
    <t xml:space="preserve">SW of Lake Suğla (Trogitis), near Yalıhüyük (Seydişehir, Konya)</t>
  </si>
  <si>
    <t xml:space="preserve">Pliny NH 5.94; Hierocles; bishops 325, 381</t>
  </si>
  <si>
    <t xml:space="preserve">Chief place of the Homonadeis, subdued by Quirinius c. 5–3 BC; site located only approximately (seed 'modern view').</t>
  </si>
  <si>
    <t xml:space="preserve">Pliny NH 5.94; Strabo 12.6.5; Wikipedia: Homana; TIB 4</t>
  </si>
  <si>
    <t xml:space="preserve">first bishop at Nicaea 325 (also 381); Hierocles (Umanada)</t>
  </si>
  <si>
    <t xml:space="preserve">C415</t>
  </si>
  <si>
    <t xml:space="preserve">Nicopolis (Syria)</t>
  </si>
  <si>
    <t xml:space="preserve">Νικόπολις</t>
  </si>
  <si>
    <t xml:space="preserve">Nikopolis Seleukidos (civic coins)</t>
  </si>
  <si>
    <t xml:space="preserve">İslahiye</t>
  </si>
  <si>
    <t xml:space="preserve">İslahiye (İslahiye, Gaziantep)</t>
  </si>
  <si>
    <t xml:space="preserve">Gaziantep</t>
  </si>
  <si>
    <t xml:space="preserve">Southeastern Anatolia</t>
  </si>
  <si>
    <t xml:space="preserve">Seleucus I (claimed on civic coins); a link with Alexander's victory at Issus has also been suggested</t>
  </si>
  <si>
    <t xml:space="preserve">Cohen 2006 (Nikopolis); civic coins Commodus–Philip (ΝΙΚΟΠΟΛΕΙΤΩΝ ΣΕΛΕΥΚΙΔΟΣ); late Roman see</t>
  </si>
  <si>
    <t xml:space="preserve">Aramaic/Syriac probably widespread by late antiquity</t>
  </si>
  <si>
    <t xml:space="preserve">Attribution of the 'Nikopolis Seleukidos' coins to the İslahiye site is the usual one but not certain; distinct from Nicopolis near Issus on the Cilician coast if that was a separate town.</t>
  </si>
  <si>
    <t xml:space="preserve">Cohen 2006, 120–21; Pleiades 658547; RPC online: Nicopolis Seleucidis; Wikipedia: Nicopolis (Cilicia)</t>
  </si>
  <si>
    <t xml:space="preserve">Hellenistic foundation; Roman-period civic coins of Nikopolis Seleukidos show Seleucus I crowning the city's Tyche, i.e. claim him as founder (c. 300 BC)</t>
  </si>
  <si>
    <t xml:space="preserve">No pre-Hellenistic level is reported at the Nikopolis ruins by İslahiye. A Late Hittite storm-god stele (Kazdağı/İslahiye stele) comes from Kazdağı Tepe c. 1 km away. Hamaç Höyük in İslahiye district has Middle Iron Age to Hellenistic levels. Neolithic–MBA Tilmen Höyük is 7 km away. None is shown to be the city site.</t>
  </si>
  <si>
    <t xml:space="preserve">vici.org/vici/29229 (Kazdağı stele); dha.com.tr Hamaç Höyük 2022; Pleiades 658547</t>
  </si>
  <si>
    <t xml:space="preserve">C416</t>
  </si>
  <si>
    <t xml:space="preserve">Europus (Carchemish)</t>
  </si>
  <si>
    <t xml:space="preserve">Εὔρωπος</t>
  </si>
  <si>
    <t xml:space="preserve">Europos (Seleucid); Jerablus/Jerabis (medieval)</t>
  </si>
  <si>
    <t xml:space="preserve">Karkamış (Karkamış, Gaziantep): acropolis and inner town in Turkey, outer town in Syria (Jarabulus)</t>
  </si>
  <si>
    <t xml:space="preserve">Seleucus I (probable)</t>
  </si>
  <si>
    <t xml:space="preserve">Karkamiš (Hittite)</t>
  </si>
  <si>
    <t xml:space="preserve">Kargamiš/Karkamiš in Ebla, Mari, Hittite and Assyrian texts; Hittite viceregal seat and Neo-Hittite capital; identification certain.</t>
  </si>
  <si>
    <t xml:space="preserve">Cohen 2006, 169; Pliny 5.87; Ptolemy; walls rebuilt by Justinian (Procopius, Aed. 2.9)</t>
  </si>
  <si>
    <t xml:space="preserve">Aramaic/Syriac majority in Roman and late antique times</t>
  </si>
  <si>
    <t xml:space="preserve">About 55 of the site's 90 ha, including the acropolis and inner town, are in Turkey; the modern Karkamış district town beside the site is named after it. Abandoned after the Abbasid period.</t>
  </si>
  <si>
    <t xml:space="preserve">Cohen 2006, 169; Pliny NH 5.87; Pleiades 658465; Wikipedia: Carchemish</t>
  </si>
  <si>
    <t xml:space="preserve">Seleucid refoundation as Europos (after Europos in Macedonia), probably under Seleucus I c. 300 BC; Hellenistic rebuilding found in excavation</t>
  </si>
  <si>
    <t xml:space="preserve">C417</t>
  </si>
  <si>
    <t xml:space="preserve">Phrygia</t>
  </si>
  <si>
    <t xml:space="preserve">Temenothyrae</t>
  </si>
  <si>
    <t xml:space="preserve">Τημενοθυραί</t>
  </si>
  <si>
    <t xml:space="preserve">Temeneia? (Pleiades variant)</t>
  </si>
  <si>
    <t xml:space="preserve">Uşak (Uşak)</t>
  </si>
  <si>
    <t xml:space="preserve">Temenos (myth, on coins)</t>
  </si>
  <si>
    <t xml:space="preserve">Roman coins; Ptolemy; Hierocles; bishops 451, 787</t>
  </si>
  <si>
    <t xml:space="preserve">It lies on the Lydian–Phrygian border (Ptolemy calls it Mysian). The start of the coinage is approximate.</t>
  </si>
  <si>
    <t xml:space="preserve">Drew-Bear 1979; Pleiades 609549; Wikipedia: Temenothyrae</t>
  </si>
  <si>
    <t xml:space="preserve">first attested by Roman provincial coins (1st–3rd c. AD), some with the founder-hero Temenos</t>
  </si>
  <si>
    <t xml:space="preserve">C418</t>
  </si>
  <si>
    <t xml:space="preserve">Traianopolis (Phrygia)</t>
  </si>
  <si>
    <t xml:space="preserve">Τραϊανούπολις</t>
  </si>
  <si>
    <t xml:space="preserve">Grimenothyrai (the earlier community; ethnic Τραιανοπολεῖται Γριμενοθυρεῖς)</t>
  </si>
  <si>
    <t xml:space="preserve">near Ortaköy / Çarıkköy (Merkez, Uşak)</t>
  </si>
  <si>
    <t xml:space="preserve">c. AD 120</t>
  </si>
  <si>
    <t xml:space="preserve">Hadrian (named after Trajan)</t>
  </si>
  <si>
    <t xml:space="preserve">Hadrian's letter to the Grimenothyritai; Roman coins; Ptolemy; Hierocles; bishops 459–879 (553, 787 in seed)</t>
  </si>
  <si>
    <t xml:space="preserve">The site has been placed at Çarıkköy (Radet), Giaurören (Ramsay) or Ortaköy (most recent). Grimenothyrai was a native community. Some sources date the foundation c. 109, which conflicts with Hadrian's role.</t>
  </si>
  <si>
    <t xml:space="preserve">Ptolemy 5.2; MAMA XI (Sebaste/Traianopolis); Pleiades 609559; Wikipedia: Traianopolis (Phrygia)</t>
  </si>
  <si>
    <t xml:space="preserve">city founded in Trajan's name for the Grimenothyritai with Hadrian's permission, c. AD 117–125; coins</t>
  </si>
  <si>
    <t xml:space="preserve">C419</t>
  </si>
  <si>
    <t xml:space="preserve">Acmonia</t>
  </si>
  <si>
    <t xml:space="preserve">Ἀκμονία</t>
  </si>
  <si>
    <t xml:space="preserve">Akmoneia</t>
  </si>
  <si>
    <t xml:space="preserve">Ahat</t>
  </si>
  <si>
    <t xml:space="preserve">Ahat (Banaz, Uşak)</t>
  </si>
  <si>
    <t xml:space="preserve">Akmon son of Manes (myth, Stephanus)</t>
  </si>
  <si>
    <t xml:space="preserve">Hellenistic &amp; Roman coins; Cicero, Pro Flacco; Hierocles; bishops 451, 459, 787, 869, 879</t>
  </si>
  <si>
    <t xml:space="preserve">A Phrygian town on the Dorylaion–Philadelphia road. Notable Jewish community (synagogue of Iulia Severa under Nero). The exact start of polis institutions is not fixed.</t>
  </si>
  <si>
    <t xml:space="preserve">Cicero, Pro Flacco; MAMA VI; Thonemann (ed.), Roman Phrygia (2013); Pleiades 609293; Wikipedia: Acmonia</t>
  </si>
  <si>
    <t xml:space="preserve">Hellenistic civic coinage and decrees (2nd–1st c. BC); Cicero (Pro Flacco) cites an Akmonian civic decree (59 BC)</t>
  </si>
  <si>
    <t xml:space="preserve">C420</t>
  </si>
  <si>
    <t xml:space="preserve">Diocleia (Phrygia)</t>
  </si>
  <si>
    <t xml:space="preserve">Διόκλεια</t>
  </si>
  <si>
    <t xml:space="preserve">name preserved in nearby Doğla/Dolay</t>
  </si>
  <si>
    <t xml:space="preserve">near Yeşilhisar / Doğla, SW flank of Ahır Dağı (Afyonkarahisar–Uşak border)</t>
  </si>
  <si>
    <t xml:space="preserve">Afyonkarahisar</t>
  </si>
  <si>
    <t xml:space="preserve">Roman coins (Elagabalus); bishops 431/451, 11th c.; Notitiae</t>
  </si>
  <si>
    <t xml:space="preserve">Border case: the Pleiades point lies about 1 km inside Afyonkarahisar on coarse province boundaries.</t>
  </si>
  <si>
    <t xml:space="preserve">Pleiades 609362; Wikipedia: Diocleia (Phrygia); TIB 7 (Phrygien)</t>
  </si>
  <si>
    <t xml:space="preserve">first attested by Roman provincial coins (Severan, early 3rd c. AD); bishop Constantius 431/451</t>
  </si>
  <si>
    <t xml:space="preserve">C421</t>
  </si>
  <si>
    <t xml:space="preserve">Sebaste (Phrygia)</t>
  </si>
  <si>
    <t xml:space="preserve">Σεβαστή</t>
  </si>
  <si>
    <t xml:space="preserve">name preserved in nearby Sivaslı</t>
  </si>
  <si>
    <t xml:space="preserve">Selçikler</t>
  </si>
  <si>
    <t xml:space="preserve">Selçikler (Sivaslı, Uşak)</t>
  </si>
  <si>
    <t xml:space="preserve">Roman coins; MAMA XI 65–89; Hierocles; bishop 451</t>
  </si>
  <si>
    <t xml:space="preserve">Villages in its territory included Eibeos (Payamalanı) and Dioskome. Excavations 1966–78 at Selçikler. The district town Sivaslı (Turkish 'from Sebaste') preserves the name.</t>
  </si>
  <si>
    <t xml:space="preserve">MAMA XI (Sebaste); Pleiades 609521; Wikipedia: Sebaste (Phrygia)</t>
  </si>
  <si>
    <t xml:space="preserve">founded by Augustus through a synoecism of local villages (27 BC–AD 14); Roman coins</t>
  </si>
  <si>
    <t xml:space="preserve">Downgraded from 'yes', pending the primary report. Asgari's TAD article notes only that Fıratlı's Selçikler excavation report (TAD 19.2, 1970) 'gives information' on the prehistoric period, the 5th c. BC, and the Roman and Byzantine periods. It gives no findspot or stratigraphy, and I could not access Fıratlı's report. The 5th-c. BC tumuli (İzmirligil, TAD 22.1, 1975) are burials near, not a settlement on, the city site. A Turkish history-journal article (Toruk 2013) claiming EBA/Chalcolithic 'tumuli' and Hittites is muddled and was rejected. Strong lead: check Fıratlı TAD 19.2 and Mellink's AJA summaries.</t>
  </si>
  <si>
    <t xml:space="preserve">N. Asgari, 'Uşak Selçikler ve çevresinden Roma çağı lahitleri ve mermer ocakları', TAD (taed.ktb.gov.tr/Eklenti/109260,59nusinpdf.pdf; cites Fıratlı TAD 19.2 and İzmirligil TAD 22.1); F. Toruk 2013 (erdem.gov.tr/tam-metin-pdf/116/tur; rejected); en.wikipedia Selçikler; Pleiades 609521 (Roman/Late Antique only)</t>
  </si>
  <si>
    <t xml:space="preserve">C422</t>
  </si>
  <si>
    <t xml:space="preserve">Bria</t>
  </si>
  <si>
    <t xml:space="preserve">Βρία</t>
  </si>
  <si>
    <t xml:space="preserve">unlocated, Phrygia Pacatiana south of Akmonia (Uşak)</t>
  </si>
  <si>
    <t xml:space="preserve">The name is the Thraco-Phrygian word for "town".</t>
  </si>
  <si>
    <t xml:space="preserve">Severan coins; bishop 536; Notitiae (suffragan of Laodicea)</t>
  </si>
  <si>
    <t xml:space="preserve">Site not located.</t>
  </si>
  <si>
    <t xml:space="preserve">Wikipedia: Bria (Phrygia)</t>
  </si>
  <si>
    <t xml:space="preserve">Roman provincial coins under the Severans (c. 200); bishop Macedonius 536</t>
  </si>
  <si>
    <t xml:space="preserve">C423</t>
  </si>
  <si>
    <t xml:space="preserve">Ceretapa (Keretapa)</t>
  </si>
  <si>
    <t xml:space="preserve">Κερετάπα</t>
  </si>
  <si>
    <t xml:space="preserve">Diokaisareia</t>
  </si>
  <si>
    <t xml:space="preserve">Kayadibi</t>
  </si>
  <si>
    <t xml:space="preserve">near Kayadibi (Yeşilova, Burdur)</t>
  </si>
  <si>
    <t xml:space="preserve">Roman imperial coins; bishops 431, 787</t>
  </si>
  <si>
    <t xml:space="preserve">Phrygian town near Lake Salda; site 'Keretapa?' in Barrington. Also called Diokaisareia (date of the name unknown).</t>
  </si>
  <si>
    <t xml:space="preserve">Pleiades 638914; Wikipedia: Ceretapa</t>
  </si>
  <si>
    <t xml:space="preserve">Roman imperial coins (ΚΕΡΕΤΑΠΕΩΝ, with the spring Aulindenos)</t>
  </si>
  <si>
    <t xml:space="preserve">C424</t>
  </si>
  <si>
    <t xml:space="preserve">Eriza</t>
  </si>
  <si>
    <t xml:space="preserve">Ἔριζα</t>
  </si>
  <si>
    <t xml:space="preserve">near Acıpayam, in the Acıpayam (Karayük) plain (Acıpayam, Denizli)</t>
  </si>
  <si>
    <t xml:space="preserve">Native (Kabalian/Pisidian-Phrygian) community; no pre-Greek attestation of the name</t>
  </si>
  <si>
    <t xml:space="preserve">coins Hellenistic–Severan; Hierocles (Caria); bishops 451, 680/81</t>
  </si>
  <si>
    <t xml:space="preserve">BAtlas left Eriza unlocated ('Karayük plain'); modern view (Malay) places it near Acıpayam. Coordinates from the council-sees seed.</t>
  </si>
  <si>
    <t xml:space="preserve">Pleiades 642521; Aulock, Münzen und Städte Phrygiens; Malay, Antik devirde Acıpayam vadisi; Hierocles, Synecdemus</t>
  </si>
  <si>
    <t xml:space="preserve">Hellenistic town; own coinage from the 2nd/1st c. BC (Aulock: 200–10 BC) to Geta</t>
  </si>
  <si>
    <t xml:space="preserve">C425</t>
  </si>
  <si>
    <t xml:space="preserve">Themisonium</t>
  </si>
  <si>
    <t xml:space="preserve">Θεμισώνιον</t>
  </si>
  <si>
    <t xml:space="preserve">Themisonion</t>
  </si>
  <si>
    <t xml:space="preserve">Acıpayam (Karayük) plain, site not fixed (Acıpayam area, Denizli)</t>
  </si>
  <si>
    <t xml:space="preserve">probably Antiochus II (named after his favourite Themison)</t>
  </si>
  <si>
    <t xml:space="preserve">Strabo 12.8.13; Pausanias 10.32.4; Roman coins; Hierocles; see of Phrygia Pacatiana</t>
  </si>
  <si>
    <t xml:space="preserve">Seleucid origin inferred from the name (Cohen); site unlocated in the Karayük (Acıpayam) plain per BAtlas directory, so could lie just across the Burdur border.</t>
  </si>
  <si>
    <t xml:space="preserve">Pleiades 642565; Cohen 1995; Pausanias 10.32.4; Strabo 12.8.13</t>
  </si>
  <si>
    <t xml:space="preserve">probably named after Themison, favourite of Antiochus II (c. 261–246 BC); mentioned by Pausanias for the Gallic invasion (3rd c. BC); Roman coins</t>
  </si>
  <si>
    <t xml:space="preserve">Unlocated in the Karayük/Acıpayam plain. Pausanias (10.32.4) mentions the Themisonians' refuge cave during the Galatian invasion, but there is no evidence about the earlier occupation of the city site.</t>
  </si>
  <si>
    <t xml:space="preserve">Paus. 10.32.4; Pleiades 642565; knowledge: Cohen 1995</t>
  </si>
  <si>
    <t xml:space="preserve">C426</t>
  </si>
  <si>
    <t xml:space="preserve">Valentia</t>
  </si>
  <si>
    <t xml:space="preserve">Οὐαλεντία</t>
  </si>
  <si>
    <t xml:space="preserve">unlocated, Themisonion region (Acıpayam plain, Denizli)</t>
  </si>
  <si>
    <t xml:space="preserve">c. AD 370</t>
  </si>
  <si>
    <t xml:space="preserve">a 4th-c. emperor (name; Valens?)</t>
  </si>
  <si>
    <t xml:space="preserve">see in Notitiae (Phrygia Pacatiana)</t>
  </si>
  <si>
    <t xml:space="preserve">Only known as a bishopric; founder inferred from the name. Region from BAtlas directory ('Themisonion region').</t>
  </si>
  <si>
    <t xml:space="preserve">Pleiades 642550; BAtlas 65 unlocated; Notitiae episcopatuum</t>
  </si>
  <si>
    <t xml:space="preserve">late Roman city named after an emperor (Valens or Valentinian?), 4th c.; see in Phrygia Pacatiana</t>
  </si>
  <si>
    <t xml:space="preserve">Unlocated; known only as a late Roman bishopric.</t>
  </si>
  <si>
    <t xml:space="preserve">Pleiades 642550 (BAtlas 65 unlocated)</t>
  </si>
  <si>
    <t xml:space="preserve">C427</t>
  </si>
  <si>
    <t xml:space="preserve">Hydrela</t>
  </si>
  <si>
    <t xml:space="preserve">Ὕδρηλα</t>
  </si>
  <si>
    <t xml:space="preserve">unlocated; south (left) bank of the Maeander opposite Tripolis, between Lykos and Maeander (Sarayköy area, Denizli)</t>
  </si>
  <si>
    <t xml:space="preserve">c. 125 BC</t>
  </si>
  <si>
    <t xml:space="preserve">coins late Hellenistic–Roman; Strabo 14.1.46; Pliny (Hydrelitae)</t>
  </si>
  <si>
    <t xml:space="preserve">Ramsay placed it on the left bank of the Maeander opposite Tripolis; may lie in Aydın (Buharkent) rather than Denizli.</t>
  </si>
  <si>
    <t xml:space="preserve">Pleiades 642528; Strabo 14.1.46; Ramsay, CBP I; Wildwinds: Hydrela</t>
  </si>
  <si>
    <t xml:space="preserve">coins from c. 133–100 BC into the 3rd c. AD</t>
  </si>
  <si>
    <t xml:space="preserve">C428</t>
  </si>
  <si>
    <t xml:space="preserve">Laodicea on the Lycus</t>
  </si>
  <si>
    <t xml:space="preserve">Λαοδίκεια</t>
  </si>
  <si>
    <t xml:space="preserve">Diospolis, Rhoas (earlier names, Pliny); Lādik (medieval Turkish)</t>
  </si>
  <si>
    <t xml:space="preserve">Eskihisar/Goncalı, 6 km N of Denizli (Pamukkale/Merkezefendi, Denizli)</t>
  </si>
  <si>
    <t xml:space="preserve">c. 255 BC</t>
  </si>
  <si>
    <t xml:space="preserve">Antiochus II</t>
  </si>
  <si>
    <t xml:space="preserve">Pliny's earlier names Diospolis/Rhoas are known only from Greek/Latin sources; prehistoric (Chalcolithic) occupation on the Asopos hill</t>
  </si>
  <si>
    <t xml:space="preserve">Hellenistic &amp; Roman coins; metropolis of Phrygia Pacatiana; bishops 325–787 and later</t>
  </si>
  <si>
    <t xml:space="preserve">The medieval town (Turkish Lādik) shifted to modern Denizli after the Turkish conquest (late 12th–13th c.).</t>
  </si>
  <si>
    <t xml:space="preserve">Pleiades 638955; Cohen 1995; Pliny NH 5.105; Strabo 12.8.16</t>
  </si>
  <si>
    <t xml:space="preserve">founded by Antiochus II (261–253 BC), named after his wife Laodike</t>
  </si>
  <si>
    <t xml:space="preserve">C429</t>
  </si>
  <si>
    <t xml:space="preserve">Hierapolis</t>
  </si>
  <si>
    <t xml:space="preserve">Ἱεράπολις</t>
  </si>
  <si>
    <t xml:space="preserve">Pamukkale (Pamukkale, Denizli)</t>
  </si>
  <si>
    <t xml:space="preserve">Antiochus I (Seleucid); refounded/privileged by Eumenes II</t>
  </si>
  <si>
    <t xml:space="preserve">Phrygian sanctuary of the Mother (Plutonion) and Iron Age structures found 2016</t>
  </si>
  <si>
    <t xml:space="preserve">coins from 2nd c. BC; Hierocles; metropolis from 531; bishops 325–787</t>
  </si>
  <si>
    <t xml:space="preserve">Foundation date disputed (3rd c. BC Seleucid vs early 2nd c. BC Attalid); abandoned c. 1220 after the Seljuk takeover.</t>
  </si>
  <si>
    <t xml:space="preserve">Pleiades 638860; D'Andria 2001; Cohen 1995; Wikipedia: Hierapolis</t>
  </si>
  <si>
    <t xml:space="preserve">Seleucid foundation under Antiochus I (281–261 BC) per excavators; polis status confirmed by Eumenes II after 188 BC</t>
  </si>
  <si>
    <t xml:space="preserve">C430</t>
  </si>
  <si>
    <t xml:space="preserve">Colossae</t>
  </si>
  <si>
    <t xml:space="preserve">Κολοσσαί</t>
  </si>
  <si>
    <t xml:space="preserve">3 km N of Honaz (Honaz, Denizli)</t>
  </si>
  <si>
    <t xml:space="preserve">Called 'a great city of Phrygia' by Herodotus; no native-script attestation of the name</t>
  </si>
  <si>
    <t xml:space="preserve">Hellenistic &amp; Roman coins; Paul's Letter to the Colossians; bishops to 451, then see moved to Chonai</t>
  </si>
  <si>
    <t xml:space="preserve">Unexcavated mound; replaced by Chonai (Honaz) in the early Middle Ages.</t>
  </si>
  <si>
    <t xml:space="preserve">Pleiades 638811; Herodotus 7.30; Xenophon, Anabasis 1.2.6; Wikipedia: Colossae</t>
  </si>
  <si>
    <t xml:space="preserve">Phrygian city (Hdt. 7.30, 480 BC; Xen. Anab. 1.2.6); Greek civic coinage from the 2nd/1st c. BC</t>
  </si>
  <si>
    <t xml:space="preserve">C431</t>
  </si>
  <si>
    <t xml:space="preserve">Chonae</t>
  </si>
  <si>
    <t xml:space="preserve">Χῶναι</t>
  </si>
  <si>
    <t xml:space="preserve">Honaz</t>
  </si>
  <si>
    <t xml:space="preserve">Honaz (Honaz, Denizli)</t>
  </si>
  <si>
    <t xml:space="preserve">bishop 787; metropolitan see from 858; medieval Roman city (Niketas Choniates)</t>
  </si>
  <si>
    <t xml:space="preserve">Medieval successor of Colossae around the pilgrimage church of St Michael; sacked by Seljuks 1070, Turkish from the early 13th c.</t>
  </si>
  <si>
    <t xml:space="preserve">Wikipedia: Chonae; TIB 7 (Belke &amp; Mersich 1990); Council-sees seed (Nicaea 787)</t>
  </si>
  <si>
    <t xml:space="preserve">see of Chonai attested at Nicaea II (787); metropolis 858</t>
  </si>
  <si>
    <t xml:space="preserve">No pre-Greek finds reported at Honaz itself. Chonai succeeded Colossae, a native Phrygian city (Hdt. 7.30; Xen. Anab. 1.2.6) with a prehistoric mound, but the Colossae höyük lies c. 3 km north of Honaz, outside the 1–2 km test.</t>
  </si>
  <si>
    <t xml:space="preserve">Hdt. 7.30; Xen. Anab. 1.2.6; knowledge: Colossae höyük c. 3 km N of Honaz</t>
  </si>
  <si>
    <t xml:space="preserve">C432</t>
  </si>
  <si>
    <t xml:space="preserve">Mossyna</t>
  </si>
  <si>
    <t xml:space="preserve">Μόσσυνα</t>
  </si>
  <si>
    <t xml:space="preserve">Mosyna</t>
  </si>
  <si>
    <t xml:space="preserve">c. 6 km NE of Çal (Çal, Denizli)</t>
  </si>
  <si>
    <t xml:space="preserve">Native name</t>
  </si>
  <si>
    <t xml:space="preserve">Hierocles; bishops 451, 787</t>
  </si>
  <si>
    <t xml:space="preserve">Roman-period community of the Mossyneis known from inscriptions; civic status certain only from the 5th c.</t>
  </si>
  <si>
    <t xml:space="preserve">Pleiades 609476; Hierocles, Synecdemus; Wikipedia: Mossyna</t>
  </si>
  <si>
    <t xml:space="preserve">first attested as a see: bishop at Chalcedon (451); Hierocles</t>
  </si>
  <si>
    <t xml:space="preserve">C433</t>
  </si>
  <si>
    <t xml:space="preserve">Lunda</t>
  </si>
  <si>
    <t xml:space="preserve">Λοῦνδα</t>
  </si>
  <si>
    <t xml:space="preserve">Lounda</t>
  </si>
  <si>
    <t xml:space="preserve">near Çal / Baklan (Denizli)</t>
  </si>
  <si>
    <t xml:space="preserve">Hierocles; Notitiae (titular see Lunda)</t>
  </si>
  <si>
    <t xml:space="preserve">Probably a polis earlier (Roman period) but no earlier civic evidence checked.</t>
  </si>
  <si>
    <t xml:space="preserve">Pleiades 638964; Hierocles, Synecdemus; Notitiae episcopatuum</t>
  </si>
  <si>
    <t xml:space="preserve">city in Hierocles (c. 527); see in the Notitiae</t>
  </si>
  <si>
    <t xml:space="preserve">C434</t>
  </si>
  <si>
    <t xml:space="preserve">Dionysopolis (Phrygia)</t>
  </si>
  <si>
    <t xml:space="preserve">Διονυσόπολις</t>
  </si>
  <si>
    <t xml:space="preserve">Asar Tepe, just S of Bekilli (Bekilli, Denizli)</t>
  </si>
  <si>
    <t xml:space="preserve">c. 175 BC</t>
  </si>
  <si>
    <t xml:space="preserve">Eumenes II and his brother Attalus (II)</t>
  </si>
  <si>
    <t xml:space="preserve">Steph. Byz.; coins 2nd c. BC–3rd c. AD; Pliny; Hierocles; bishop 451</t>
  </si>
  <si>
    <t xml:space="preserve">Exact site not firmly fixed (MAMA XI: Asar Tepe near Bekilli is the best candidate).</t>
  </si>
  <si>
    <t xml:space="preserve">Pleiades 609363; Cohen 1995; MAMA XI: Dionysopolis; Stephanus of Byzantium s.v.</t>
  </si>
  <si>
    <t xml:space="preserve">founded by Eumenes II and Attalus (Steph. Byz.), between 188 and 159 BC</t>
  </si>
  <si>
    <t xml:space="preserve">Steph. Byz. says Eumenes II and Attalus founded it where a xoanon of Dionysus had been found, which suggests a pre-existing cult place but not a settlement. The site (Asar Tepe, Bekilli) is not firmly fixed and is unexcavated.</t>
  </si>
  <si>
    <t xml:space="preserve">Steph. Byz. s.v. Dionysopolis; knowledge: Cohen 1995; Pleiades 609363</t>
  </si>
  <si>
    <t xml:space="preserve">C435</t>
  </si>
  <si>
    <t xml:space="preserve">Hyrgaleis</t>
  </si>
  <si>
    <t xml:space="preserve">Ὑργαλεῖς</t>
  </si>
  <si>
    <t xml:space="preserve">Hyrgaleis (koinon)</t>
  </si>
  <si>
    <t xml:space="preserve">plain N of the Maeander between Dionysopolis and Peltai (near Bekilli/Akkent, Denizli)</t>
  </si>
  <si>
    <t xml:space="preserve">Native ethnic name</t>
  </si>
  <si>
    <t xml:space="preserve">Roman coins (ΥΡΓΑΛΕΩΝ) 138–235</t>
  </si>
  <si>
    <t xml:space="preserve">A federation (koinon) of villages that minted coins rather than a single urban polis; included because it was self-governing.</t>
  </si>
  <si>
    <t xml:space="preserve">Pleiades 609410; SNG von Aulock 3677; Wildwinds: Hyrgaleis</t>
  </si>
  <si>
    <t xml:space="preserve">own coinage from Antoninus Pius (138–141) to Severus Alexander</t>
  </si>
  <si>
    <t xml:space="preserve">C436</t>
  </si>
  <si>
    <t xml:space="preserve">Motella</t>
  </si>
  <si>
    <t xml:space="preserve">Μότελλα</t>
  </si>
  <si>
    <t xml:space="preserve">Metellopolis (Notitiae); Pulcherianopolis (Hierocles)</t>
  </si>
  <si>
    <t xml:space="preserve">Yeşiloba</t>
  </si>
  <si>
    <t xml:space="preserve">Yeşiloba (ancient Medele) (Bekilli, Denizli)</t>
  </si>
  <si>
    <t xml:space="preserve">c. AD 450</t>
  </si>
  <si>
    <t xml:space="preserve">Marcian and Pulcheria (name Pulcherianopolis)</t>
  </si>
  <si>
    <t xml:space="preserve">Phrygian village name Motella in Roman inscriptions</t>
  </si>
  <si>
    <t xml:space="preserve">Hierocles (as Pulcherianopolis); Notitiae (Metellopolis); bishops 556–879</t>
  </si>
  <si>
    <t xml:space="preserve">Identification of Hierocles' Pulcherianopolis with Motella/Metellopolis follows Ramsay; the equation is not certain.</t>
  </si>
  <si>
    <t xml:space="preserve">Pleiades 609478; Pleiades 614816 (Pulcherianopolis); Ramsay, CBP I; Wikipedia: Motella</t>
  </si>
  <si>
    <t xml:space="preserve">raised to a city as Pulcherianopolis, named after the empress Pulcheria (c. 450); bishops 6th–9th c.</t>
  </si>
  <si>
    <t xml:space="preserve">C437</t>
  </si>
  <si>
    <t xml:space="preserve">Siblia</t>
  </si>
  <si>
    <t xml:space="preserve">Σιβλία</t>
  </si>
  <si>
    <t xml:space="preserve">Silbion (Pliny: Silbiani)</t>
  </si>
  <si>
    <t xml:space="preserve">unlocated; between Apamea and Laodikeia (upper Maeander, Denizli)</t>
  </si>
  <si>
    <t xml:space="preserve">c. AD 4</t>
  </si>
  <si>
    <t xml:space="preserve">coins AD 4–217; Pliny NH 5.106; Hierocles; see in Notitiae</t>
  </si>
  <si>
    <t xml:space="preserve">Site unknown (BAtlas: 'Apamea and Laodikeia region'); province attribution is a guess.</t>
  </si>
  <si>
    <t xml:space="preserve">Pleiades 614833; RPC I 3161–3163; Pliny NH 5.106</t>
  </si>
  <si>
    <t xml:space="preserve">own coins from AD 4 (Gaius Caesar) to Caracalla</t>
  </si>
  <si>
    <t xml:space="preserve">C438</t>
  </si>
  <si>
    <t xml:space="preserve">Peltae</t>
  </si>
  <si>
    <t xml:space="preserve">Πέλται</t>
  </si>
  <si>
    <t xml:space="preserve">Peltai</t>
  </si>
  <si>
    <t xml:space="preserve">unlocated; Peltaean plain, probably SW of Eumeneia (Çivril plain, Denizli)</t>
  </si>
  <si>
    <t xml:space="preserve">Macedonian military settlers (probably Seleucid)</t>
  </si>
  <si>
    <t xml:space="preserve">Xenophon (Anab. 1.2.10) calls it a populous city of Phrygia</t>
  </si>
  <si>
    <t xml:space="preserve">Xenophon Anab. 1.2.10; Hellenistic &amp; Roman coins; Pliny; see in Phrygia Pacatiana</t>
  </si>
  <si>
    <t xml:space="preserve">Site unknown (Cohen: probably SW of Eumeneia). A Macedonian katoikia planted in an existing Phrygian town; Seleucid founder inferred, not documented.</t>
  </si>
  <si>
    <t xml:space="preserve">Cohen 1995; Xenophon, Anabasis 1.2.10; Wikipedia: Peltae</t>
  </si>
  <si>
    <t xml:space="preserve">Phrygian town in 401 BC (Xenophon); Macedonian settlers in the Hellenistic period; coins from the 2nd c. BC</t>
  </si>
  <si>
    <t xml:space="preserve">C439</t>
  </si>
  <si>
    <t xml:space="preserve">Eumenia</t>
  </si>
  <si>
    <t xml:space="preserve">Εὐμένεια</t>
  </si>
  <si>
    <t xml:space="preserve">Eumeneia; Fulvia (c. 41–40 BC)</t>
  </si>
  <si>
    <t xml:space="preserve">Işıklı</t>
  </si>
  <si>
    <t xml:space="preserve">Işıklı (Çivril, Denizli)</t>
  </si>
  <si>
    <t xml:space="preserve">Attalus II</t>
  </si>
  <si>
    <t xml:space="preserve">coins 2nd c. BC–3rd c. AD; Pliny; Hierocles; bishops 381, 787</t>
  </si>
  <si>
    <t xml:space="preserve">Briefly renamed Fulvia after Antony's wife (41–40 BC).</t>
  </si>
  <si>
    <t xml:space="preserve">Pleiades 609382; Cohen 1995; Stephanus of Byzantium s.v.</t>
  </si>
  <si>
    <t xml:space="preserve">founded by Attalus II (159–138 BC), named after his brother Eumenes II</t>
  </si>
  <si>
    <t xml:space="preserve">MAMA XI calls it an Attalid foundation of the 160s/150s BC at the foot of Sarıbaba Tepesi. No pre-Hellenistic levels or mound are reported at Işıklı, and there is no positive evidence of new ground either.</t>
  </si>
  <si>
    <t xml:space="preserve">https://mama.csad.ox.ac.uk/monuments/Eumeneia.html ; https://en.wikipedia.org/wiki/Eumeneia</t>
  </si>
  <si>
    <t xml:space="preserve">C440</t>
  </si>
  <si>
    <t xml:space="preserve">Sanaus</t>
  </si>
  <si>
    <t xml:space="preserve">Σαναός</t>
  </si>
  <si>
    <t xml:space="preserve">Anaua (Herodotus 7.30)</t>
  </si>
  <si>
    <t xml:space="preserve">Sarıkavak</t>
  </si>
  <si>
    <t xml:space="preserve">Sarıkavak, near Lake Acıgöl (Dazkırı, Afyonkarahisar)</t>
  </si>
  <si>
    <t xml:space="preserve">Anaua is known only from Herodotus (Greek)</t>
  </si>
  <si>
    <t xml:space="preserve">Herodotus 7.30 (Anaua); Roman coins; Hierocles; bishop 325</t>
  </si>
  <si>
    <t xml:space="preserve">Anaua = Sanaos is the usual identification (Lake Sanaos = Acıgöl); start of coinage not checked.</t>
  </si>
  <si>
    <t xml:space="preserve">Pleiades 638743; Herodotus 7.30; Ramsay, CBP I</t>
  </si>
  <si>
    <t xml:space="preserve">Phrygian town (Herodotus' Anaua, 480 BC); Greek city with Roman imperial coins (ΣΑΝΑΗΝΩΝ); bishop 325</t>
  </si>
  <si>
    <t xml:space="preserve">C441</t>
  </si>
  <si>
    <t xml:space="preserve">Apamea Cibotus</t>
  </si>
  <si>
    <t xml:space="preserve">Ἀπάμεια ἡ Κιβωτός</t>
  </si>
  <si>
    <t xml:space="preserve">Kelainai (Phrygian/Achaemenid predecessor); Kibotos</t>
  </si>
  <si>
    <t xml:space="preserve">Dinar</t>
  </si>
  <si>
    <t xml:space="preserve">Dinar (Dinar, Afyonkarahisar)</t>
  </si>
  <si>
    <t xml:space="preserve">Kelainai: Phrygian town and Achaemenid satrapal seat (Hdt. 7.26, Xen. Anab. 1.2.7), excavated by the Kelainai project; no pre-Greek-script name attested</t>
  </si>
  <si>
    <t xml:space="preserve">Strabo 12.8.15; coins 2nd c. BC–3rd c. AD; Peace of Apamea 188 BC; bishops 325–553</t>
  </si>
  <si>
    <t xml:space="preserve">Kelainai was Antigonus' capital 333–301 BC; the Greek city dates from the Seleucid refoundation.</t>
  </si>
  <si>
    <t xml:space="preserve">Pleiades 638751; Cohen 1995; Summerer 2011; Strabo 12.8.15</t>
  </si>
  <si>
    <t xml:space="preserve">founded by Antiochus I (c. 270s BC) next to Kelainai, named after his mother Apama</t>
  </si>
  <si>
    <t xml:space="preserve">C442</t>
  </si>
  <si>
    <t xml:space="preserve">Metropolis (southern Phrygia)</t>
  </si>
  <si>
    <t xml:space="preserve">near Tatarlı (Dinar/Haydarlı, Afyonkarahisar)</t>
  </si>
  <si>
    <t xml:space="preserve">c. AD 0</t>
  </si>
  <si>
    <t xml:space="preserve">Strabo 14.2.29; Pliny NH 5.106; coins; bishops 325, 381, 451</t>
  </si>
  <si>
    <t xml:space="preserve">Greek name ('Mother-city', perhaps of the Mother goddess); origin unknown. Not to be confused with Metropolis near Kırka (Eskişehir).</t>
  </si>
  <si>
    <t xml:space="preserve">Pleiades 609471; Strabo 14.2.29; Pliny NH 5.106; TIB 7</t>
  </si>
  <si>
    <t xml:space="preserve">named on the Apamea–Philomelion road by Artemidorus (c. 100 BC, in Strabo 14.2.29); civic coins and Pliny's Metropolitae in the early Empire</t>
  </si>
  <si>
    <t xml:space="preserve">Not excavated. The only pre-Greek site recorded nearby is an Early Bronze Age II surface site at Tatarlı (Mellaart survey), c. 3 km away. The famous Achaemenid-period painted tumulus is also at Tatarlı, but there is no evidence for the city site itself.</t>
  </si>
  <si>
    <t xml:space="preserve">https://vici.org/vici/92839/ ; https://en.wikipedia.org/wiki/Metropolis_(southern_Phrygia)</t>
  </si>
  <si>
    <t xml:space="preserve">C443</t>
  </si>
  <si>
    <t xml:space="preserve">Stectorium</t>
  </si>
  <si>
    <t xml:space="preserve">Στεκτόριον</t>
  </si>
  <si>
    <t xml:space="preserve">Menteş</t>
  </si>
  <si>
    <t xml:space="preserve">Menteş, near Kızılören (Sandıklı area, Afyonkarahisar)</t>
  </si>
  <si>
    <t xml:space="preserve">Roman coins; Hierocles; bishop 553</t>
  </si>
  <si>
    <t xml:space="preserve">Start of coinage not verified; date is a cautious estimate.</t>
  </si>
  <si>
    <t xml:space="preserve">Pleiades 609535; Ramsay, CBP II; Hierocles, Synecdemus</t>
  </si>
  <si>
    <t xml:space="preserve">Roman imperial coins (1st–3rd c. AD); member of the Phrygian Pentapolis</t>
  </si>
  <si>
    <t xml:space="preserve">C444</t>
  </si>
  <si>
    <t xml:space="preserve">Eucarpia</t>
  </si>
  <si>
    <t xml:space="preserve">Εὐκαρπία</t>
  </si>
  <si>
    <t xml:space="preserve">Eukarpeia</t>
  </si>
  <si>
    <t xml:space="preserve">Emirhisar</t>
  </si>
  <si>
    <t xml:space="preserve">Emirhisar (Sandıklı, Afyonkarahisar)</t>
  </si>
  <si>
    <t xml:space="preserve">Strabo 12.8.13; Roman coins; Hierocles; bishops 325–787</t>
  </si>
  <si>
    <t xml:space="preserve">Greek name ('fruitful'); origin unknown.</t>
  </si>
  <si>
    <t xml:space="preserve">Pleiades 609378; Strabo 12.8.13; Ramsay, CBP II</t>
  </si>
  <si>
    <t xml:space="preserve">named by Strabo (12.8.13); coins in the Roman imperial period</t>
  </si>
  <si>
    <t xml:space="preserve">The site itself is uncertain (a plateau NW of Emirhisar, supported by one inscription). MAMA XI calls it a Graeco-Macedonian Hellenistic foundation. No pre-Greek finds are reported.</t>
  </si>
  <si>
    <t xml:space="preserve">https://mama.csad.ox.ac.uk/monuments/Pentapolis.html</t>
  </si>
  <si>
    <t xml:space="preserve">C445</t>
  </si>
  <si>
    <t xml:space="preserve">Hierapolis (Phrygia Salutaris)</t>
  </si>
  <si>
    <t xml:space="preserve">Hieropolis</t>
  </si>
  <si>
    <t xml:space="preserve">Koçhisar</t>
  </si>
  <si>
    <t xml:space="preserve">Koçhisar (Sandıklı, Afyonkarahisar)</t>
  </si>
  <si>
    <t xml:space="preserve">Temple-community ('holy city') of a native cult; no native name attested</t>
  </si>
  <si>
    <t xml:space="preserve">Roman coins; Abercius inscription; Hierocles; bishops 451, 787</t>
  </si>
  <si>
    <t xml:space="preserve">Distinct from Hierapolis/Pamukkale. Start of coinage not verified.</t>
  </si>
  <si>
    <t xml:space="preserve">Pleiades 609403; Ramsay, CBP II; Wikipedia: Hierapolis (Phrygia)</t>
  </si>
  <si>
    <t xml:space="preserve">Roman imperial coins (Ἱεροπολειτῶν); epitaph of Abercius (late 2nd c.)</t>
  </si>
  <si>
    <t xml:space="preserve">C446</t>
  </si>
  <si>
    <t xml:space="preserve">Otrus</t>
  </si>
  <si>
    <t xml:space="preserve">Ὀτροῦς</t>
  </si>
  <si>
    <t xml:space="preserve">Otrous</t>
  </si>
  <si>
    <t xml:space="preserve">Yanıkören near Çorhisar (Sandıklı area, Afyonkarahisar)</t>
  </si>
  <si>
    <t xml:space="preserve">Roman coins; Hierocles; bishops 325?–787</t>
  </si>
  <si>
    <t xml:space="preserve">Pleiades 609489; Ramsay, CBP II; Hierocles, Synecdemus</t>
  </si>
  <si>
    <t xml:space="preserve">Roman imperial coins</t>
  </si>
  <si>
    <t xml:space="preserve">C447</t>
  </si>
  <si>
    <t xml:space="preserve">Bruzus</t>
  </si>
  <si>
    <t xml:space="preserve">Βροῦζος</t>
  </si>
  <si>
    <t xml:space="preserve">Brouzos</t>
  </si>
  <si>
    <t xml:space="preserve">Karasandıklı</t>
  </si>
  <si>
    <t xml:space="preserve">Karasandıklı (Sandıklı, Afyonkarahisar)</t>
  </si>
  <si>
    <t xml:space="preserve">Roman coins; Hierocles; bishops</t>
  </si>
  <si>
    <t xml:space="preserve">Pleiades 609345; Ramsay, CBP II</t>
  </si>
  <si>
    <t xml:space="preserve">C448</t>
  </si>
  <si>
    <t xml:space="preserve">Ococlia</t>
  </si>
  <si>
    <t xml:space="preserve">Ὀκοκλία</t>
  </si>
  <si>
    <t xml:space="preserve">Okokleia</t>
  </si>
  <si>
    <t xml:space="preserve">unlocated, near the Pentapolis (Sandıklı plain, Afyonkarahisar)</t>
  </si>
  <si>
    <t xml:space="preserve">Roman coins (Wildwinds: Okokleia)</t>
  </si>
  <si>
    <t xml:space="preserve">Known only from coins; site unknown (BAtlas: 'near Pentapolis').</t>
  </si>
  <si>
    <t xml:space="preserve">Pleiades 614781; BAtlas 62 unlocated</t>
  </si>
  <si>
    <t xml:space="preserve">Roman imperial coins only</t>
  </si>
  <si>
    <t xml:space="preserve">C449</t>
  </si>
  <si>
    <t xml:space="preserve">Lysias</t>
  </si>
  <si>
    <t xml:space="preserve">Λυσιάς</t>
  </si>
  <si>
    <t xml:space="preserve">unlocated; near the Pentapolis, plain of Oinan (Ramsay) (Afyonkarahisar)</t>
  </si>
  <si>
    <t xml:space="preserve">Lysias (local dynast, 3rd c. BC; Philomelid?)</t>
  </si>
  <si>
    <t xml:space="preserve">Strabo 12.8.13; coins; Hierocles; bishops 344, 451, 879</t>
  </si>
  <si>
    <t xml:space="preserve">Founder and date are inferences (Cohen; Catholic Encyclopedia gives Antiochus III c. 200 BC); site unknown, could lie across the Isparta border.</t>
  </si>
  <si>
    <t xml:space="preserve">Pleiades 614738; Cohen 1995; Strabo 12.8.13; Catholic Encyclopedia: Lysias</t>
  </si>
  <si>
    <t xml:space="preserve">founded by and named after Lysias, probably a Phrygian dynast of the Philomelid house (3rd c. BC); Hellenistic &amp; Roman coins</t>
  </si>
  <si>
    <t xml:space="preserve">Unlocated. MAMA XI notes that the large site at Yanıkören may be either Otrous or Lysias, with nothing decisive. There is no archaeological evidence of earlier occupation.</t>
  </si>
  <si>
    <t xml:space="preserve">https://mama.csad.ox.ac.uk/monuments/Pentapolis.html ; Pleiades 614738</t>
  </si>
  <si>
    <t xml:space="preserve">C450</t>
  </si>
  <si>
    <t xml:space="preserve">Aristium</t>
  </si>
  <si>
    <t xml:space="preserve">Ἀρίστιον</t>
  </si>
  <si>
    <t xml:space="preserve">Aristeia</t>
  </si>
  <si>
    <t xml:space="preserve">unlocated; between Diokleia and Kidyessos (Afyonkarahisar)</t>
  </si>
  <si>
    <t xml:space="preserve">Notitiae (titular see Aristium)</t>
  </si>
  <si>
    <t xml:space="preserve">Known only as a bishopric; date is the earliest Notitia, perhaps later than its actual elevation.</t>
  </si>
  <si>
    <t xml:space="preserve">Pleiades 614608; Notitiae episcopatuum; BAtlas 62 unlocated</t>
  </si>
  <si>
    <t xml:space="preserve">see listed in the 7th-c. Notitia</t>
  </si>
  <si>
    <t xml:space="preserve">Unlocated; known only as a bishopric.</t>
  </si>
  <si>
    <t xml:space="preserve">Pleiades 614608</t>
  </si>
  <si>
    <t xml:space="preserve">C451</t>
  </si>
  <si>
    <t xml:space="preserve">Cidyessus</t>
  </si>
  <si>
    <t xml:space="preserve">Κιδυησσός</t>
  </si>
  <si>
    <t xml:space="preserve">Kidyessos</t>
  </si>
  <si>
    <t xml:space="preserve">near Sincanlı (Sinanpaşa, Afyonkarahisar)</t>
  </si>
  <si>
    <t xml:space="preserve">Roman coins (ΚΙΔΥΗΣΣΕΩΝ); inscriptions</t>
  </si>
  <si>
    <t xml:space="preserve">Start of coinage not verified.</t>
  </si>
  <si>
    <t xml:space="preserve">Pleiades 609433; Ramsay, CBP II</t>
  </si>
  <si>
    <t xml:space="preserve">Roman imperial coins (from c. Domitian?) and civic inscriptions</t>
  </si>
  <si>
    <t xml:space="preserve">C452</t>
  </si>
  <si>
    <t xml:space="preserve">Synnada</t>
  </si>
  <si>
    <t xml:space="preserve">Σύνναδα</t>
  </si>
  <si>
    <t xml:space="preserve">Şuhut</t>
  </si>
  <si>
    <t xml:space="preserve">Şuhut (Şuhut, Afyonkarahisar)</t>
  </si>
  <si>
    <t xml:space="preserve">Greek/Macedonian settlers of the early Hellenistic period (founder unknown; legend: Akamas)</t>
  </si>
  <si>
    <t xml:space="preserve">Name looks Anatolian; no pre-Greek attestation</t>
  </si>
  <si>
    <t xml:space="preserve">Livy 38.15; coins (ΣΥΝΝΑΔΕΩΝ ΔΩΡΙΕΩΝ ΙΩΝΩΝ); conventus capital; metropolis of Phrygia Salutaris; bishops 325–787</t>
  </si>
  <si>
    <t xml:space="preserve">Founder undocumented: a Greek/Macedonian settlement is inferred from the coin legends and Steph. Byz.; dated here by the first clear civic evidence.</t>
  </si>
  <si>
    <t xml:space="preserve">Pleiades 609538; Cohen 1995; Livy 38.15; Wikipedia: Synnada</t>
  </si>
  <si>
    <t xml:space="preserve">Antigonid stronghold with a royal treasury in 302 BC (Diod. 20.107); Greek polis by 189 BC (Livy 38.15); coins call the citizens 'Dorians and Ionians'</t>
  </si>
  <si>
    <t xml:space="preserve">C453</t>
  </si>
  <si>
    <t xml:space="preserve">Amadassa</t>
  </si>
  <si>
    <t xml:space="preserve">Ἀμάδασσα</t>
  </si>
  <si>
    <t xml:space="preserve">unlocated, Synnada region (Afyonkarahisar)</t>
  </si>
  <si>
    <t xml:space="preserve">Notitiae (titular see Amadassa)</t>
  </si>
  <si>
    <t xml:space="preserve">BAtlas marks the name as doubtful ('Amadasse?'); date is a placeholder for its first listing as a see.</t>
  </si>
  <si>
    <t xml:space="preserve">Pleiades 614594; BAtlas 62 unlocated; Notitiae episcopatuum</t>
  </si>
  <si>
    <t xml:space="preserve">known only as a medieval Roman see (Notitiae)</t>
  </si>
  <si>
    <t xml:space="preserve">C454</t>
  </si>
  <si>
    <t xml:space="preserve">Prymnessus</t>
  </si>
  <si>
    <t xml:space="preserve">Πρυμνησσός</t>
  </si>
  <si>
    <t xml:space="preserve">Sülün</t>
  </si>
  <si>
    <t xml:space="preserve">Sülün (Afyonkarahisar)</t>
  </si>
  <si>
    <t xml:space="preserve">Phrygian town (Midas on its coins); no pre-Greek attestation of the name</t>
  </si>
  <si>
    <t xml:space="preserve">Roman coins; Pliny NH 5.105; Hierocles; bishops 381–680</t>
  </si>
  <si>
    <t xml:space="preserve">Pleiades 609511; Ramsay, CBP; Hierocles, Synecdemus</t>
  </si>
  <si>
    <t xml:space="preserve">civic coins from the early Imperial period (Midas types); Pliny (Prymnesii)</t>
  </si>
  <si>
    <t xml:space="preserve">C455</t>
  </si>
  <si>
    <t xml:space="preserve">Acroenus</t>
  </si>
  <si>
    <t xml:space="preserve">Ἀκροϊνός</t>
  </si>
  <si>
    <t xml:space="preserve">Akroinon; Nikopolis (Leo III, 740); Karahisar (Turkish)</t>
  </si>
  <si>
    <t xml:space="preserve">Afyonkarahisar citadel and town (Afyonkarahisar)</t>
  </si>
  <si>
    <t xml:space="preserve">A Hittite name 'Hapanuwa' and a Late Bronze Age fortress are claimed for the Afyon castle rock in popular, uncited sources (e.g. Wikipedia: Afyonkarahisar); there is no scholarly identification or published pre-Greek level, so nothing is entered.</t>
  </si>
  <si>
    <t xml:space="preserve">medieval Roman chronicles (battle of Akroinon 740); middle Roman (medieval) Notitiae</t>
  </si>
  <si>
    <t xml:space="preserve">Medieval city that succeeded nearby Prymnessos; Turkish c. 1210. A 'pre-settlement' rests only on the Hapanuwa proposal.</t>
  </si>
  <si>
    <t xml:space="preserve">Pleiades 609295; TIB 7 (Belke &amp; Mersich 1990); Wikipedia: Akroinon</t>
  </si>
  <si>
    <t xml:space="preserve">medieval Roman fortress-town (Arab sieges 716, 740; renamed Nikopolis 740); bishopric of Phrygia Salutaris from the 10th c.</t>
  </si>
  <si>
    <t xml:space="preserve">No excavation evidence. Local accounts link the castle rock to Hittite Hapanuwa (Mursili II's Arzawa campaign) and report Phrygian rock-cut features (niche, stepped altar, offering pits), but these are unverified popular claims and the Hapanuwa identification is a hypothesis.</t>
  </si>
  <si>
    <t xml:space="preserve">https://www.afyon.bel.tr/afyonkarahisar/yemek-kulturu/afyonkarahisar-tarihi ; https://kulturenvanteri.com/en/yer/afyonkarahisar-kalesi/</t>
  </si>
  <si>
    <t xml:space="preserve">C456</t>
  </si>
  <si>
    <t xml:space="preserve">Ipsus</t>
  </si>
  <si>
    <t xml:space="preserve">Ἴψος</t>
  </si>
  <si>
    <t xml:space="preserve">Julia (Ioulieis, Pliny's Iulienses) per Ramsay</t>
  </si>
  <si>
    <t xml:space="preserve">Çayırbağ</t>
  </si>
  <si>
    <t xml:space="preserve">Çayırbağ (formerly Sipsin) (Afyonkarahisar)</t>
  </si>
  <si>
    <t xml:space="preserve">Native (Phrygian) place-name; village before it became a city</t>
  </si>
  <si>
    <t xml:space="preserve">Ramsay identified Ipsos with the Augustan city Julia; BAtlas keeps Iulia separate (unlocated, near Polybotos?). The village's former name Sipsin preserves Ipsos.</t>
  </si>
  <si>
    <t xml:space="preserve">Pleiades 609415; Pleiades 614678 (Iulia); Diodorus 21.1; Ramsay, CBP</t>
  </si>
  <si>
    <t xml:space="preserve">village at the battle of 301 BC; city and see by the 5th c. (bishop at Chalcedon 451); earlier if = Julia (Augustan coins)</t>
  </si>
  <si>
    <t xml:space="preserve">C457</t>
  </si>
  <si>
    <t xml:space="preserve">Docimium</t>
  </si>
  <si>
    <t xml:space="preserve">Δοκίμειον</t>
  </si>
  <si>
    <t xml:space="preserve">Dokimeion</t>
  </si>
  <si>
    <t xml:space="preserve">İscehisar</t>
  </si>
  <si>
    <t xml:space="preserve">İscehisar (İscehisar, Afyonkarahisar)</t>
  </si>
  <si>
    <t xml:space="preserve">Dokimos (Macedonian general)</t>
  </si>
  <si>
    <t xml:space="preserve">Steph. Byz.; coins (ΔΟΚΙΜΕΩΝ ΜΑΚΕΔΟΝΩΝ); Hierocles; bishops 431–787</t>
  </si>
  <si>
    <t xml:space="preserve">Famous for its marble quarries (Docimian/Synnadic marble).</t>
  </si>
  <si>
    <t xml:space="preserve">Pleiades 609366; Cohen 1995; Robert, À travers l'Asie Mineure</t>
  </si>
  <si>
    <t xml:space="preserve">founded by Dokimos, Macedonian general of Antigonus who went over to Lysimachus (302 BC); coins of the 'Dokimeis Makedones'</t>
  </si>
  <si>
    <t xml:space="preserve">Founded by Dokimos (coins of the 'Dokimeis Makedones'); Strabo calls it a village (kome) near Synnada. No archaeological evidence for a pre-Hellenistic settlement at İscehisar has been reported.</t>
  </si>
  <si>
    <t xml:space="preserve">Strabo 12.8.14; https://en.wikipedia.org/wiki/Docimium ; knowledge: Cohen 1995</t>
  </si>
  <si>
    <t xml:space="preserve">C458</t>
  </si>
  <si>
    <t xml:space="preserve">Augustopolis (Phrygia)</t>
  </si>
  <si>
    <t xml:space="preserve">Αὐγουστόπολις</t>
  </si>
  <si>
    <t xml:space="preserve">unlocated; middle Akar Çay (Kaystros) plain between Akroinos and Polybotos (Afyonkarahisar)</t>
  </si>
  <si>
    <t xml:space="preserve">AD 359</t>
  </si>
  <si>
    <t xml:space="preserve">an emperor (name only; date unknown)</t>
  </si>
  <si>
    <t xml:space="preserve">bishops 359, 553, 787, 869; Hierocles</t>
  </si>
  <si>
    <t xml:space="preserve">Imperial name implies a Roman foundation or renaming, but neither founder nor date is known; Annuario Pontificio's 'Surmene' is not a firm identification.</t>
  </si>
  <si>
    <t xml:space="preserve">Pleiades 614619; Wikipedia: Augustopolis in Phrygia; Anna Komnene 15.6</t>
  </si>
  <si>
    <t xml:space="preserve">first bishop 359 (synod of Seleucia); later bishops 553, 787, 869</t>
  </si>
  <si>
    <t xml:space="preserve">Pleiades 614619</t>
  </si>
  <si>
    <t xml:space="preserve">C459</t>
  </si>
  <si>
    <t xml:space="preserve">Polybotus</t>
  </si>
  <si>
    <t xml:space="preserve">Πολύβοτος</t>
  </si>
  <si>
    <t xml:space="preserve">Bolvadin</t>
  </si>
  <si>
    <t xml:space="preserve">Bolvadin (Bolvadin, Afyonkarahisar)</t>
  </si>
  <si>
    <t xml:space="preserve">bishops 451, 787; Hierocles; Notitiae</t>
  </si>
  <si>
    <t xml:space="preserve">Bolvadin &lt; Polybotos; the name looks Greek ('rich in pasture') but may be a folk-etymology of a native name.</t>
  </si>
  <si>
    <t xml:space="preserve">Pleiades 609506; Wikipedia: Polybotus; TIB 7</t>
  </si>
  <si>
    <t xml:space="preserve">bishop at Chalcedon (451); Hierocles (c. 527)</t>
  </si>
  <si>
    <t xml:space="preserve">No pre-Roman remains are reported at Bolvadin. The ancient visible history is Roman, small finds are Byzantine (Drew-Bear), and one study places Polybotos at 'Dura Yeri' c. 5 km from the town.</t>
  </si>
  <si>
    <t xml:space="preserve">https://belleten.gov.tr/eng/full-text/3644/tur</t>
  </si>
  <si>
    <t xml:space="preserve">C460</t>
  </si>
  <si>
    <t xml:space="preserve">Aurocra</t>
  </si>
  <si>
    <t xml:space="preserve">Αὔροκρα</t>
  </si>
  <si>
    <t xml:space="preserve">near Sultandağı (Sultandağı, Afyonkarahisar)</t>
  </si>
  <si>
    <t xml:space="preserve">bishop 451 (council list)</t>
  </si>
  <si>
    <t xml:space="preserve">Known only from the council list; province assignment follows the council-sees seed.</t>
  </si>
  <si>
    <t xml:space="preserve">Pleiades 609332; Council-sees seed (Chalcedon 451)</t>
  </si>
  <si>
    <t xml:space="preserve">bishop at Chalcedon (451)</t>
  </si>
  <si>
    <t xml:space="preserve">C461</t>
  </si>
  <si>
    <t xml:space="preserve">Phyteia</t>
  </si>
  <si>
    <t xml:space="preserve">Φύτεια</t>
  </si>
  <si>
    <t xml:space="preserve">between Bayat and Emirdağ (Afyonkarahisar)</t>
  </si>
  <si>
    <t xml:space="preserve">bishop 787 (council list)</t>
  </si>
  <si>
    <t xml:space="preserve">Only a single council attestation; location from BAtlas.</t>
  </si>
  <si>
    <t xml:space="preserve">Pleiades 609503; Council-sees seed (Nicaea 787)</t>
  </si>
  <si>
    <t xml:space="preserve">Known from one council attestation; the location is approximate and the site is unexcavated.</t>
  </si>
  <si>
    <t xml:space="preserve">Pleiades 609503</t>
  </si>
  <si>
    <t xml:space="preserve">C462</t>
  </si>
  <si>
    <t xml:space="preserve">Amorium</t>
  </si>
  <si>
    <t xml:space="preserve">Ἀμόριον</t>
  </si>
  <si>
    <t xml:space="preserve">Hisarköy (Emirdağ, Afyonkarahisar)</t>
  </si>
  <si>
    <t xml:space="preserve">Large höyük; pre-Hellenistic (Phrygian and earlier) occupation reported by the excavators; no pre-Greek name attested</t>
  </si>
  <si>
    <t xml:space="preserve">coins 2nd c. BC–3rd c. AD; Strabo 12.5.3; Hierocles; bishops 431–; capital of the Anatolikon theme; metropolis 9th c.</t>
  </si>
  <si>
    <t xml:space="preserve">Sacked by al-Mu'tasim 838; Turkish after 1071.</t>
  </si>
  <si>
    <t xml:space="preserve">Pleiades 609302; Lightfoot &amp; Lightfoot, Amorium; TIB 4</t>
  </si>
  <si>
    <t xml:space="preserve">Phrygian town; own coins from the 2nd c. BC</t>
  </si>
  <si>
    <t xml:space="preserve">C463</t>
  </si>
  <si>
    <t xml:space="preserve">Orcistus</t>
  </si>
  <si>
    <t xml:space="preserve">Ὀρκιστός</t>
  </si>
  <si>
    <t xml:space="preserve">Alikân</t>
  </si>
  <si>
    <t xml:space="preserve">Alikân, near Ümraniye (Emirdağ, Afyonkarahisar)</t>
  </si>
  <si>
    <t xml:space="preserve">c. AD 325</t>
  </si>
  <si>
    <t xml:space="preserve">Earlier community (vicus of Nakoleia) with native name</t>
  </si>
  <si>
    <t xml:space="preserve">Orcistus inscription (MAMA VII 305); bishops 431, 451</t>
  </si>
  <si>
    <t xml:space="preserve">Petitioners claimed former city status; the Constantinian grant is the first secure civic date. Near the Eskişehir border.</t>
  </si>
  <si>
    <t xml:space="preserve">Pleiades 609488; MAMA VII 305; Chastagnol 1981</t>
  </si>
  <si>
    <t xml:space="preserve">civic status granted by Constantine (rescript c. 324–331), freeing it from Nakoleia</t>
  </si>
  <si>
    <t xml:space="preserve">C464</t>
  </si>
  <si>
    <t xml:space="preserve">Cone</t>
  </si>
  <si>
    <t xml:space="preserve">Κόνη</t>
  </si>
  <si>
    <t xml:space="preserve">Konna (Ptolemy); Conium (Pliny); Conni (Tab. Peut.); Demetriopolis</t>
  </si>
  <si>
    <t xml:space="preserve">near Zafertepeçalköy (Dumlupınar/Altıntaş area, Kütahya)</t>
  </si>
  <si>
    <t xml:space="preserve">Kütahya</t>
  </si>
  <si>
    <t xml:space="preserve">Pliny; Ptolemy; Tabula Peutingeriana; Notitiae (see under Synnada)</t>
  </si>
  <si>
    <t xml:space="preserve">Pleiades leaves it unlocated (BAtlas: between Nakoleia and Eukarpia); the coordinates follow Wikipedia/DARE. The alternative name Demetriopolis may point to a Hellenistic refoundation.</t>
  </si>
  <si>
    <t xml:space="preserve">Pleiades 614635; Wikipedia: Cone (Phrygia); Pliny NH 5.145</t>
  </si>
  <si>
    <t xml:space="preserve">first attested by Pliny (Conium); later see of Phrygia Salutaris</t>
  </si>
  <si>
    <t xml:space="preserve">C465</t>
  </si>
  <si>
    <t xml:space="preserve">Alia</t>
  </si>
  <si>
    <t xml:space="preserve">Ἀλία</t>
  </si>
  <si>
    <t xml:space="preserve">Alioi</t>
  </si>
  <si>
    <t xml:space="preserve">near Dumlupınar (Dumlupınar, Kütahya)</t>
  </si>
  <si>
    <t xml:space="preserve">Roman coins (Wildwinds: Alia); bishops 553, 787</t>
  </si>
  <si>
    <t xml:space="preserve">BAtlas name reconstructed (*Alia); start of coinage not verified.</t>
  </si>
  <si>
    <t xml:space="preserve">Pleiades 609298; Ramsay, CBP; Council-sees seed</t>
  </si>
  <si>
    <t xml:space="preserve">C466</t>
  </si>
  <si>
    <t xml:space="preserve">Appia</t>
  </si>
  <si>
    <t xml:space="preserve">Ἀππία</t>
  </si>
  <si>
    <t xml:space="preserve">near Pınarcık, SE of Altıntaş (Altıntaş, Kütahya)</t>
  </si>
  <si>
    <t xml:space="preserve">Native community; no pre-Greek name attested</t>
  </si>
  <si>
    <t xml:space="preserve">Pliny NH 5.105; Roman coins; bishops 381–787</t>
  </si>
  <si>
    <t xml:space="preserve">Start of coinage not verified; the date is a cautious estimate.</t>
  </si>
  <si>
    <t xml:space="preserve">Pleiades 609314; Pliny NH 5.105; Wikipedia: Appia (Phrygia)</t>
  </si>
  <si>
    <t xml:space="preserve">Pliny (Appiani, conventus of Synnada); Roman imperial coins</t>
  </si>
  <si>
    <t xml:space="preserve">C467</t>
  </si>
  <si>
    <t xml:space="preserve">Eudocias (Phrygia)</t>
  </si>
  <si>
    <t xml:space="preserve">unlocated; between Appia and Aizanoi (Kütahya)</t>
  </si>
  <si>
    <t xml:space="preserve">c. AD 440</t>
  </si>
  <si>
    <t xml:space="preserve">Theodosius II (named after Eudokia)</t>
  </si>
  <si>
    <t xml:space="preserve">Hierocles; Notitiae</t>
  </si>
  <si>
    <t xml:space="preserve">Founder inferred from the name; site unknown (BAtlas: 'between Appia and Aizanoi').</t>
  </si>
  <si>
    <t xml:space="preserve">Pleiades 614653; BAtlas 62 unlocated; Hierocles, Synecdemus</t>
  </si>
  <si>
    <t xml:space="preserve">city named after the empress Eudokia (wife of Theodosius II, 421–460); a see</t>
  </si>
  <si>
    <t xml:space="preserve">Unlocated (BAtlas: between Appia and Aizanoi); known only as a see.</t>
  </si>
  <si>
    <t xml:space="preserve">Pleiades 614653</t>
  </si>
  <si>
    <t xml:space="preserve">C468</t>
  </si>
  <si>
    <t xml:space="preserve">Cotyaeum</t>
  </si>
  <si>
    <t xml:space="preserve">Κοτιάειον</t>
  </si>
  <si>
    <t xml:space="preserve">Kotyaion</t>
  </si>
  <si>
    <t xml:space="preserve">Kütahya (Kütahya)</t>
  </si>
  <si>
    <t xml:space="preserve">Name derived from the Thraco-Phrygian personal name Kotys; no pre-Greek attestation</t>
  </si>
  <si>
    <t xml:space="preserve">Strabo 12.8.12; Roman coins; Hierocles; bishops 431–879; later metropolis</t>
  </si>
  <si>
    <t xml:space="preserve">Fortified by Justinian; Seljuk raids 1071, Turkish (Germiyanid) by c. 1300, Ottoman 1428.</t>
  </si>
  <si>
    <t xml:space="preserve">Pleiades 609444; Strabo 12.8.12; TIB 7</t>
  </si>
  <si>
    <t xml:space="preserve">listed among the cities of Phrygia Epiktetos by Strabo (12.8.12); Roman coins</t>
  </si>
  <si>
    <t xml:space="preserve">C469</t>
  </si>
  <si>
    <t xml:space="preserve">Aezani</t>
  </si>
  <si>
    <t xml:space="preserve">Αἰζανοί</t>
  </si>
  <si>
    <t xml:space="preserve">Aizanoi</t>
  </si>
  <si>
    <t xml:space="preserve">Çavdarhisar</t>
  </si>
  <si>
    <t xml:space="preserve">Çavdarhisar (Kütahya)</t>
  </si>
  <si>
    <t xml:space="preserve">Early Bronze Age settlement (3rd millennium BC) under the temple hill; Phrygian door-stones</t>
  </si>
  <si>
    <t xml:space="preserve">coins; Strabo 12.8.12; Hierocles; bishops 325–879</t>
  </si>
  <si>
    <t xml:space="preserve">Temple of Zeus (Domitianic/Hadrianic); declined after the 7th c.</t>
  </si>
  <si>
    <t xml:space="preserve">Pleiades 609292; Rheidt, Aizanoi; Strabo 12.8.12; Wikipedia: Aizanoi</t>
  </si>
  <si>
    <t xml:space="preserve">Hellenistic city contested by the Attalids and Bithynian kings (late 3rd–2nd c. BC); civic coinage from the 2nd/1st c. BC</t>
  </si>
  <si>
    <t xml:space="preserve">C470</t>
  </si>
  <si>
    <t xml:space="preserve">Cadi</t>
  </si>
  <si>
    <t xml:space="preserve">Κάδοι</t>
  </si>
  <si>
    <t xml:space="preserve">Kadoi</t>
  </si>
  <si>
    <t xml:space="preserve">Eskigediz</t>
  </si>
  <si>
    <t xml:space="preserve">Hisarardı Kale, immediately E of Eskigediz (old Gediz) (Gediz, Kütahya)</t>
  </si>
  <si>
    <t xml:space="preserve">Native name, continued in Gediz</t>
  </si>
  <si>
    <t xml:space="preserve">coins late Hellenistic–3rd c.; Strabo 12.8.12; Hierocles; bishops 451, 787</t>
  </si>
  <si>
    <t xml:space="preserve">Gediz town was moved after the 1970 earthquake. Hellenistic coin date approximate.</t>
  </si>
  <si>
    <t xml:space="preserve">Pleiades 609420; Strabo 12.8.12; Habicht 2006</t>
  </si>
  <si>
    <t xml:space="preserve">late Hellenistic civic coinage; listed by Strabo (12.8.12)</t>
  </si>
  <si>
    <t xml:space="preserve">C471</t>
  </si>
  <si>
    <t xml:space="preserve">Synaus</t>
  </si>
  <si>
    <t xml:space="preserve">Σύναος</t>
  </si>
  <si>
    <t xml:space="preserve">Synaos</t>
  </si>
  <si>
    <t xml:space="preserve">Simav</t>
  </si>
  <si>
    <t xml:space="preserve">Simav (Simav, Kütahya)</t>
  </si>
  <si>
    <t xml:space="preserve">Native name, continued in Simav</t>
  </si>
  <si>
    <t xml:space="preserve">Roman coins; Hierocles; bishops 553, 787</t>
  </si>
  <si>
    <t xml:space="preserve">Pleiades 609537; Catholic Encyclopedia: Synaus</t>
  </si>
  <si>
    <t xml:space="preserve">C472</t>
  </si>
  <si>
    <t xml:space="preserve">Ancyra (Phrygia)</t>
  </si>
  <si>
    <t xml:space="preserve">Ἄγκυρα</t>
  </si>
  <si>
    <t xml:space="preserve">Ankyra Sidera ('Iron Ankyra'); Ankyra of the Abbaitis</t>
  </si>
  <si>
    <t xml:space="preserve">Boğazköy</t>
  </si>
  <si>
    <t xml:space="preserve">Boğazköy/Kiliseköy (Simav, Kütahya)</t>
  </si>
  <si>
    <t xml:space="preserve">Roman coins; Hierocles; bishops 325–787</t>
  </si>
  <si>
    <t xml:space="preserve">'Sidera' rests on a Latin/Syriac council list entry (Price 2010 doubts it). Start of coinage not verified.</t>
  </si>
  <si>
    <t xml:space="preserve">Pleiades 609305; Price 2010; TIB 7</t>
  </si>
  <si>
    <t xml:space="preserve">Roman imperial coins (Ἀγκυρανῶν); Strabo, Pliny</t>
  </si>
  <si>
    <t xml:space="preserve">C473</t>
  </si>
  <si>
    <t xml:space="preserve">Tiberiopolis (Phrygia)</t>
  </si>
  <si>
    <t xml:space="preserve">Τιβεριούπολις</t>
  </si>
  <si>
    <t xml:space="preserve">near Emet (Emet, Kütahya)</t>
  </si>
  <si>
    <t xml:space="preserve">c. AD 30</t>
  </si>
  <si>
    <t xml:space="preserve">Tiberius (name)</t>
  </si>
  <si>
    <t xml:space="preserve">coins from Trajan; Hierocles; bishops 536, 553, 692, 787, 879</t>
  </si>
  <si>
    <t xml:space="preserve">Site doubtful (Pleiades 'Tiberioupolis?'). Not to be confused with Pappa-Tiberiopolis in Pisidia.</t>
  </si>
  <si>
    <t xml:space="preserve">Pleiades 609557; Wikipedia: Tiberiopolis; TIB 7</t>
  </si>
  <si>
    <t xml:space="preserve">name implies foundation or renaming under Tiberius (14–37); coins from Trajan; bishops 536–879</t>
  </si>
  <si>
    <t xml:space="preserve">The site is doubtful (Pleiades 'Tiberioupolis?') and unexcavated, and there are no reports of earlier occupation.</t>
  </si>
  <si>
    <t xml:space="preserve">Pleiades 609557 (BAtlas 62 B3)</t>
  </si>
  <si>
    <t xml:space="preserve">C474</t>
  </si>
  <si>
    <t xml:space="preserve">Merus</t>
  </si>
  <si>
    <t xml:space="preserve">Μῆρος</t>
  </si>
  <si>
    <t xml:space="preserve">Meiros</t>
  </si>
  <si>
    <t xml:space="preserve">near Kırka (Seyitgazi, Eskişehir), near the Afyon/Kütahya border</t>
  </si>
  <si>
    <t xml:space="preserve">Eskişehir</t>
  </si>
  <si>
    <t xml:space="preserve">Notitiae (titular see Merus)</t>
  </si>
  <si>
    <t xml:space="preserve">Province uncertain (Eskişehir/Afyon/Kütahya border). Possibly a city earlier than its first Notitia listing.</t>
  </si>
  <si>
    <t xml:space="preserve">Pleiades 609460; TIB 7; Notitiae episcopatuum</t>
  </si>
  <si>
    <t xml:space="preserve">see of Phrygia Salutaris in the Notitiae (from the 7th c.)</t>
  </si>
  <si>
    <t xml:space="preserve">C475</t>
  </si>
  <si>
    <t xml:space="preserve">Metropolis (northern Phrygia)</t>
  </si>
  <si>
    <t xml:space="preserve">Oynaş</t>
  </si>
  <si>
    <t xml:space="preserve">Oynaş (Oyneş), near Kırka (Seyitgazi, Eskişehir)</t>
  </si>
  <si>
    <t xml:space="preserve">Pliny NH 5.105; Ptolemy; inscriptions</t>
  </si>
  <si>
    <t xml:space="preserve">Near Midas City (Yazılıkaya); its civic status and separation from the southern Metropolis rest on Pliny/Ptolemy and the BAtlas location.</t>
  </si>
  <si>
    <t xml:space="preserve">Pleiades 609470; Foss 2022; TIB 7</t>
  </si>
  <si>
    <t xml:space="preserve">Pliny's Metropolitae (conventus of Synnada); Ptolemy</t>
  </si>
  <si>
    <t xml:space="preserve">No excavation at Oynaş. Phrygian monuments of the Highlands (Kümbet, Midas City) lie c. 5-9 km away, outside the settlement test. The 19th-c. equation with Pişmiş Kale (a Phrygian site) is outdated.</t>
  </si>
  <si>
    <t xml:space="preserve">Pleiades 609470; TIB 7, 340-41; Haspels, Highlands of Phrygia (1971); en.wikipedia Metropolis (northern Phrygia)</t>
  </si>
  <si>
    <t xml:space="preserve">C476</t>
  </si>
  <si>
    <t xml:space="preserve">Nacolea</t>
  </si>
  <si>
    <t xml:space="preserve">Νακώλεια</t>
  </si>
  <si>
    <t xml:space="preserve">Nakoleia</t>
  </si>
  <si>
    <t xml:space="preserve">Seyitgazi</t>
  </si>
  <si>
    <t xml:space="preserve">Seyitgazi (Seyitgazi, Eskişehir)</t>
  </si>
  <si>
    <t xml:space="preserve">Native (Phrygian) name; no pre-Greek attestation</t>
  </si>
  <si>
    <t xml:space="preserve">Strabo 12.8.12; coins; Hierocles; bishops 451–787</t>
  </si>
  <si>
    <t xml:space="preserve">Home of the iconoclast bishop Constantine of Nakoleia; Seyitgazi is named after Battal Gazi.</t>
  </si>
  <si>
    <t xml:space="preserve">Pleiades 609484; Strabo 12.8.12; TIB 7</t>
  </si>
  <si>
    <t xml:space="preserve">listed among the cities of Phrygia Epiktetos by Strabo (12.8.12)</t>
  </si>
  <si>
    <t xml:space="preserve">C477</t>
  </si>
  <si>
    <t xml:space="preserve">Santabaris</t>
  </si>
  <si>
    <t xml:space="preserve">Σανταβάρις</t>
  </si>
  <si>
    <t xml:space="preserve">near Seyitgazi (Bardakçı?) (Eskişehir)</t>
  </si>
  <si>
    <t xml:space="preserve">c. AD 850</t>
  </si>
  <si>
    <t xml:space="preserve">medieval Roman sources (Theodore Santabarenos); Notitiae (to be verified)</t>
  </si>
  <si>
    <t xml:space="preserve">Status as a bishopric and the Bardakçı location (Ramsay) are not verified here; check TIB 7.</t>
  </si>
  <si>
    <t xml:space="preserve">TIB 7 (Belke &amp; Mersich 1990); Ramsay, Historical Geography</t>
  </si>
  <si>
    <t xml:space="preserve">medieval Roman fortress-town; bishopric in the Notitiae of the 9th–10th c. (to be verified)</t>
  </si>
  <si>
    <t xml:space="preserve">The location (Bardakçı?) is unverified; no archaeology.</t>
  </si>
  <si>
    <t xml:space="preserve">Ramsay, Historical Geography; TIB 7 (Phrygien)</t>
  </si>
  <si>
    <t xml:space="preserve">C478</t>
  </si>
  <si>
    <t xml:space="preserve">Dorylaeum</t>
  </si>
  <si>
    <t xml:space="preserve">Δορύλαιον</t>
  </si>
  <si>
    <t xml:space="preserve">Dorylaion</t>
  </si>
  <si>
    <t xml:space="preserve">Şarhöyük, NE edge of Eskişehir (Eskişehir)</t>
  </si>
  <si>
    <t xml:space="preserve">Tepebaşı</t>
  </si>
  <si>
    <t xml:space="preserve">Şarhöyük mound: Early Bronze Age, Hittite-period and Phrygian (Iron Age) levels; no pre-Greek name attested</t>
  </si>
  <si>
    <t xml:space="preserve">Strabo 12.8.12; coins; Hierocles; bishops 325–787</t>
  </si>
  <si>
    <t xml:space="preserve">Crusader battles 1097 and 1147; refortified by Manuel I 1175; Turkish thereafter.</t>
  </si>
  <si>
    <t xml:space="preserve">Pleiades 609367; Strabo 12.8.12; Darga, Şarhöyük excavations; Wikipedia: Dorylaeum</t>
  </si>
  <si>
    <t xml:space="preserve">attested as a place in 302 BC; listed among the cities of Phrygia Epiktetos by Strabo (12.8.12); Roman coins</t>
  </si>
  <si>
    <t xml:space="preserve">C479</t>
  </si>
  <si>
    <t xml:space="preserve">Midaeum</t>
  </si>
  <si>
    <t xml:space="preserve">Μιδάειον</t>
  </si>
  <si>
    <t xml:space="preserve">Midaion</t>
  </si>
  <si>
    <t xml:space="preserve">Karahöyük, near Alpu (Alpu, Eskişehir)</t>
  </si>
  <si>
    <t xml:space="preserve">Named after the Phrygian king Midas (Greek tradition); höyük site</t>
  </si>
  <si>
    <t xml:space="preserve">Pleiades 609473; Strabo 12.8.12; TIB 7</t>
  </si>
  <si>
    <t xml:space="preserve">C480</t>
  </si>
  <si>
    <t xml:space="preserve">Trocnades</t>
  </si>
  <si>
    <t xml:space="preserve">Τρόκναδες</t>
  </si>
  <si>
    <t xml:space="preserve">Trokna</t>
  </si>
  <si>
    <t xml:space="preserve">Kaymaz</t>
  </si>
  <si>
    <t xml:space="preserve">Kaymaz (Sivrihisar, Eskişehir)</t>
  </si>
  <si>
    <t xml:space="preserve">bishops 451, 787</t>
  </si>
  <si>
    <t xml:space="preserve">Probably a village community raised to a see in Late Antiquity.</t>
  </si>
  <si>
    <t xml:space="preserve">Pleiades 609561; TIB 4; Council-sees seed</t>
  </si>
  <si>
    <t xml:space="preserve">C481</t>
  </si>
  <si>
    <t xml:space="preserve">Hadrianopolis (Pisidia/Phrygia)</t>
  </si>
  <si>
    <t xml:space="preserve">Hadrianoupolis</t>
  </si>
  <si>
    <t xml:space="preserve">near Reis, Doğanhisar (Konya)</t>
  </si>
  <si>
    <t xml:space="preserve">Hadrian (foundation or renaming)</t>
  </si>
  <si>
    <t xml:space="preserve">coins Hadrian–Geta (RPC III, IV.3, V.3; ΑΔΡΙΑΝΟΠΟΛΕΙΤΩΝ); bishops 325, 381, 451, 553; Hierocles</t>
  </si>
  <si>
    <t xml:space="preserve">Probably a renamed older settlement of Phrygia Paroreios; earlier name unknown (Xenophon's Thymbrion has been suggested). Not the Hadrianopolis near Eğnes (Burdur).</t>
  </si>
  <si>
    <t xml:space="preserve">Pleiades 609397; RPC city 93 (Hadrianopolis, Phrygia); TIB 7 (Belke &amp; Mersich 1990)</t>
  </si>
  <si>
    <t xml:space="preserve">named after Hadrian (117–138); Greek civic coins from Hadrian onwards</t>
  </si>
  <si>
    <t xml:space="preserve">No archaeology. The suggested identification with Xenophon's inhabited city Thymbrion (Anab. 1.2.13) is unproven, so it cannot support a 'yes'.</t>
  </si>
  <si>
    <t xml:space="preserve">Pleiades 609397; TIB 7; Xen. Anab. 1.2.13</t>
  </si>
  <si>
    <t xml:space="preserve">C482</t>
  </si>
  <si>
    <t xml:space="preserve">Philomelium</t>
  </si>
  <si>
    <t xml:space="preserve">Φιλομήλιον</t>
  </si>
  <si>
    <t xml:space="preserve">Philomelion; Akşehir (Seljuk/Ottoman)</t>
  </si>
  <si>
    <t xml:space="preserve">Akşehir</t>
  </si>
  <si>
    <t xml:space="preserve">Akşehir (Konya)</t>
  </si>
  <si>
    <t xml:space="preserve">probably the dynast Philomelos (Lysias dynasty, 3rd c. BC); an Attalid foundation is also proposed</t>
  </si>
  <si>
    <t xml:space="preserve">Strabo 14.2.29; Cicero; Martyrdom of Polycarp addressed to the church of Philomelion (c. 155); coins Augustus–Geta (RPC I 3243 ff.); bishops 381–787; Hierocles</t>
  </si>
  <si>
    <t xml:space="preserve">Founder and date inferred from the dynastic name (Cohen 1995); Wikipedia calls it 'probably a Pergamene foundation'.</t>
  </si>
  <si>
    <t xml:space="preserve">Pleiades 609501; Cohen 1995; RPC I 3243; Wikipedia: Philomelium</t>
  </si>
  <si>
    <t xml:space="preserve">Hellenistic foundation named after Philomelos (3rd–2nd c. BC); Cicero passed through in 51 BC; civic coins from Augustus</t>
  </si>
  <si>
    <t xml:space="preserve">No höyük or pre-Hellenistic level is reported at Akşehir; accounts begin with the 3rd-c. BC foundation.</t>
  </si>
  <si>
    <t xml:space="preserve">Pleiades 609501; Cohen 1995; kureansiklopedi Akşehir</t>
  </si>
  <si>
    <t xml:space="preserve">C483</t>
  </si>
  <si>
    <t xml:space="preserve">Tyriaion</t>
  </si>
  <si>
    <t xml:space="preserve">Τυριαῖον</t>
  </si>
  <si>
    <t xml:space="preserve">Tyraion; Toriaion; Tyriaeum</t>
  </si>
  <si>
    <t xml:space="preserve">Ilgın</t>
  </si>
  <si>
    <t xml:space="preserve">Ilgın (Konya); royal letters found at Mahmuthisar, S of Ilgın</t>
  </si>
  <si>
    <t xml:space="preserve">Eumenes II (grant of a polis constitution)</t>
  </si>
  <si>
    <t xml:space="preserve">Xenophon Anab. 1.2.14; letters of Eumenes II (Jonnes &amp; Ricl 1997); bishop 451; Hierocles</t>
  </si>
  <si>
    <t xml:space="preserve">Site at or near Ilgın (Pleiades: Tyr(i)aion?).</t>
  </si>
  <si>
    <t xml:space="preserve">Pleiades 609564; Jonnes &amp; Ricl, EA 29 (1997); Xenophon Anab. 1.2.14; Wikipedia: Tyriaion</t>
  </si>
  <si>
    <t xml:space="preserve">native town where Cyrus reviewed his army in 401 BC (Xenophon Anab. 1.2.14); granted polis status, laws, council and gymnasium by Eumenes II shortly after 188 BC (royal letters from Mahmuthisar)</t>
  </si>
  <si>
    <t xml:space="preserve">C484</t>
  </si>
  <si>
    <t xml:space="preserve">Lycaonia and Galatia</t>
  </si>
  <si>
    <t xml:space="preserve">Galatia</t>
  </si>
  <si>
    <t xml:space="preserve">Germa</t>
  </si>
  <si>
    <t xml:space="preserve">Γέρμα</t>
  </si>
  <si>
    <t xml:space="preserve">Colonia Iulia Augusta Felix Germa</t>
  </si>
  <si>
    <t xml:space="preserve">near Babadat (Sivrihisar, Eskişehir)</t>
  </si>
  <si>
    <t xml:space="preserve">colonial coins; Hierocles; see of Galatia Salutaris (bishop 451?)</t>
  </si>
  <si>
    <t xml:space="preserve">Latin colony initially; Galatian and Phrygian spoken in the territory; Greek dominant by Late Antiquity</t>
  </si>
  <si>
    <t xml:space="preserve">Not the same as Germia (Myriangeloi) at Gümüşkonak. The unnamed Galatia II seed row near Sivrihisar (Chalcedon 451) is probably this see.</t>
  </si>
  <si>
    <t xml:space="preserve">Pleiades 609351; Mitchell, Anatolia I; TIB 4</t>
  </si>
  <si>
    <t xml:space="preserve">Roman colony founded under Augustus (after the annexation of Galatia, 25 BC)</t>
  </si>
  <si>
    <t xml:space="preserve">No pre-Roman finds are reported at Babadat, and Niewöhner et al. 2013 question whether Babadat is the colony at all. The native-looking name Germa ('Germeni') hints at an older community but is not attested before the colony. Regionally, Roman sites lie near but never on Bronze Age höyüks.</t>
  </si>
  <si>
    <t xml:space="preserve">Niewöhner et al., Anatolian Studies 63 (2013) 97-136; Pleiades 609351; en.wikipedia Germa (Galatia)</t>
  </si>
  <si>
    <t xml:space="preserve">C485</t>
  </si>
  <si>
    <t xml:space="preserve">Pessinus</t>
  </si>
  <si>
    <t xml:space="preserve">Πεσσινοῦς</t>
  </si>
  <si>
    <t xml:space="preserve">Ballıhisar</t>
  </si>
  <si>
    <t xml:space="preserve">Ballıhisar (Sivrihisar, Eskişehir)</t>
  </si>
  <si>
    <t xml:space="preserve">Phrygian sanctuary of Kybele/Agdistis; no pre-Greek name attested</t>
  </si>
  <si>
    <t xml:space="preserve">Attalid letters (RC 55–61); Strabo 12.5.3; coins; metropolis of Galatia Salutaris; bishops 431–787</t>
  </si>
  <si>
    <t xml:space="preserve">Galatian (Celtic) and Phrygian spoken in the territory into Late Antiquity</t>
  </si>
  <si>
    <t xml:space="preserve">Could be dated to the 2nd c. BC (Greek-speaking priestly administration), but polis status is Augustan.</t>
  </si>
  <si>
    <t xml:space="preserve">Pleiades 609500; Verlinde 2015; Strabo 12.5.3; Welles, RC 55–61</t>
  </si>
  <si>
    <t xml:space="preserve">Phrygian temple-state of the Mother (Greek-language Attalid letters, 160s BC); organised as a polis (Sebastenoi Tolistobogioi Pessinuntioi) under Augustus</t>
  </si>
  <si>
    <t xml:space="preserve">C486</t>
  </si>
  <si>
    <t xml:space="preserve">Germia</t>
  </si>
  <si>
    <t xml:space="preserve">Γερμία</t>
  </si>
  <si>
    <t xml:space="preserve">Myriangeloi</t>
  </si>
  <si>
    <t xml:space="preserve">Gümüşkonak</t>
  </si>
  <si>
    <t xml:space="preserve">Gümüşkonak (Günyüzü, Eskişehir)</t>
  </si>
  <si>
    <t xml:space="preserve">bishops 451, 553, 787; autocephalous archbishopric</t>
  </si>
  <si>
    <t xml:space="preserve">Late antique spa and pilgrimage centre (Church of the Archangel).</t>
  </si>
  <si>
    <t xml:space="preserve">Pleiades 609388; TIB 4; Niewöhner, Germia</t>
  </si>
  <si>
    <t xml:space="preserve">see (Myriangeloi) attested 451; pilgrimage town of St Michael, later autocephalous archbishopric</t>
  </si>
  <si>
    <t xml:space="preserve">Survey and geophysics at Gümüşkonak found no Roman, let alone prehistoric, material: Germia was 'apparently a late foundation' as a pilgrimage centre. In this area Roman and Byzantine sites lie near but never on Bronze Age höyüks.</t>
  </si>
  <si>
    <t xml:space="preserve">Niewöhner et al., 'Bronze Age höyüks, Iron Age hilltop forts, Roman poleis and Byzantine pilgrimage in Germia and its vicinity', Anatolian Studies 63 (2013) 97-136</t>
  </si>
  <si>
    <t xml:space="preserve">C487</t>
  </si>
  <si>
    <t xml:space="preserve">Eudoxias</t>
  </si>
  <si>
    <t xml:space="preserve">Εὐδοξιάς</t>
  </si>
  <si>
    <t xml:space="preserve">near Günyüzü (Eskişehir), site doubtful</t>
  </si>
  <si>
    <t xml:space="preserve">Arcadius (named after Eudoxia)</t>
  </si>
  <si>
    <t xml:space="preserve">bishop 451; Notitiae</t>
  </si>
  <si>
    <t xml:space="preserve">Founder inferred from the name; Pleiades location marked doubtful ('Eudoxias?').</t>
  </si>
  <si>
    <t xml:space="preserve">Pleiades 609377; TIB 4; Council-sees seed</t>
  </si>
  <si>
    <t xml:space="preserve">named after the empress Eudoxia (d. 404), wife of Arcadius; bishop 451</t>
  </si>
  <si>
    <t xml:space="preserve">The site is doubtful. If Eudoxias = Roman Mantalos at Ayvalı (Niewöhner et al. 2013), an MBA/LBA mound (Ayvalı Höyük) lies c. 1.5 km south of it, but the authors treat it as a separate, discontinuous settlement.</t>
  </si>
  <si>
    <t xml:space="preserve">Niewöhner et al., Anatolian Studies 63 (2013) 97-136; Pleiades 609377</t>
  </si>
  <si>
    <t xml:space="preserve">C488</t>
  </si>
  <si>
    <t xml:space="preserve">Lycaonia</t>
  </si>
  <si>
    <t xml:space="preserve">Laranda</t>
  </si>
  <si>
    <t xml:space="preserve">Λάρανδα</t>
  </si>
  <si>
    <t xml:space="preserve">Larende (medieval/Ottoman); Karaman (from 13th c.)</t>
  </si>
  <si>
    <t xml:space="preserve">Karaman (Karaman)</t>
  </si>
  <si>
    <t xml:space="preserve">AD 163</t>
  </si>
  <si>
    <t xml:space="preserve">Landa (Hittite)?</t>
  </si>
  <si>
    <t xml:space="preserve">Landa, a Lower Land town in the Telipinu Proclamation (with Ḫupišna, Tuwanuwa, Lušna), is equated with Laranda on phonetic grounds only; doubtful.</t>
  </si>
  <si>
    <t xml:space="preserve">Diodorus 18.22; coins 163–249 (RPC IV.3, VIII); bishop Neon early 3rd c. (Eusebius HE 6.19); bishops 325, 451; Hierocles</t>
  </si>
  <si>
    <t xml:space="preserve">Probably Greek-speaking earlier than the first coins; the town was renamed Karaman after Karaman Bey (1256).</t>
  </si>
  <si>
    <t xml:space="preserve">Pleiades 648693; RPC IV.3 7249–51; Diodorus 18.22; Wikipedia: Laranda (Lycaonia); TIB 4</t>
  </si>
  <si>
    <t xml:space="preserve">native town stormed by Perdiccas in 322 BC (Diodorus 18.22); first Greek civic coins AD 163–165</t>
  </si>
  <si>
    <t xml:space="preserve">C489</t>
  </si>
  <si>
    <t xml:space="preserve">Ilistra</t>
  </si>
  <si>
    <t xml:space="preserve">Ἴλιστρα</t>
  </si>
  <si>
    <t xml:space="preserve">Ilisra (modern village name)</t>
  </si>
  <si>
    <t xml:space="preserve">Yollarbaşı</t>
  </si>
  <si>
    <t xml:space="preserve">Yollarbaşı (Karaman merkez, Karaman)</t>
  </si>
  <si>
    <t xml:space="preserve">coins Antonines–Philip I (RPC IV.3 7245–48, VIII); bishop 325; Hierocles</t>
  </si>
  <si>
    <t xml:space="preserve">Village was officially renamed Yollarbaşı; the older name Ilisra continues Ilistra.</t>
  </si>
  <si>
    <t xml:space="preserve">Pleiades 648648; RPC IV.3 7245–48; TIB 4</t>
  </si>
  <si>
    <t xml:space="preserve">Greek civic coins under Marcus Aurelius and Lucius Verus (c. 163–169)</t>
  </si>
  <si>
    <t xml:space="preserve">C490</t>
  </si>
  <si>
    <t xml:space="preserve">Derbe</t>
  </si>
  <si>
    <t xml:space="preserve">Δέρβη</t>
  </si>
  <si>
    <t xml:space="preserve">Klaudioderbe (Claudius)</t>
  </si>
  <si>
    <t xml:space="preserve">Kerti Hüyük near Ekinözü (Karaman merkez, Karaman)</t>
  </si>
  <si>
    <t xml:space="preserve">c. AD 45</t>
  </si>
  <si>
    <t xml:space="preserve">Acts 14; coins ΚΛΑΥ ΔΕΡΒ (RPC IV.3 7238–41); bishops 381–672</t>
  </si>
  <si>
    <t xml:space="preserve">Site at Kerti Hüyük (Ballance 1957, from an inscription of AD 157) is generally preferred; Devri Şehri (findspot of a bishop's epitaph) is the alternative.</t>
  </si>
  <si>
    <t xml:space="preserve">Pleiades 648620; Ballance 1957; RPC IV.3 7238–41; Wikipedia: Derbe</t>
  </si>
  <si>
    <t xml:space="preserve">seat of the dynast Antipater (1st c. BC); honorific title Klaudioderbe under Claudius (AD 41–54); 'city of Lycaonia' in Acts 14:6; coins 163–169</t>
  </si>
  <si>
    <t xml:space="preserve">C491</t>
  </si>
  <si>
    <t xml:space="preserve">Barata</t>
  </si>
  <si>
    <t xml:space="preserve">Βάρατα</t>
  </si>
  <si>
    <t xml:space="preserve">Barate; Baratta; Barathra (itineraries)</t>
  </si>
  <si>
    <t xml:space="preserve">Kızılkale on Kara Dağ (Karaman merkez, Karaman)</t>
  </si>
  <si>
    <t xml:space="preserve">c. AD 164</t>
  </si>
  <si>
    <t xml:space="preserve">coins Marcus Aurelius &amp; Philip I (RPC IV.3 7225–34, VIII); bishops 325, 381, 680; Hierocles</t>
  </si>
  <si>
    <t xml:space="preserve">Barrington places Barata at Kızılkale; Ramsay and Bell identified it with Maden Şehri (Binbirkilise) on Kara Dağ.</t>
  </si>
  <si>
    <t xml:space="preserve">Pleiades 648582; RPC IV.3 7225–34; TIB 4; Wikipedia: Barate</t>
  </si>
  <si>
    <t xml:space="preserve">Greek civic coins under Marcus Aurelius (c. 164–169)</t>
  </si>
  <si>
    <t xml:space="preserve">C492</t>
  </si>
  <si>
    <t xml:space="preserve">Hyde</t>
  </si>
  <si>
    <t xml:space="preserve">Ὕδη</t>
  </si>
  <si>
    <t xml:space="preserve">near Ayrancı (Karaman merkez, Karaman)</t>
  </si>
  <si>
    <t xml:space="preserve">Pleiades lists Hittite Ḫapalla as a name of this place; the equation is not generally accepted and is not used here.</t>
  </si>
  <si>
    <t xml:space="preserve">coins 163–165 (RPC IV.3 7242–44); Pliny NH 5.95; bishops 381, 451; Hierocles</t>
  </si>
  <si>
    <t xml:space="preserve">Site identification marked uncertain in Barrington (Hyde?).</t>
  </si>
  <si>
    <t xml:space="preserve">Pleiades 648644; RPC IV.3 7242–44; TIB 4</t>
  </si>
  <si>
    <t xml:space="preserve">Greek civic coins under Marcus Aurelius and Lucius Verus (163–165)</t>
  </si>
  <si>
    <t xml:space="preserve">C493</t>
  </si>
  <si>
    <t xml:space="preserve">Vasada</t>
  </si>
  <si>
    <t xml:space="preserve">Οὐάσαδα</t>
  </si>
  <si>
    <t xml:space="preserve">Ouasada</t>
  </si>
  <si>
    <t xml:space="preserve">Kestel Dağ above Bostandere (Seydişehir, Konya)</t>
  </si>
  <si>
    <t xml:space="preserve">Ptolemy; Hierocles; bishops from 325</t>
  </si>
  <si>
    <t xml:space="preserve">Roman-period Greek inscriptions from the site suggest civic life well before 325; date kept at first firm attestation.</t>
  </si>
  <si>
    <t xml:space="preserve">Pleiades 639028; TIB 4; Wikipedia: Vasada</t>
  </si>
  <si>
    <t xml:space="preserve">first bishop (Theodorus) at Nicaea 325</t>
  </si>
  <si>
    <t xml:space="preserve">C494</t>
  </si>
  <si>
    <t xml:space="preserve">Misthia</t>
  </si>
  <si>
    <t xml:space="preserve">Μίσθεια</t>
  </si>
  <si>
    <t xml:space="preserve">Klaudiokaisareia Mistheia (Claudius); Mistea</t>
  </si>
  <si>
    <t xml:space="preserve">Beyşehir</t>
  </si>
  <si>
    <t xml:space="preserve">Beyşehir or its immediate vicinity (Beyşehir, Konya)</t>
  </si>
  <si>
    <t xml:space="preserve">Claudian title (Barrington/Pleiades); Hierocles; bishop 381; later archbishopric</t>
  </si>
  <si>
    <t xml:space="preserve">Site identification with Beyşehir (Barrington) versus Fasıllar is debated.</t>
  </si>
  <si>
    <t xml:space="preserve">Pleiades 638997; TIB 4; Wikipedia: Misthia</t>
  </si>
  <si>
    <t xml:space="preserve">Claudian title Klaudiokaisareia shows civic status under Claudius (AD 41–54); bishop 381</t>
  </si>
  <si>
    <t xml:space="preserve">C495</t>
  </si>
  <si>
    <t xml:space="preserve">Korna</t>
  </si>
  <si>
    <t xml:space="preserve">Κόρνα</t>
  </si>
  <si>
    <t xml:space="preserve">Corna</t>
  </si>
  <si>
    <t xml:space="preserve">near Akören (Konya)</t>
  </si>
  <si>
    <t xml:space="preserve">AD 381</t>
  </si>
  <si>
    <t xml:space="preserve">Hierocles; bishops 381, 451</t>
  </si>
  <si>
    <t xml:space="preserve">Site uncertain (Barrington: Korna?).</t>
  </si>
  <si>
    <t xml:space="preserve">Pleiades 648680; TIB 4</t>
  </si>
  <si>
    <t xml:space="preserve">first attested bishop at Constantinople 381</t>
  </si>
  <si>
    <t xml:space="preserve">C496</t>
  </si>
  <si>
    <t xml:space="preserve">Lystra</t>
  </si>
  <si>
    <t xml:space="preserve">Λύστρα</t>
  </si>
  <si>
    <t xml:space="preserve">Colonia Iulia Felix Gemina Lustra (Augustus, 6 BC)</t>
  </si>
  <si>
    <t xml:space="preserve">Zoldera Höyük, N of Hatunsaray (Meram, Konya)</t>
  </si>
  <si>
    <t xml:space="preserve">6 BC</t>
  </si>
  <si>
    <t xml:space="preserve">Augustus (veteran colony, 6 BC) on a native Lycaonian town</t>
  </si>
  <si>
    <t xml:space="preserve">Lušna (Hittite)?</t>
  </si>
  <si>
    <t xml:space="preserve">Lušna, a Lower Land town in the Telipinu Proclamation, is often equated with Lystra on phonetic and regional grounds; unproven.</t>
  </si>
  <si>
    <t xml:space="preserve">Latin colonial coins Augustus–Marcus Aurelius (RPC I 3538–40, IV.3); Acts 14, 16; bishops 381, 431, 451; Hierocles</t>
  </si>
  <si>
    <t xml:space="preserve">Latin official in the colony (coin legends to Marcus Aurelius); Lycaonian vernacular in AD 47 (Acts 14:11); Greek prevailed by c. AD 200</t>
  </si>
  <si>
    <t xml:space="preserve">Counted as a colony that became Greek-speaking; the c. 200 date is an estimate from the end of Latin coinage and the Greek epigraphy of the area.</t>
  </si>
  <si>
    <t xml:space="preserve">Pleiades 648699; RPC I 3538–40; Acts 14:6–20; Levick 1967; Wikipedia: Lystra</t>
  </si>
  <si>
    <t xml:space="preserve">native Lycaonian town made an Augustan veteran colony (Colonia Iulia Felix Gemina Lustra) in 6 BC; Latin official until the later 2nd c. AD, Greek-speaking city by c. AD 200; bishops from 381</t>
  </si>
  <si>
    <t xml:space="preserve">C497</t>
  </si>
  <si>
    <t xml:space="preserve">Iconium</t>
  </si>
  <si>
    <t xml:space="preserve">Ἰκόνιον</t>
  </si>
  <si>
    <t xml:space="preserve">Klaudeikonion (Claudius); Col. Iulia Augusta (Augustan colony beside the polis); Col. Aelia Hadriana Augusta Iconiensium (Hadrian); Konya (Seljuk capital)</t>
  </si>
  <si>
    <t xml:space="preserve">Konya, Alaeddin Tepe (Selçuklu, Konya)</t>
  </si>
  <si>
    <t xml:space="preserve">Selçuklu</t>
  </si>
  <si>
    <t xml:space="preserve">Ikkuwaniya (Hittite)</t>
  </si>
  <si>
    <t xml:space="preserve">Ikkuwaniya appears in the Bronze Tablet treaty of Tudḫaliya IV with Kurunta as a border town of Tarḫuntašša; identification with Ikonion generally accepted. Alaeddin Tepe has Bronze Age and Phrygian levels.</t>
  </si>
  <si>
    <t xml:space="preserve">Xenophon Anab. 1.2.19; autonomous coins 1st c. BC (SNG vA 5285); coins Tiberius–3rd c. (RPC I 3540A ff.); Acts 13–14; metropolis of Lycaonia; bishops 325–787</t>
  </si>
  <si>
    <t xml:space="preserve">The Greek polis coexisted with an Augustan Roman colony (Latin legends from Vespasian) until Hadrian made the whole city a colony. Seljuk capital from 1097.</t>
  </si>
  <si>
    <t xml:space="preserve">Pleiades 648647; Xenophon Anab. 1.2.19; RPC I 3540A–3545; Belke &amp; Restle, TIB 4</t>
  </si>
  <si>
    <t xml:space="preserve">native town ('last city of Phrygia', Xenophon 401 BC); autonomous Greek bronze coins (ΕΙΚΟΝΙΕΩΝ) 1st c. BC; Klaudeikonion under Claudius; Roman colony under Hadrian</t>
  </si>
  <si>
    <t xml:space="preserve">C498</t>
  </si>
  <si>
    <t xml:space="preserve">Kanna</t>
  </si>
  <si>
    <t xml:space="preserve">Κάννα</t>
  </si>
  <si>
    <t xml:space="preserve">Canna; Kana</t>
  </si>
  <si>
    <t xml:space="preserve">E of Konya (Karatay, Konya)</t>
  </si>
  <si>
    <t xml:space="preserve">Pleiades 648662; TIB 4</t>
  </si>
  <si>
    <t xml:space="preserve">C499</t>
  </si>
  <si>
    <t xml:space="preserve">Savatra</t>
  </si>
  <si>
    <t xml:space="preserve">Σαύατρα</t>
  </si>
  <si>
    <t xml:space="preserve">Soatra (Strabo); Sabatra</t>
  </si>
  <si>
    <t xml:space="preserve">near Yağlıbayat (Karatay, Konya)</t>
  </si>
  <si>
    <t xml:space="preserve">c. AD 140</t>
  </si>
  <si>
    <t xml:space="preserve">coins Antoninus Pius–Marcus (RPC IV.3 7252–57); Ptolemy; Hierocles; bishops 381, 451</t>
  </si>
  <si>
    <t xml:space="preserve">Placement near Yağlıbayat is the modern consensus; Ramsay proposed other sites.</t>
  </si>
  <si>
    <t xml:space="preserve">Pleiades 648780; RPC IV.3 7252–57; Strabo 12.6.1; Wikipedia: Savatra</t>
  </si>
  <si>
    <t xml:space="preserve">a waterless village-town in Strabo (12.6.1); Greek civic coins under Antoninus Pius (138–161)</t>
  </si>
  <si>
    <t xml:space="preserve">C500</t>
  </si>
  <si>
    <t xml:space="preserve">Perta</t>
  </si>
  <si>
    <t xml:space="preserve">Πέρτα</t>
  </si>
  <si>
    <t xml:space="preserve">Petra (Tabula Peutingeriana)</t>
  </si>
  <si>
    <t xml:space="preserve">near İpekler (Gimir), Karatay / Altınekin (Konya)</t>
  </si>
  <si>
    <t xml:space="preserve">Tabula Peutingeriana; Notitiae (Lycaonia); titular see</t>
  </si>
  <si>
    <t xml:space="preserve">Episcopal status rests on the Notitiae and titular lists; no earlier civic evidence was found.</t>
  </si>
  <si>
    <t xml:space="preserve">Pleiades 619237; TIB 4; Wikipedia: Perta (Lycaonia)</t>
  </si>
  <si>
    <t xml:space="preserve">see of Lycaonia in the Notitiae (6th–7th c.)</t>
  </si>
  <si>
    <t xml:space="preserve">C501</t>
  </si>
  <si>
    <t xml:space="preserve">Psibela</t>
  </si>
  <si>
    <t xml:space="preserve">Ψιβήλα</t>
  </si>
  <si>
    <t xml:space="preserve">Verinopolis (renamed after Empress Verina, 457–479)</t>
  </si>
  <si>
    <t xml:space="preserve">unlocated in Lycaonia (region centre given)</t>
  </si>
  <si>
    <t xml:space="preserve">c. AD 470</t>
  </si>
  <si>
    <t xml:space="preserve">renamed under Leo I or Zeno (Verina)</t>
  </si>
  <si>
    <t xml:space="preserve">Notitiae (Lycaonia); titular see</t>
  </si>
  <si>
    <t xml:space="preserve">Unlocated; Ramsay compared Sibyla (Yıldızköy, Mut). Not the Galatian Verinopolis. One of the unnamed region-only Lycaonian council seeds may be this see.</t>
  </si>
  <si>
    <t xml:space="preserve">Wikipedia: Psibela; TIB 4</t>
  </si>
  <si>
    <t xml:space="preserve">renamed Verinopolis after Empress Verina (457–479), implying city status; see in the Notitiae</t>
  </si>
  <si>
    <t xml:space="preserve">C502</t>
  </si>
  <si>
    <t xml:space="preserve">Laodicea Combusta</t>
  </si>
  <si>
    <t xml:space="preserve">Λαοδίκεια ἡ Κατακεκαυμένη</t>
  </si>
  <si>
    <t xml:space="preserve">Laodikeia Katakekaumene; Claudiolaodicea (Claudius, AD 41); Ladik</t>
  </si>
  <si>
    <t xml:space="preserve">Ladik</t>
  </si>
  <si>
    <t xml:space="preserve">Ladik (Sarayönü, Konya)</t>
  </si>
  <si>
    <t xml:space="preserve">Seleucus I (Appian) or Antiochus I/II</t>
  </si>
  <si>
    <t xml:space="preserve">Strabo 14.2.29; coins Vespasian–Domitian (RPC II 1612–13); epitaph of bishop M. Julius Eugenius (early 4th c.); bishops 451, 553, 692; Hierocles</t>
  </si>
  <si>
    <t xml:space="preserve">'Burnt' after the volcanic landscape. Hierocles lists it in Pisidia; other authors place it in Lycaonia or Galatia.</t>
  </si>
  <si>
    <t xml:space="preserve">Pleiades 619197; Cohen 1995; RPC II 1612–13; Wikipedia: Laodicea Combusta</t>
  </si>
  <si>
    <t xml:space="preserve">Seleucid foundation named after a Laodike; Appian credits Seleucus I, but Antiochus I or II (c. 281–246 BC) is as likely; Claudiolaodicea under Claudius</t>
  </si>
  <si>
    <t xml:space="preserve">MAMA XI and local reports trace the town only from its Seleucid foundation. No höyük or pre-Hellenistic level is reported at Ladik (Halıcı).</t>
  </si>
  <si>
    <t xml:space="preserve">MAMA XI (mama.csad.ox.ac.uk/monuments/Laodikeia.html); Pleiades 619197; Aydınlık report on Ladik archaeopark</t>
  </si>
  <si>
    <t xml:space="preserve">C503</t>
  </si>
  <si>
    <t xml:space="preserve">Gdamaua</t>
  </si>
  <si>
    <t xml:space="preserve">Γδάμαυα</t>
  </si>
  <si>
    <t xml:space="preserve">Ekdaumaua (Ptolemy); Egdava</t>
  </si>
  <si>
    <t xml:space="preserve">near Kuyulusebil (Sarayönü / Cihanbeyli, Konya)</t>
  </si>
  <si>
    <t xml:space="preserve">Ptolemy 5.4; bishop 325</t>
  </si>
  <si>
    <t xml:space="preserve">Only one attested bishop; later lists do not show it.</t>
  </si>
  <si>
    <t xml:space="preserve">Pleiades 619154; Honigmann 1939 (Nicaea list); TIB 4</t>
  </si>
  <si>
    <t xml:space="preserve">bishop at Nicaea 325 (Honigmann)</t>
  </si>
  <si>
    <t xml:space="preserve">C504</t>
  </si>
  <si>
    <t xml:space="preserve">Claneus</t>
  </si>
  <si>
    <t xml:space="preserve">Κλανεός</t>
  </si>
  <si>
    <t xml:space="preserve">Klaneos</t>
  </si>
  <si>
    <t xml:space="preserve">near Turgut (Yunak, Konya)</t>
  </si>
  <si>
    <t xml:space="preserve">Hierocles; Notitiae (under Pessinous); bishops 680–81, 692, 787</t>
  </si>
  <si>
    <t xml:space="preserve">Site tentatively placed near Turgut (Barrington: Klaneos?).</t>
  </si>
  <si>
    <t xml:space="preserve">Pleiades 609435; TIB 4; Wikipedia: Claneus</t>
  </si>
  <si>
    <t xml:space="preserve">listed by Hierocles (c. 527); bishops 680–81, 787</t>
  </si>
  <si>
    <t xml:space="preserve">C505</t>
  </si>
  <si>
    <t xml:space="preserve">Petinessus</t>
  </si>
  <si>
    <t xml:space="preserve">Πιτνισσός</t>
  </si>
  <si>
    <t xml:space="preserve">Petinessos; Pitnisos (Strabo)</t>
  </si>
  <si>
    <t xml:space="preserve">unlocated: W of Lake Tatta (Tuz Gölü), perhaps near Piribeyli (Kulu, Konya)</t>
  </si>
  <si>
    <t xml:space="preserve">c. AD 390</t>
  </si>
  <si>
    <t xml:space="preserve">Strabo; Ptolemy; Hierocles; Notitiae (under Pessinous); bishop 451</t>
  </si>
  <si>
    <t xml:space="preserve">Location only regional (Strabo: in the salt steppe west of Lake Tatta; Ramsay: near Piribeyli).</t>
  </si>
  <si>
    <t xml:space="preserve">Strabo (Pitnisos); Wikipedia: Petinessus; TIB 4</t>
  </si>
  <si>
    <t xml:space="preserve">made a bishopric by Theodosius I (386–395); bishop Pius at Chalcedon 451; Hierocles</t>
  </si>
  <si>
    <t xml:space="preserve">C506</t>
  </si>
  <si>
    <t xml:space="preserve">Cinna (Galatia)</t>
  </si>
  <si>
    <t xml:space="preserve">Κίννα</t>
  </si>
  <si>
    <t xml:space="preserve">Kinna</t>
  </si>
  <si>
    <t xml:space="preserve">near Karahamzalı (Bala, Ankara)</t>
  </si>
  <si>
    <t xml:space="preserve">Ankara</t>
  </si>
  <si>
    <t xml:space="preserve">Wikipedia equates Kinna with Hittite Zallara; the identification is unsupported and not used.</t>
  </si>
  <si>
    <t xml:space="preserve">Ptolemy; Hierocles; bishops 431, 451, 680–81, 787</t>
  </si>
  <si>
    <t xml:space="preserve">Site only approximately located (alternatives near Cihanbeyli or Kulu).</t>
  </si>
  <si>
    <t xml:space="preserve">Pleiades 619188; TIB 4; Wikipedia: Cinna (Galatia)</t>
  </si>
  <si>
    <t xml:space="preserve">first attested bishop at Ephesus 431</t>
  </si>
  <si>
    <t xml:space="preserve">C507</t>
  </si>
  <si>
    <t xml:space="preserve">Aspona</t>
  </si>
  <si>
    <t xml:space="preserve">Ἄσπονα</t>
  </si>
  <si>
    <t xml:space="preserve">Aspuna</t>
  </si>
  <si>
    <t xml:space="preserve">Sarıhüyük</t>
  </si>
  <si>
    <t xml:space="preserve">Sarıhüyük (formerly Şedithüyük), Bala (Ankara), near the Kırıkkale border</t>
  </si>
  <si>
    <t xml:space="preserve">AD 343</t>
  </si>
  <si>
    <t xml:space="preserve">Itin. Ant.; Itin. Burdig.; Ammianus 25.10; Hierocles; bishops 343, 431, 451, 680–81, 787</t>
  </si>
  <si>
    <t xml:space="preserve">Pleiades 619118; TIB 4; Wikipedia: Aspona</t>
  </si>
  <si>
    <t xml:space="preserve">road station (itineraries); bishop Catherius at Serdica 343; 'municipium' of Galatia in Ammianus (364)</t>
  </si>
  <si>
    <t xml:space="preserve">C508</t>
  </si>
  <si>
    <t xml:space="preserve">Ancyra</t>
  </si>
  <si>
    <t xml:space="preserve">Sebaste Tektosagon (Augustus); Angora/Engürü (medieval/Ottoman)</t>
  </si>
  <si>
    <t xml:space="preserve">Ankara, Ulus and citadel (Altındağ, Ankara)</t>
  </si>
  <si>
    <t xml:space="preserve">Altındağ</t>
  </si>
  <si>
    <t xml:space="preserve">Augustus (polis constitution for the tribal centre)</t>
  </si>
  <si>
    <t xml:space="preserve">Monumentum Ancyranum; coins Augustus–3rd c. (RPC); koinon of Galatia; Council of Ancyra 314; bishops 325–787; Hierocles</t>
  </si>
  <si>
    <t xml:space="preserve">The name may be a Hellenized native name (folk-etymologised as 'anchor'). Galatian Celtic survived in the countryside into the 4th c. (Jerome). Hittite Ankuwa is Alişar Hüyük, not Ankara.</t>
  </si>
  <si>
    <t xml:space="preserve">Pleiades 619103; Mitchell, Anatolia I (1993); Pausanias 1.4.5; RPC (Ancyra, Galatia)</t>
  </si>
  <si>
    <t xml:space="preserve">Phrygian town (Midas foundation legend, Pausanias 1.4.5) and seat of the Galatian Tectosages; constituted a polis (Sebaste Tektosagon) after Galatia became a province in 25 BC</t>
  </si>
  <si>
    <t xml:space="preserve">C509</t>
  </si>
  <si>
    <t xml:space="preserve">Mnizus</t>
  </si>
  <si>
    <t xml:space="preserve">Μνιζός</t>
  </si>
  <si>
    <t xml:space="preserve">Minizos; Rhegemnezos (Hierocles); Mizagus (Tab. Peut.)</t>
  </si>
  <si>
    <t xml:space="preserve">near Balçiçek Çiftliği (Ayaş, Ankara)</t>
  </si>
  <si>
    <t xml:space="preserve">Hierocles (as Rhegemnezos); imperial constitutions issued there (Anastasius); bishops 451, 680–81, 787</t>
  </si>
  <si>
    <t xml:space="preserve">Listed by Hierocles with the 'Rhege-' (regio) prefix, i.e. as an estate district, yet a see from 451.</t>
  </si>
  <si>
    <t xml:space="preserve">Pleiades 845020; TIB 4; Wikipedia: Mnizus</t>
  </si>
  <si>
    <t xml:space="preserve">first bishop at Chalcedon 451</t>
  </si>
  <si>
    <t xml:space="preserve">C510</t>
  </si>
  <si>
    <t xml:space="preserve">Lagania</t>
  </si>
  <si>
    <t xml:space="preserve">Λαγανία</t>
  </si>
  <si>
    <t xml:space="preserve">Anastasiopolis (Anastasius I, 491–518); Lagantine</t>
  </si>
  <si>
    <t xml:space="preserve">S of Beypazarı (Beypazarı, Ankara); traditionally equated with Beypazarı town</t>
  </si>
  <si>
    <t xml:space="preserve">raised/renamed by Anastasius I</t>
  </si>
  <si>
    <t xml:space="preserve">itineraries; bishops 451, 680–81, 787; Theodore of Sykeon bishop (late 6th c.)</t>
  </si>
  <si>
    <t xml:space="preserve">Barrington/Pleiades put the site c. 15 km S of Beypazarı; Wikipedia equates it with Beypazarı itself.</t>
  </si>
  <si>
    <t xml:space="preserve">Pleiades 609447; TIB 4; Life of Theodore of Sykeon; Wikipedia: Lagania</t>
  </si>
  <si>
    <t xml:space="preserve">first bishop at Chalcedon 451; renamed Anastasiopolis by Anastasius I</t>
  </si>
  <si>
    <t xml:space="preserve">C511</t>
  </si>
  <si>
    <t xml:space="preserve">Juliopolis</t>
  </si>
  <si>
    <t xml:space="preserve">Ἰουλιόπολις</t>
  </si>
  <si>
    <t xml:space="preserve">Gordiou Kome (village); Basileion/Basilaion (c. 880, Basil I)</t>
  </si>
  <si>
    <t xml:space="preserve">near Çayırhan (Nallıhan, Ankara), partly under the Sarıyar Dam reservoir</t>
  </si>
  <si>
    <t xml:space="preserve">Cleon of Gordiou Kome, dynast under Antony and Octavian</t>
  </si>
  <si>
    <t xml:space="preserve">Strabo 12.8.9; Pliny NH 5; coins (Bithynian series); bishop Philadelphus at Ancyra 314 and Nicaea 325; Hierocles</t>
  </si>
  <si>
    <t xml:space="preserve">In Bithynia in the early empire, in Galatia I in Late Antiquity (border with the BIT batch). Milestones confirm the site; necropolis excavated before the dam.</t>
  </si>
  <si>
    <t xml:space="preserve">Pleiades 844935; Strabo 12.8.9; TIB 4; Wikipedia: Juliopolis</t>
  </si>
  <si>
    <t xml:space="preserve">the village Gordiou Kome was made a city and renamed Juliopolis (after Octavian) by the local dynast Cleon (Strabo 12.8.9), c. 30s BC</t>
  </si>
  <si>
    <t xml:space="preserve">C512</t>
  </si>
  <si>
    <t xml:space="preserve">Verinopolis (Galatia)</t>
  </si>
  <si>
    <t xml:space="preserve">Βηρινούπολις</t>
  </si>
  <si>
    <t xml:space="preserve">Berinopolis; later joined with Stauropolis</t>
  </si>
  <si>
    <t xml:space="preserve">unlocated in Galatia I (region centre given); old equation with Euagina near Büyük Köhne (Sorgun, Yozgat) probably wrong</t>
  </si>
  <si>
    <t xml:space="preserve">named after Empress Verina (reign of Leo I)</t>
  </si>
  <si>
    <t xml:space="preserve">Notitiae (under Ankyra); bishops 680–81, 692, 787, 869–80</t>
  </si>
  <si>
    <t xml:space="preserve">Unlocated; the unnamed region-only Galatia I council seed (680–81, 787) matches this see. Under Leo VI part of the tourma of Saniana (Charsianon), so perhaps E of Ankara toward the Halys.</t>
  </si>
  <si>
    <t xml:space="preserve">Wikipedia: Verinopolis; TIB 4</t>
  </si>
  <si>
    <t xml:space="preserve">named after Empress Verina (wife of Leo I, 457–474), implying city status; bishops from 680–81</t>
  </si>
  <si>
    <t xml:space="preserve">Unlocated see.</t>
  </si>
  <si>
    <t xml:space="preserve">TIB 4 (Galatien und Lykaonien)</t>
  </si>
  <si>
    <t xml:space="preserve">C513</t>
  </si>
  <si>
    <t xml:space="preserve">Tavium</t>
  </si>
  <si>
    <t xml:space="preserve">Ταούιον</t>
  </si>
  <si>
    <t xml:space="preserve">Sebastenoi Trokmoi Taouianoi (Augustan polis); Tabia</t>
  </si>
  <si>
    <t xml:space="preserve">Büyüknefes</t>
  </si>
  <si>
    <t xml:space="preserve">Büyüknefes (Yozgat merkez, Yozgat)</t>
  </si>
  <si>
    <t xml:space="preserve">Yozgat</t>
  </si>
  <si>
    <t xml:space="preserve">Augustus (polis constitution for the Trocmi)</t>
  </si>
  <si>
    <t xml:space="preserve">Tawiniya (Hittite)?</t>
  </si>
  <si>
    <t xml:space="preserve">Hittite Tawiniya is equated with Tavium on phonetic and regional grounds (listed by Pleiades); not proven. The mound has occupation from the 4th millennium BC.</t>
  </si>
  <si>
    <t xml:space="preserve">Strabo 12.5.2; coins mid-1st c.–Severus (RPC I 3568–70, II 1624–26); bishops 325, 451, 553; Hierocles</t>
  </si>
  <si>
    <t xml:space="preserve">Polis status may postdate Ankyra slightly; Galatian Celtic long spoken in the countryside.</t>
  </si>
  <si>
    <t xml:space="preserve">Pleiades 619267; Strabo 12.5.2; RPC II 1624; Strobel &amp; Gerber, Tavium survey</t>
  </si>
  <si>
    <t xml:space="preserve">emporion of the Galatian Trocmi (Strabo 12.5.2); constituted a polis (Sebaste Trokmon) in the Augustan organisation of Galatia; coins from the mid-1st c. AD</t>
  </si>
  <si>
    <t xml:space="preserve">C514</t>
  </si>
  <si>
    <t xml:space="preserve">Paphlagonia and Pontus</t>
  </si>
  <si>
    <t xml:space="preserve">Paphlagonia</t>
  </si>
  <si>
    <t xml:space="preserve">Tium (Tios, Tieion)</t>
  </si>
  <si>
    <t xml:space="preserve">Τίειον</t>
  </si>
  <si>
    <t xml:space="preserve">Tios, Teion (Ps.-Scylax); Phileios (medieval Roman, after the river Billaios/Phileios)</t>
  </si>
  <si>
    <t xml:space="preserve">Filyos</t>
  </si>
  <si>
    <t xml:space="preserve">Filyos/Hisarönü (Çaycuma, Zonguldak)</t>
  </si>
  <si>
    <t xml:space="preserve">IACP (Pontos); Ps.-Scylax 90; coins Hellenistic to Gallienus; Hierocles; bishops 431–869</t>
  </si>
  <si>
    <t xml:space="preserve">Ancient writers disagree whether it belonged to Bithynia or Paphlagonia. Birthplace of Philetairos of Pergamon. The Turkish Filyos comes from the medieval Roman name of the river and town.</t>
  </si>
  <si>
    <t xml:space="preserve">IACP (Pontos); Strabo 12.3.8; Atasoy, Filyos-Tios excavations (2006–); Pleiades 845084; Wikipedia: Tium</t>
  </si>
  <si>
    <t xml:space="preserve">Milesian colony (Steph. Byz.); excavators date the earliest acropolis settlement to the 6th c. BC (some 7th-c. material reported in the region); Ps.-Scylax 90 'Hellenic city with harbour' (c. 340 BC)</t>
  </si>
  <si>
    <t xml:space="preserve">Rejected 'no known'. Sönmez &amp; Öztürk report only one acropolis sounding (Kale Tepesi), whose earliest sherds are black-figure pieces 'thought possibly Archaic'. They give no depth and do not say virgin soil or bedrock was reached, so this is absence of finds in a limited sounding (rule 7). No author calls the site new ground. Strabo (12.3.5) places the native Kaukones around Tieion, so a native presence nearby is possible but unproven.</t>
  </si>
  <si>
    <t xml:space="preserve">İ. F. Sönmez &amp; B. Öztürk, 'Batı Karadeniz'de bir antik kent kazısı: Tios (Filyos)', 133–146 (ancientportsantiques.com/.../Tios-Sonmez2008.pdf); en.wikipedia Tium (Gorman, Miletos 70: 7th-c. Milesian colony); Strabo 12.3.5</t>
  </si>
  <si>
    <t xml:space="preserve">C515</t>
  </si>
  <si>
    <t xml:space="preserve">Amastris</t>
  </si>
  <si>
    <t xml:space="preserve">Ἄμαστρις</t>
  </si>
  <si>
    <t xml:space="preserve">Sesamos (Σήσαμος, the earlier Greek city on the site); Samastro (Genoese)</t>
  </si>
  <si>
    <t xml:space="preserve">Amasra</t>
  </si>
  <si>
    <t xml:space="preserve">Amasra (Amasra, Bartın)</t>
  </si>
  <si>
    <t xml:space="preserve">Bartın</t>
  </si>
  <si>
    <t xml:space="preserve">Ionian (probably Milesian) settlers at Sesamos; synoecism by Queen Amastris c. 300 BC</t>
  </si>
  <si>
    <t xml:space="preserve">Miletus?</t>
  </si>
  <si>
    <t xml:space="preserve">Sesamos is named among Paphlagonian places in Homer (Il. 2.853); surveys at Tekketepe report possible Bronze Age material. No native-script name.</t>
  </si>
  <si>
    <t xml:space="preserve">IACP (Pontos) for Sesamos; Ps.-Scylax 90; coins of Queen Amastris and the city; Roman 'metropolis' title; Hierocles; bishops from 2nd c. (Palmas) to 787; later metropolis</t>
  </si>
  <si>
    <t xml:space="preserve">Mother city not attested; the founding date of Sesamos is probably Archaic but undocumented. Genoese 1261–1460, then Ottoman.</t>
  </si>
  <si>
    <t xml:space="preserve">Strabo 12.3.10; IACP (Pontos), Sesamos; Pleiades 844856; Wikipedia: Amasra</t>
  </si>
  <si>
    <t xml:space="preserve">Sesamos: Ionian (probably Milesian) settlement of unknown date, probably Archaic; first firm evidence is Ps.-Scylax 90 'Hellenic city' (c. 340 BC); synoecised as Amastris by Queen Amastris c. 300 BC</t>
  </si>
  <si>
    <t xml:space="preserve">C516</t>
  </si>
  <si>
    <t xml:space="preserve">Cromna</t>
  </si>
  <si>
    <t xml:space="preserve">Κρῶμνα</t>
  </si>
  <si>
    <t xml:space="preserve">Tekkeönü</t>
  </si>
  <si>
    <t xml:space="preserve">Tekkeönü (Kurucaşile, Bartın)</t>
  </si>
  <si>
    <t xml:space="preserve">Ionian (probably Milesian) settlers; not attested</t>
  </si>
  <si>
    <t xml:space="preserve">Named as a Paphlagonian place in Homer's Trojan Catalogue; no pre-Greek-script attestation.</t>
  </si>
  <si>
    <t xml:space="preserve">IACP (Pontos); civic silver coins 4th c. BC; absorbed into Amastris c. 300 BC</t>
  </si>
  <si>
    <t xml:space="preserve">Steph. Byz. says Amastris was first called Kromna, so some place Kromna at Amasra; Barrington puts it at Tekkeönü near Kurucaşile. A village dependent on Amastris after c. 300 BC.</t>
  </si>
  <si>
    <t xml:space="preserve">IACP (Pontos); Strabo 12.3.10; Homer Il. 2.855; Pleiades 844994</t>
  </si>
  <si>
    <t xml:space="preserve">Homeric Paphlagonian place (Il. 2.855); a Greek polis striking its own silver in the 4th c. BC; probably an Archaic Ionian foundation of unknown date</t>
  </si>
  <si>
    <t xml:space="preserve">C517</t>
  </si>
  <si>
    <t xml:space="preserve">Cytorus</t>
  </si>
  <si>
    <t xml:space="preserve">Κύτωρος</t>
  </si>
  <si>
    <t xml:space="preserve">Kytoris (Ps.-Scylax)</t>
  </si>
  <si>
    <t xml:space="preserve">Gideros</t>
  </si>
  <si>
    <t xml:space="preserve">Gideros bay, Kalafat (Cide, Kastamonu)</t>
  </si>
  <si>
    <t xml:space="preserve">Kastamonu</t>
  </si>
  <si>
    <t xml:space="preserve">Sinope (as its emporion)</t>
  </si>
  <si>
    <t xml:space="preserve">Sinope</t>
  </si>
  <si>
    <t xml:space="preserve">Named as a Paphlagonian place in Homer (Il. 2.853); Greek myth makes Kytoros son of Phrixos the eponym.</t>
  </si>
  <si>
    <t xml:space="preserve">IACP (Pontos); Ps.-Scylax 90; absorbed into Amastris c. 300 BC</t>
  </si>
  <si>
    <t xml:space="preserve">Famous for boxwood. Turkish Gideros keeps the name, which is probably Paphlagonian (Homeric). A village of Amastris after the synoecism.</t>
  </si>
  <si>
    <t xml:space="preserve">Strabo 12.3.10; Ps.-Scylax 90; Homer Il. 2.853; Pleiades 844997; Wikipedia: Cytorus</t>
  </si>
  <si>
    <t xml:space="preserve">Emporion of Sinope (Strabo 12.3.10), founding date unknown; first called a 'Hellenic city' by Ps.-Scylax 90 (c. 340 BC)</t>
  </si>
  <si>
    <t xml:space="preserve">C518</t>
  </si>
  <si>
    <t xml:space="preserve">Carambis</t>
  </si>
  <si>
    <t xml:space="preserve">Κάραμβις</t>
  </si>
  <si>
    <t xml:space="preserve">Karamos (Ps.-Scylax MSS); Carambas (Tab. Peut.)</t>
  </si>
  <si>
    <t xml:space="preserve">near Fakaz, Kerempe Burnu (Doğanyurt, Kastamonu)</t>
  </si>
  <si>
    <t xml:space="preserve">unknown Greek settlers (perhaps from Sinope)</t>
  </si>
  <si>
    <t xml:space="preserve">Ps.-Scylax 90 'Hellenic city'; Pliny, Strabo (cape)</t>
  </si>
  <si>
    <t xml:space="preserve">The only evidence that it was a city is Ps.-Scylax. The site near Cape Kerempe is a tentative placement.</t>
  </si>
  <si>
    <t xml:space="preserve">Ps.-Scylax 90 (Shipley 2019); Strabo 12.3.10; Pleiades 844970; Wikipedia: Carambis</t>
  </si>
  <si>
    <t xml:space="preserve">called a 'Hellenic city' by Ps.-Scylax 90 (c. 340 BC); founding date unknown</t>
  </si>
  <si>
    <t xml:space="preserve">Known only from Ps.-Scylax; the site near Cape Kerempe is tentative and unexcavated.</t>
  </si>
  <si>
    <t xml:space="preserve">Pleiades 844970</t>
  </si>
  <si>
    <t xml:space="preserve">C519</t>
  </si>
  <si>
    <t xml:space="preserve">Abonoteichus (Ionopolis)</t>
  </si>
  <si>
    <t xml:space="preserve">Ἀβώνου τεῖχος</t>
  </si>
  <si>
    <t xml:space="preserve">Ionopolis (Ἰωνόπολις, renamed c. AD 160s at the request of Alexander of Abonouteichos); Inepolis (medieval Roman)</t>
  </si>
  <si>
    <t xml:space="preserve">İnebolu</t>
  </si>
  <si>
    <t xml:space="preserve">İnebolu (İnebolu, Kastamonu)</t>
  </si>
  <si>
    <t xml:space="preserve">c. 120 BC</t>
  </si>
  <si>
    <t xml:space="preserve">Pontic civic bronzes c. 120–63 BC; Strabo 12.3.10; Roman provincial coins (Abonouteichos, then Ionopolis); Hierocles; bishops 325–787</t>
  </si>
  <si>
    <t xml:space="preserve">Home of the prophet Alexander and the Glykon cult (Lucian). The origin of the name 'Abonos' is unknown. It may have been a Greek coastal settlement long before the coins.</t>
  </si>
  <si>
    <t xml:space="preserve">Strabo 12.3.10; Lucian, Alexander; Pleiades 844847; Wikipedia: Abonoteichos</t>
  </si>
  <si>
    <t xml:space="preserve">first attested as a minting community: Pontic civic bronzes 'ΑΒΩΝΟΥ ΤΕΙΧΟΥΣ' under Mithridates VI (c. 120–63 BC); Strabo 12.3.10 calls it a polisma</t>
  </si>
  <si>
    <t xml:space="preserve">The İnebolu–Bozkurt–Abana survey found Hellenistic pottery, Roman blocks and a necropolis, with no pre-Greek levels reported. The origin of the name 'Abonos' is unknown.</t>
  </si>
  <si>
    <t xml:space="preserve">https://hurriyetdailynews.com/centuries-old-finds-unearthed-in-inebolu-198065 ; Kastamonu Univ. survey news</t>
  </si>
  <si>
    <t xml:space="preserve">C520</t>
  </si>
  <si>
    <t xml:space="preserve">Cinolis</t>
  </si>
  <si>
    <t xml:space="preserve">Κίνωλις</t>
  </si>
  <si>
    <t xml:space="preserve">Kimolis</t>
  </si>
  <si>
    <t xml:space="preserve">Ginolu Kalesi, on the coast c. 4.5 km W of Çatalzeytin (Çatalzeytin, Kastamonu)</t>
  </si>
  <si>
    <t xml:space="preserve">Ps.-Scylax 90 'Hellenic city'; later only an anchorage/emporion (Strabo 12.3.10, Arrian, Periplus)</t>
  </si>
  <si>
    <t xml:space="preserve">Its city status rests only on Ps.-Scylax. Later a small emporion, with a 9th/10th-c. medieval Roman castle at Ginolu Kalesi.</t>
  </si>
  <si>
    <t xml:space="preserve">Ps.-Scylax 90; Arrian, Periplus; Pleiades 844984; Wikipedia: Cinolis</t>
  </si>
  <si>
    <t xml:space="preserve">Known from Ps.-Scylax and later periploi; the only visible remains are a 9th/10th-c. castle at Ginolu Kalesi. No early levels are known.</t>
  </si>
  <si>
    <t xml:space="preserve">Pleiades 844984</t>
  </si>
  <si>
    <t xml:space="preserve">C521</t>
  </si>
  <si>
    <t xml:space="preserve">Colussa (Koloussa)</t>
  </si>
  <si>
    <t xml:space="preserve">Κόλουσσα</t>
  </si>
  <si>
    <t xml:space="preserve">near Güllüsu (Türkeli, Sinop)</t>
  </si>
  <si>
    <t xml:space="preserve">Sinop</t>
  </si>
  <si>
    <t xml:space="preserve">Ps.-Scylax 90 'Hellenic city' only</t>
  </si>
  <si>
    <t xml:space="preserve">Known only from Ps.-Scylax. The site is Barrington's placement and lies near the Kastamonu–Sinop boundary.</t>
  </si>
  <si>
    <t xml:space="preserve">Ps.-Scylax 90; Barrington 86 E2; Pleiades 844989; Wikipedia: Colussa</t>
  </si>
  <si>
    <t xml:space="preserve">Known only from Ps.-Scylax; the location is a Barrington placement and the site is unexcavated.</t>
  </si>
  <si>
    <t xml:space="preserve">Pleiades 844989</t>
  </si>
  <si>
    <t xml:space="preserve">C522</t>
  </si>
  <si>
    <t xml:space="preserve">Tetrakis</t>
  </si>
  <si>
    <t xml:space="preserve">Τετρακίς</t>
  </si>
  <si>
    <t xml:space="preserve">unlocated, Sinop coast between Stephane and Armene (Ayancık–Erfelek area?)</t>
  </si>
  <si>
    <t xml:space="preserve">Ps.-Scylax 89 'Hellenic city' only</t>
  </si>
  <si>
    <t xml:space="preserve">Known only from Ps.-Scylax. Its position comes from his east-to-west order (Sinope, Kerasous, Harmene, Tetrakis, then Stephane in Paphlagonia).</t>
  </si>
  <si>
    <t xml:space="preserve">Ps.-Scylax 89 (Shipley 2019); Wikipedia: Tetrakis (Paphlagonia)</t>
  </si>
  <si>
    <t xml:space="preserve">called a 'Hellenic city' by Ps.-Scylax 89 (c. 340 BC), listed after Armene</t>
  </si>
  <si>
    <t xml:space="preserve">Unlocated; known only from Ps.-Scylax.</t>
  </si>
  <si>
    <t xml:space="preserve">Ps.-Scylax 89</t>
  </si>
  <si>
    <t xml:space="preserve">C523</t>
  </si>
  <si>
    <t xml:space="preserve">Armene (Harmene)</t>
  </si>
  <si>
    <t xml:space="preserve">Ἁρμένη</t>
  </si>
  <si>
    <t xml:space="preserve">Harmene (Ps.-Scylax)</t>
  </si>
  <si>
    <t xml:space="preserve">Akliman (Merkez, Sinop)</t>
  </si>
  <si>
    <t xml:space="preserve">IACP (Pontos); Xen. Anab. 6.1.15; Ps.-Scylax 89; Strabo 12.3.10</t>
  </si>
  <si>
    <t xml:space="preserve">A dependency of Sinope 50 stadia to its west. Strabo quotes a proverb about the man 'who walled Armene'.</t>
  </si>
  <si>
    <t xml:space="preserve">Xen. Anab. 6.1.15; Ps.-Scylax 89; Strabo 12.3.10; Pleiades 844865; Wikipedia: Armene</t>
  </si>
  <si>
    <t xml:space="preserve">harbour of Sinope where the Ten Thousand stayed in 400 BC (Xen. Anab. 6.1.15); 'Hellenic city with harbour' in Ps.-Scylax 89 (c. 340 BC)</t>
  </si>
  <si>
    <t xml:space="preserve">No excavation at Akliman, and no report of a pre-Greek settlement at the site. Strabo's 'who walled Armene' proverb is not evidence of earlier occupation.</t>
  </si>
  <si>
    <t xml:space="preserve">Xen. Anab. 6.1.15; Strabo 12.3.10; Pleiades 844865</t>
  </si>
  <si>
    <t xml:space="preserve">C524</t>
  </si>
  <si>
    <t xml:space="preserve">Σινώπη</t>
  </si>
  <si>
    <t xml:space="preserve">Colonia Iulia Felix Sinope (Caesar, 45 BC)</t>
  </si>
  <si>
    <t xml:space="preserve">Sinop (Merkez, Sinop)</t>
  </si>
  <si>
    <t xml:space="preserve">c. 631 BC</t>
  </si>
  <si>
    <t xml:space="preserve">Miletus (oikists Kous and Kretines; earlier Habrondas by tradition; mythical Autolykos)</t>
  </si>
  <si>
    <t xml:space="preserve">Sinop Kale excavations (2000, 2015) found Early Bronze Age pottery and Early–Middle Iron Age (c. 1000–700 BC) structures, probably a seasonal fishing settlement, beneath the colony. No pre-Greek name is attested; claims of a Hittite-era port are unsupported.</t>
  </si>
  <si>
    <t xml:space="preserve">IACP (Pontos); coins from 5th c. BC; Pontic royal capital 183–70 BC; Roman colony 45 BC; Hierocles; bishops 451–; medieval Roman autocephalous archbishopric</t>
  </si>
  <si>
    <t xml:space="preserve">Mother city of Kotyora, Kerasous, Trapezous and (in part) Amisos. Trapezuntine 1204–14; Seljuk from 1214 (briefly retaken by Trebizond in the mid-13th c.); Ottoman 1461.</t>
  </si>
  <si>
    <t xml:space="preserve">IACP (Pontos), Sinope; Ps.-Scymnus (Sinope); Doonan et al. 2017, Sinop Kale excavations; Pleiades 857321; Wikipedia: Sinop, Turkey</t>
  </si>
  <si>
    <t xml:space="preserve">refounded by the Milesians Kous and Kretines after the Cimmerian raids, 631 BC (Eusebius), matching the earliest Greek pottery (late 7th c.); tradition of an earlier Milesian foundation (Habrondas) before the Cimmerians, which Trapezous' date (756) would put before 756</t>
  </si>
  <si>
    <t xml:space="preserve">C525</t>
  </si>
  <si>
    <t xml:space="preserve">Carusa</t>
  </si>
  <si>
    <t xml:space="preserve">Κάρουσα</t>
  </si>
  <si>
    <t xml:space="preserve">Karoussa; Polichnion (Barrington)</t>
  </si>
  <si>
    <t xml:space="preserve">Gerze</t>
  </si>
  <si>
    <t xml:space="preserve">Gerze (Gerze, Sinop)</t>
  </si>
  <si>
    <t xml:space="preserve">unknown Greek settlers (probably from Sinope)</t>
  </si>
  <si>
    <t xml:space="preserve">IACP p. 958; Athenian tribute assessment 425/4 BC; Ps.-Scylax 89</t>
  </si>
  <si>
    <t xml:space="preserve">150 stadia south-east of Sinope; later a small emporion (Arrian).</t>
  </si>
  <si>
    <t xml:space="preserve">IACP p. 958; Ps.-Scylax 89; Arrian, Periplus; Pleiades 857181; Wikipedia: Carussa</t>
  </si>
  <si>
    <t xml:space="preserve">assessed for tribute in the Athenian Pontic assessment of 425/4 BC; 'Hellenic city' in Ps.-Scylax 89 (c. 340 BC)</t>
  </si>
  <si>
    <t xml:space="preserve">No archaeological evidence for occupation at Gerze before the Greek town is reported.</t>
  </si>
  <si>
    <t xml:space="preserve">Pleiades 857181</t>
  </si>
  <si>
    <t xml:space="preserve">C526</t>
  </si>
  <si>
    <t xml:space="preserve">Pontus</t>
  </si>
  <si>
    <t xml:space="preserve">Leontopolis (Zaliches)</t>
  </si>
  <si>
    <t xml:space="preserve">Λεοντόπολις</t>
  </si>
  <si>
    <t xml:space="preserve">Zaliches/Zalichos (Ζάλιχος); Saltus Zalichenus, an imperial estate (Hierocles: Σάλτον Ζαλίχην)</t>
  </si>
  <si>
    <t xml:space="preserve">near Alaçam (Alaçam, Samsun)</t>
  </si>
  <si>
    <t xml:space="preserve">Samsun</t>
  </si>
  <si>
    <t xml:space="preserve">c. AD 460</t>
  </si>
  <si>
    <t xml:space="preserve">Leo I (presumably)</t>
  </si>
  <si>
    <t xml:space="preserve">Hierocles; Notitiae (Leontopolis/Zaliches, suffragan of Amaseia); bishops 6th–9th c.</t>
  </si>
  <si>
    <t xml:space="preserve">The site is not securely located; Barrington places it near Alaçam. The name points to Leo I, but no text names him as founder.</t>
  </si>
  <si>
    <t xml:space="preserve">Hierocles, Synekdemos; Barrington 87 A3; Pleiades 857381</t>
  </si>
  <si>
    <t xml:space="preserve">an imperial estate (saltus) made a city and renamed Leontopolis, presumably by Leo I (457–474); listed by Hierocles (c. 527); later a see under Amaseia ('Leontopolis or Zaliches')</t>
  </si>
  <si>
    <t xml:space="preserve">The site is not securely located (Alaçam?). 'Zaliches' is a native-looking alternative name, but it is attested only from late antiquity (Hierocles 'saltus Zaliches', Nicaea II) and is tied to an imperial estate, not to an earlier town. No archaeology is reported.</t>
  </si>
  <si>
    <t xml:space="preserve">https://en.wikipedia.org/wiki/Zaliche ; Pleiades 857381</t>
  </si>
  <si>
    <t xml:space="preserve">C527</t>
  </si>
  <si>
    <t xml:space="preserve">Amisus</t>
  </si>
  <si>
    <t xml:space="preserve">Ἀμισός</t>
  </si>
  <si>
    <t xml:space="preserve">Peiraieus (Athenian refoundation, c. 437 BC); Eupatoria (adjoining foundation of Mithridates VI); Samsoun (medieval)</t>
  </si>
  <si>
    <t xml:space="preserve">Baruthane / Toraman Tepe headland NW of the modern centre (İlkadım, Samsun)</t>
  </si>
  <si>
    <t xml:space="preserve">İlkadım</t>
  </si>
  <si>
    <t xml:space="preserve">c. 564 BC</t>
  </si>
  <si>
    <t xml:space="preserve">Milesians (Theopompus) or Phocaeans (Ps.-Scymnus); Athenian settlers under Athenokles c. 437 BC</t>
  </si>
  <si>
    <t xml:space="preserve">Miletus (or Phocaea); Athens (refoundation)</t>
  </si>
  <si>
    <t xml:space="preserve">Bronze Age and Hittite-period mounds (Dündartepe, Tekkeköy) lie nearby, but not on the Greek city site; no pre-Greek name is attested.</t>
  </si>
  <si>
    <t xml:space="preserve">IACP (Pontos); coins from 5th c. BC (as Peiraieus) to 3rd c. AD; free city under Rome; Hierocles; bishops 451–879; medieval Roman metropolis</t>
  </si>
  <si>
    <t xml:space="preserve">The mother city is disputed: Milesian (Theopompus in Strabo 12.3.14) or Phocaean (Ps.-Scymnus); Sinopean involvement is also suggested. Ottoman from 1420.</t>
  </si>
  <si>
    <t xml:space="preserve">IACP (Pontos), Amisos; Strabo 12.3.14; Anon. Periplus Ponti Euxini (Ps.-Scymnus fragment); Pleiades 857024; Wikipedia: Amisos</t>
  </si>
  <si>
    <t xml:space="preserve">Phocaean foundation four years before Herakleia, i.e. c. 564 BC (Ps.-Scymnus/Anon. Periplus); Theopompus: first founded by Milesians; earliest Greek pottery 6th c. BC; Athenian refoundation as Peiraieus c. 437 BC</t>
  </si>
  <si>
    <t xml:space="preserve">No pre-Greek levels are reported at Baruthane/Toraman Tepe, where the surveyed remains are Hellenistic–Roman. Bronze/Iron Age sites (Dündartepe, Tekkeköy) lie several km away. The name Amisos is probably non-Greek, but that is not an attested earlier name. Samsun excavators place Archaic Amisos at Çakalca-Karadoğan Höyük (Atakum), a mound said to have finds from the earliest Iron Age onward. If confirmed, that would make the first Amisos a 'yes'.</t>
  </si>
  <si>
    <t xml:space="preserve">https://jaha.org.ro/index.php/JAHA/article/view/1143 ; https://www.ktu.edu.tr/dosyalar/karendergi_16280.pdf ; https://www.belleten.gov.tr/eng/full-text/3532/tur</t>
  </si>
  <si>
    <t xml:space="preserve">C528</t>
  </si>
  <si>
    <t xml:space="preserve">Lycastus</t>
  </si>
  <si>
    <t xml:space="preserve">Λύκαστος</t>
  </si>
  <si>
    <t xml:space="preserve">Lykaston</t>
  </si>
  <si>
    <t xml:space="preserve">unlocated, near the Mert Irmağı east of Samsun (Samsun)</t>
  </si>
  <si>
    <t xml:space="preserve">unknown Greek settlers (perhaps from Amisos or Sinope)</t>
  </si>
  <si>
    <t xml:space="preserve">Ps.-Scylax 89 'Hellenic city'; Mela 1.19; Pliny 6.3</t>
  </si>
  <si>
    <t xml:space="preserve">It lay about 20 stadia beyond Amisos on the river of the same name (probably the Mert Irmağı); the town site is unlocated and was probably absorbed by Amisos.</t>
  </si>
  <si>
    <t xml:space="preserve">Ps.-Scylax 89; Pliny NH 6.3; Wikipedia: Lycastus (Pontus)</t>
  </si>
  <si>
    <t xml:space="preserve">'Hellenic city' on the river Lykastos in Ps.-Scylax 89 (c. 340 BC); founding date unknown</t>
  </si>
  <si>
    <t xml:space="preserve">Unlocated; known only from Ps.-Scylax and periploi.</t>
  </si>
  <si>
    <t xml:space="preserve">C604</t>
  </si>
  <si>
    <t xml:space="preserve">Limnia</t>
  </si>
  <si>
    <t xml:space="preserve">τὰ Λίμνια</t>
  </si>
  <si>
    <t xml:space="preserve">Kinte? (1139–40)</t>
  </si>
  <si>
    <t xml:space="preserve">unlocated castle-town and see in the Yeşilırmak delta (Çarşamba–Terme plain, Samsun); point placed near Çarşamba</t>
  </si>
  <si>
    <t xml:space="preserve">1317</t>
  </si>
  <si>
    <t xml:space="preserve">Panaretos; synodal acts of 1317 and 1384 (Vryonis 1971; Bryer 1975): a Trapezuntine kastron and lordship with a see and thirteen imperial forts</t>
  </si>
  <si>
    <t xml:space="preserve">Turkmen settlement of the delta from the 14th c.; the emirate of Limnia from the 1380s</t>
  </si>
  <si>
    <t xml:space="preserve">City status from its see (1317).</t>
  </si>
  <si>
    <t xml:space="preserve">Bryer &amp; Winfield, The Byzantine Monuments and Topography of the Pontos (1985) pp. 100–01 (opened, archive.org); Bryer, "Greeks and Türkmens: the Pontic Exception", DOP 29 (1975) p. 128; Panaretos, Chronicle (via Bryer &amp; Winfield)</t>
  </si>
  <si>
    <t xml:space="preserve">a see from 1317 (the metropolitan of Amaseia told to reside at Limnia); a Trapezuntine town and lordship from 1297 at the latest (John II of Trebizond died there), perhaps already Kinte in 1139–40 (Bryer &amp; Winfield pp. 100–01); lost to the Turkmen 1384–86</t>
  </si>
  <si>
    <t xml:space="preserve">C529</t>
  </si>
  <si>
    <t xml:space="preserve">Themiscyra</t>
  </si>
  <si>
    <t xml:space="preserve">Θεμίσκυρα</t>
  </si>
  <si>
    <t xml:space="preserve">near Terme (Terme, Samsun)</t>
  </si>
  <si>
    <t xml:space="preserve">The legendary city of the Amazons; there is no historical pre-Greek attestation.</t>
  </si>
  <si>
    <t xml:space="preserve">Herodotus 4.86; Ps.-Scylax 89 'Hellenic city'; Appian, Mith. 78</t>
  </si>
  <si>
    <t xml:space="preserve">The city site is not identified on the Terme plain. The Turkish name Terme comes from the river Thermodon, not from Themiskyra.</t>
  </si>
  <si>
    <t xml:space="preserve">Ps.-Scylax 89; Herodotus 4.86; Appian, Mith. 78; Pleiades 857350</t>
  </si>
  <si>
    <t xml:space="preserve">Herodotus 4.86 names Themiskyra on the Thermodon (c. 430 BC); first called a 'Hellenic city' by Ps.-Scylax 89 (c. 340 BC); a walled town besieged by Lucullus in 71 BC (Appian, Mith. 78)</t>
  </si>
  <si>
    <t xml:space="preserve">The city site is unidentified on the Terme plain. The Amazon traditions are legendary and do not count, and no archaeological evidence exists for the town itself.</t>
  </si>
  <si>
    <t xml:space="preserve">Hdt. 4.86; Pleiades 857350</t>
  </si>
  <si>
    <t xml:space="preserve">C530</t>
  </si>
  <si>
    <t xml:space="preserve">Oenoe (Oinaion)</t>
  </si>
  <si>
    <t xml:space="preserve">Οἰνόη</t>
  </si>
  <si>
    <t xml:space="preserve">Oinaion (Οἰναῖον, medieval Roman/Trapezuntine); Unieh</t>
  </si>
  <si>
    <t xml:space="preserve">Ünye</t>
  </si>
  <si>
    <t xml:space="preserve">Ünye (Ünye, Ordu)</t>
  </si>
  <si>
    <t xml:space="preserve">Ordu</t>
  </si>
  <si>
    <t xml:space="preserve">c. AD 750</t>
  </si>
  <si>
    <t xml:space="preserve">medieval Roman seals of bishops 'of Oinaion (?)' (8th and 11th c., Dumbarton Oaks); Notitia 10 (one MS); Trapezuntine kastron/town</t>
  </si>
  <si>
    <t xml:space="preserve">Its city status is doubtful: the see may be the see of Polemonion moved here. The castle was built by the emperors of Trebizond; under Turkish (Hacıemiroğlu) rule from 1346.</t>
  </si>
  <si>
    <t xml:space="preserve">Dumbarton Oaks seals BZS.1955.1.2057 and 1.4681; Bryer &amp; Winfield 1985; Pleiades 857254; Wikipedia: Ünye</t>
  </si>
  <si>
    <t xml:space="preserve">ancient Oinoe was only a coastal place; possible see of Oinaion known from 8th- and 11th-c. seals (attribution queried) and one MS of Notitia 10; a major town of the Empire of Trebizond</t>
  </si>
  <si>
    <t xml:space="preserve">No pre-Greek settlement is reported at the town site. The district's earliest finds are Palaeolithic, from caves in the Cevizdere valley, and the Kaska/Hittite claims are general regional history, not site evidence.</t>
  </si>
  <si>
    <t xml:space="preserve">https://kureansiklopedi.com/tr/detay/unye-ilce-b59a4 ; Pleiades 857254</t>
  </si>
  <si>
    <t xml:space="preserve">C531</t>
  </si>
  <si>
    <t xml:space="preserve">Polemonium</t>
  </si>
  <si>
    <t xml:space="preserve">Πολεμώνιον</t>
  </si>
  <si>
    <t xml:space="preserve">Side (Σίδη), the earlier fort of the Sidene district; Pouleman (medieval)</t>
  </si>
  <si>
    <t xml:space="preserve">Fatsa</t>
  </si>
  <si>
    <t xml:space="preserve">Fatsa/Bolaman area (Fatsa, Ordu)</t>
  </si>
  <si>
    <t xml:space="preserve">Polemon II (or Polemon I) of Pontus</t>
  </si>
  <si>
    <t xml:space="preserve">Pontic kings</t>
  </si>
  <si>
    <t xml:space="preserve">Pliny 6.11; Ptolemy; gave its name to the province Pontus Polemoniacus; Hierocles; bishops 451–787</t>
  </si>
  <si>
    <t xml:space="preserve">The Polemonids were Roman client kings of Pontus, not Mithridatids. The name survives in nearby Bolaman; Barrington places the site at Fatsa (Phadisane).</t>
  </si>
  <si>
    <t xml:space="preserve">Strabo 12.3.16; Pliny NH 6.11; Pleiades 857285; Wikipedia: Polemonium</t>
  </si>
  <si>
    <t xml:space="preserve">founded at Side by a Polemonid king of Pontus; Strabo (c. AD 20) names only Side as a fort, so probably Polemon II (AD 38–64); some credit Polemon I (37–8 BC)</t>
  </si>
  <si>
    <t xml:space="preserve">Founded at the pre-existing Pontic fortress Side, which gave its name to the district Sidene (Strabo 12.3.16). Nothing shows whether Side was a native settlement or a royal (Hellenized) stronghold, and no pre-Roman levels are reported at Fatsa or Bolaman.</t>
  </si>
  <si>
    <t xml:space="preserve">Strabo 12.3.16; Pleiades 857285; kulturenvanteri.com/en/yer/polemonion; Buyruk, Bolaman Kalesi (akmb.gov.tr 2026)</t>
  </si>
  <si>
    <t xml:space="preserve">C532</t>
  </si>
  <si>
    <t xml:space="preserve">Stameneia</t>
  </si>
  <si>
    <t xml:space="preserve">Σταμένεια</t>
  </si>
  <si>
    <t xml:space="preserve">Stamene; Ameneia? (Barrington)</t>
  </si>
  <si>
    <t xml:space="preserve">unlocated, coast between Fatsa and Ordu (Ordu)</t>
  </si>
  <si>
    <t xml:space="preserve">Ps.-Scylax 88 'Hellenic city' only</t>
  </si>
  <si>
    <t xml:space="preserve">Known only from Ps.-Scylax. It lay between the Genetes harbour and Cape Iasonion; Barrington tentatively places 'Stamene/Ameneia?' near Perşembe.</t>
  </si>
  <si>
    <t xml:space="preserve">Ps.-Scylax 88 (Shipley 2019); Barrington 87 C3; Pleiades 857333</t>
  </si>
  <si>
    <t xml:space="preserve">'Hellenic city' among the Chalybes in Ps.-Scylax 88 (c. 340 BC); founding date unknown</t>
  </si>
  <si>
    <t xml:space="preserve">Known only from Ps.-Scylax 88; the site is unlocated and unexplored.</t>
  </si>
  <si>
    <t xml:space="preserve">Ps.-Scylax 88; Pleiades 857333</t>
  </si>
  <si>
    <t xml:space="preserve">C533</t>
  </si>
  <si>
    <t xml:space="preserve">Cotyora</t>
  </si>
  <si>
    <t xml:space="preserve">Κοτύωρα</t>
  </si>
  <si>
    <t xml:space="preserve">Bozukkale, Ordu (Altınordu, Ordu)</t>
  </si>
  <si>
    <t xml:space="preserve">Altınordu</t>
  </si>
  <si>
    <t xml:space="preserve">400 BC</t>
  </si>
  <si>
    <t xml:space="preserve">IACP (Pontos); Xen. Anab. 5.5</t>
  </si>
  <si>
    <t xml:space="preserve">Its people were moved to Pharnakeia c. 183 BC; Arrian (AD 131) calls it 'a village, and not a large one'. Harbour remains have been noted near Bozukkale/Kirazlimanı.</t>
  </si>
  <si>
    <t xml:space="preserve">Xen. Anab. 5.5.3–10; Strabo 12.3.17; Arrian, Periplus; Pleiades 857200</t>
  </si>
  <si>
    <t xml:space="preserve">'Greek city, colonists of Sinope', paying tribute to it, where the Ten Thousand stayed in 400 BC (Xen. Anab. 5.5.3–10); founding date unknown (probably 5th c. BC)</t>
  </si>
  <si>
    <t xml:space="preserve">No excavation; only harbour remains have been noted near Bozukkale/Kirazlimanı. No pre-Greek settlement or name is recorded.</t>
  </si>
  <si>
    <t xml:space="preserve">Xen. Anab. 5.5; Pleiades 857200; kureansiklopedi.com/tr/detay/ordu</t>
  </si>
  <si>
    <t xml:space="preserve">C534</t>
  </si>
  <si>
    <t xml:space="preserve">Pharnacia (Cerasus)</t>
  </si>
  <si>
    <t xml:space="preserve">Φαρνάκεια</t>
  </si>
  <si>
    <t xml:space="preserve">Choirades? (Ps.-Scylax 86); Kerasous/Kerasunt (Κερασοῦς, Roman–Trapezuntine name)</t>
  </si>
  <si>
    <t xml:space="preserve">Giresun</t>
  </si>
  <si>
    <t xml:space="preserve">Giresun (Merkez, Giresun)</t>
  </si>
  <si>
    <t xml:space="preserve">unknown (Choirades); refounded by Pharnakes I of Pontus c. 183 BC</t>
  </si>
  <si>
    <t xml:space="preserve">Strabo 12.3.17; Cohen; Pontic and Roman coins; Hierocles (Kerasous); bishops 431–879; later metropolis; second city of the Empire of Trebizond</t>
  </si>
  <si>
    <t xml:space="preserve">Many identify Giresun with Xenophon's Sinopean colony Kerasous; if so, greek_from is c. 400 BC. Barrington puts that Kerasous further east (next entry), and Ps.-Scylax's 'Hellenic city' Choirades near Ares Island may have stood here. Held out briefly after Trebizond fell in 1461. Dated by Choirades (eastern review, 11 Oct 2026): the identification with Giresun is probable, not certain; if it is wrong, the date is c. 183 BC.</t>
  </si>
  <si>
    <t xml:space="preserve">Strabo 12.3.17; Cohen 1995; Bryer &amp; Winfield 1985; Pleiades 857185; Wikipedia: Giresun</t>
  </si>
  <si>
    <t xml:space="preserve">c. 340 BC: probably the "Hellenic city" Choirades of Ps.-Scylax 86, between Zephyrion and the island of Ares; refounded as Pharnakeia by Pharnakes I c. 183 BC with settlers from Kotyora; later Kerasous</t>
  </si>
  <si>
    <t xml:space="preserve">Giresun castle and Giresun Island have yielded only Classical and later material. Any earlier occupation would be Greek (Kerasous/Choirades), which does not count, and no native settlement is attested.</t>
  </si>
  <si>
    <t xml:space="preserve">Pleiades 857185; castles.nl/giresun-castle; Milliyet 18.05.2021 (Giresun Adası excavations)</t>
  </si>
  <si>
    <t xml:space="preserve">C535</t>
  </si>
  <si>
    <t xml:space="preserve">Cerasus (Xenophon's)</t>
  </si>
  <si>
    <t xml:space="preserve">Κερασοῦς</t>
  </si>
  <si>
    <t xml:space="preserve">Kerasous II (Barrington)</t>
  </si>
  <si>
    <t xml:space="preserve">Kerasus Dere, near Vakfıkebir/Çarşıbaşı (Trabzon)</t>
  </si>
  <si>
    <t xml:space="preserve">Trabzon</t>
  </si>
  <si>
    <t xml:space="preserve">IACP (Pontos); Xen. Anab. 5.3.2</t>
  </si>
  <si>
    <t xml:space="preserve">The site is disputed. Barrington, following Bryer &amp; Winfield, places Xenophon's Kerasous here, three days' march west of Trapezous; others put it at Giresun (merge with Pharnakeia if so). Ps.-Scylax 89 also lists a 'Kerasous' between Sinope and Armene, probably a textual displacement.</t>
  </si>
  <si>
    <t xml:space="preserve">Xen. Anab. 5.3.2; Bryer &amp; Winfield 1985; Barrington 87 E3; Pleiades 857183</t>
  </si>
  <si>
    <t xml:space="preserve">'Greek city by the sea, colonists of Sinope' where the Ten Thousand stayed in 400 BC (Xen. Anab. 5.3.2); founding date unknown</t>
  </si>
  <si>
    <t xml:space="preserve">The site is unlocated or disputed (Kerasus Dere vs Giresun) and unexcavated.</t>
  </si>
  <si>
    <t xml:space="preserve">Xen. Anab. 5.3.2; Pleiades 857183; Bryer &amp; Winfield 1985</t>
  </si>
  <si>
    <t xml:space="preserve">C536</t>
  </si>
  <si>
    <t xml:space="preserve">Trapezus (Trebizond)</t>
  </si>
  <si>
    <t xml:space="preserve">Τραπεζοῦς</t>
  </si>
  <si>
    <t xml:space="preserve">Trapezounta; Trebizond (medieval)</t>
  </si>
  <si>
    <t xml:space="preserve">Trabzon (Ortahisar, Trabzon)</t>
  </si>
  <si>
    <t xml:space="preserve">Ortahisar</t>
  </si>
  <si>
    <t xml:space="preserve">756 BC</t>
  </si>
  <si>
    <t xml:space="preserve">Sinope (ultimately Miletus)</t>
  </si>
  <si>
    <t xml:space="preserve">IACP (Pontos); Xenophon; Ps.-Scylax 85 'Hellenic city'; coins; Roman free city and fleet base; Hierocles; bishops 325–; metropolis; capital of the Empire of Trebizond 1204–1461</t>
  </si>
  <si>
    <t xml:space="preserve">The ancient date of 756 depends on the tradition of a pre-Cimmerian Sinope; archaeology gives nothing earlier than Classical. Fell to Mehmed II in 1461.</t>
  </si>
  <si>
    <t xml:space="preserve">IACP (Pontos), Trapezous; Xen. Anab. 4.8.22; Eusebius, Chronicle; Bryer &amp; Winfield 1985; Pleiades 857359</t>
  </si>
  <si>
    <t xml:space="preserve">756 BC (Eusebius); 'Greek city, colonists of Sinope' (Xen. Anab. 4.8.22); no Archaic finds, and modern scholars mostly prefer the late 7th or 6th c. BC, after Sinope's (re)foundation c. 631</t>
  </si>
  <si>
    <t xml:space="preserve">No pre-Classical finds from Trabzon; the İçkale excavations report Roman to Ottoman levels. Protohistoric surveys of the province (TYAP) have published no site on the city hill.</t>
  </si>
  <si>
    <t xml:space="preserve">Pleiades 857359; Hürriyet Daily News 'Excavations begin in Trabzon' (İçkale); KTÜ TYAP survey page</t>
  </si>
  <si>
    <t xml:space="preserve">C537</t>
  </si>
  <si>
    <t xml:space="preserve">Rhizaeum</t>
  </si>
  <si>
    <t xml:space="preserve">Ῥιζαῖον</t>
  </si>
  <si>
    <t xml:space="preserve">Rhizous; Rizaion</t>
  </si>
  <si>
    <t xml:space="preserve">Rize</t>
  </si>
  <si>
    <t xml:space="preserve">Rize (Merkez, Rize)</t>
  </si>
  <si>
    <t xml:space="preserve">c. AD 650</t>
  </si>
  <si>
    <t xml:space="preserve">no recorded founder (fortified by Justinian)</t>
  </si>
  <si>
    <t xml:space="preserve">Procopius, Buildings 3.7; Notitiae (suffragan of Neocaesarea, later Trapezous); bishop 787; town of the Empire of Trebizond</t>
  </si>
  <si>
    <t xml:space="preserve">On the edge of Laz (Kartvelian) country; the countryside east of it was largely Laz-speaking, but the town was Greek in medieval Roman and Trapezuntine times. The 650 date reflects the Notitia; the town may have had civic status under Justinian.</t>
  </si>
  <si>
    <t xml:space="preserve">Arrian, Periplus; Procopius, Buildings 3.7; Bryer &amp; Winfield 1985; Pleiades 857297</t>
  </si>
  <si>
    <t xml:space="preserve">Roman harbour and fort (Arrian names the river Rhizios); walled by Justinian (Procopius); a see under Neocaesarea in the earliest Notitiae (7th c.); bishop at Nicaea 787</t>
  </si>
  <si>
    <t xml:space="preserve">A Roman harbour and fort, walled by Justinian; no archaeology or pre-Greek name is known for the town site.</t>
  </si>
  <si>
    <t xml:space="preserve">Arrian Periplus 7; Procop. Aed. 3.7; Pleiades 857297</t>
  </si>
  <si>
    <t xml:space="preserve">C602</t>
  </si>
  <si>
    <t xml:space="preserve">Becheirias</t>
  </si>
  <si>
    <t xml:space="preserve">Βεχειριάς</t>
  </si>
  <si>
    <t xml:space="preserve">Becheirikos limen</t>
  </si>
  <si>
    <t xml:space="preserve">unlocated, on the coast of Rize province (land of the Becheires)</t>
  </si>
  <si>
    <t xml:space="preserve">unknown Greek settlers (perhaps from Sinope or Trapezus)</t>
  </si>
  <si>
    <t xml:space="preserve">Ps.-Scylax 84 ("Hellenic city")</t>
  </si>
  <si>
    <t xml:space="preserve">Added in the eastern review (11 Oct 2026): Ps.-Scylax lists the peoples west of the Apsaros in order (Byzeres, Ekecheirieis, Becheires), so the town lay on the Turkish side, like Stameneia. Earlier rejected as possibly in Georgia.</t>
  </si>
  <si>
    <t xml:space="preserve">Ps.-Scylax 81-89 (Shipley 2011/2019) [from knowledge and the PON batch notes]; PON batch entry (out/PON.json); editor's rejection note (rejected_v2.json); https://en.wikipedia.org/wiki/Byzeres (fetched: Byzeres 'south of the Chorokhi')</t>
  </si>
  <si>
    <t xml:space="preserve">c. 340 BC: a "Hellenic city" (πόλις Ἑλληνίς) in Ps.-Scylax 84</t>
  </si>
  <si>
    <t xml:space="preserve">C603</t>
  </si>
  <si>
    <t xml:space="preserve">Odeinios</t>
  </si>
  <si>
    <t xml:space="preserve">Ὀδείνιος</t>
  </si>
  <si>
    <t xml:space="preserve">unlocated, on the coast of Rize/Artvin (land of the Ekecheirieis)</t>
  </si>
  <si>
    <t xml:space="preserve">Artvin</t>
  </si>
  <si>
    <t xml:space="preserve">Ps.-Scylax 83 ("Hellenic city")</t>
  </si>
  <si>
    <t xml:space="preserve">Added in the eastern review (11 Oct 2026); see Becheirias.</t>
  </si>
  <si>
    <t xml:space="preserve">Ps.-Scylax 81-89 (Shipley 2011/2019) [from knowledge and the PON batch notes]; Arrian, Periplus Ponti Euxini [from knowledge]; https://en.wikipedia.org/wiki/Byzeres (fetched: the Byzeres lived 'south of the Chorokhi', i.e. on the Turkish side, so the Ekecheirieis further west are in Turkey); PON batch entry; editor's rejection note</t>
  </si>
  <si>
    <t xml:space="preserve">c. 340 BC: a "Hellenic city" in Ps.-Scylax 83</t>
  </si>
  <si>
    <t xml:space="preserve">C608</t>
  </si>
  <si>
    <t xml:space="preserve">Leri</t>
  </si>
  <si>
    <t xml:space="preserve">Λέριν</t>
  </si>
  <si>
    <t xml:space="preserve">Kabaköy; Kabakilise (the church of Hagia Sophia, now Ayasofya Camii)</t>
  </si>
  <si>
    <t xml:space="preserve">Arzularkabaköy</t>
  </si>
  <si>
    <t xml:space="preserve">The Leri valley east of Gümüşhane; the church of Hagia Sophia at Kabaköy, 'probably the oldest surviving church in the Pontos' (6th c.; Bryer &amp; Winfield pp. 313–16)</t>
  </si>
  <si>
    <t xml:space="preserve">Gümüşhane</t>
  </si>
  <si>
    <t xml:space="preserve">suffragan see of Trebizond in the Nea Taktika of Leo VI and in lists of c. 980–1054 (Bryer &amp; Winfield p. 313)</t>
  </si>
  <si>
    <t xml:space="preserve">On the edge of Greek and Armenian settlement (Bryer &amp; Winfield p. 313)</t>
  </si>
  <si>
    <t xml:space="preserve">Added in the second look at the inland Pontus and the east (11 Oct 2026). The see lay among 'the Leri villages'; no town is described.</t>
  </si>
  <si>
    <t xml:space="preserve">Bryer &amp; Winfield, The Byzantine Monuments and Topography of the Pontos (1985) pp. 49, 311–16 (opened, archive.org)</t>
  </si>
  <si>
    <t xml:space="preserve">a see of Trebizond by the reign of Leo VI (886–912), in the lists down to c. 1054 (Bryer &amp; Winfield p. 313)</t>
  </si>
  <si>
    <t xml:space="preserve">C607</t>
  </si>
  <si>
    <t xml:space="preserve">Cheriana</t>
  </si>
  <si>
    <t xml:space="preserve">τὰ Χεριάνα</t>
  </si>
  <si>
    <t xml:space="preserve">Şiran (the Ottoman town, about 6 km SSW)</t>
  </si>
  <si>
    <t xml:space="preserve">Probably the walled mound at Uluşiran, 6 km NNE of Şiran, 'walled in Byzantine times' (Bryer &amp; Winfield p. 171)</t>
  </si>
  <si>
    <t xml:space="preserve">c. AD 950</t>
  </si>
  <si>
    <t xml:space="preserve">a see of Trebizond in the 10th-c. lists (no bishop named); Lazaropoulos calls it a chora; walled hill site (Bryer &amp; Winfield 1985 pp. 165–72)</t>
  </si>
  <si>
    <t xml:space="preserve">Armenian settlement along the Lykos from the 10th c.; Turkish (Türkmen) by 1355</t>
  </si>
  <si>
    <t xml:space="preserve">Added in the second look at the inland Pontus and the east (11 Oct 2026). 'Clearly a Greek enclave with its own bishop, until this century the most southerly outpost of Pontic Greek settlement' (Bryer &amp; Winfield p. 171); its town is inferred from the see, not described.</t>
  </si>
  <si>
    <t xml:space="preserve">Bryer &amp; Winfield, The Byzantine Monuments and Topography of the Pontos (1985) pp. 165–75 (opened, archive.org); Bryer, "Greeks and Türkmens: the Pontic Exception", DOP 29 (1975) pp. 125, 133 (opened); Panaretos and Lazaropoulos (via Bryer &amp; Winfield)</t>
  </si>
  <si>
    <t xml:space="preserve">10th c.: a new see of the metropolis of Trebizond in the 10th-c. episcopal lists (Bryer &amp; Winfield p. 167); 'a chora' to Lazaropoulos; in Turkish hands by 1355</t>
  </si>
  <si>
    <t xml:space="preserve">The Uluşiran mound is a prehistoric site with a Roman phase (perhaps Cunissa) (B&amp;W p. 171).</t>
  </si>
  <si>
    <t xml:space="preserve">Bryer &amp; Winfield 1985 p. 171</t>
  </si>
  <si>
    <t xml:space="preserve">C538</t>
  </si>
  <si>
    <t xml:space="preserve">Dadybra</t>
  </si>
  <si>
    <t xml:space="preserve">Δάδυβρα</t>
  </si>
  <si>
    <t xml:space="preserve">Devrek</t>
  </si>
  <si>
    <t xml:space="preserve">Devrek (Devrek, Zonguldak), per Barrington; alternatively Safranbolu (Karabük)</t>
  </si>
  <si>
    <t xml:space="preserve">A non-Greek (Paphlagonian) place name, listed by Ptolemy; no pre-Greek-script attestation.</t>
  </si>
  <si>
    <t xml:space="preserve">Ptolemy 5.4; Hierocles; bishops 451–681; Notitiae; 10th–11th-c. episcopal seals</t>
  </si>
  <si>
    <t xml:space="preserve">Site disputed: Barrington puts it at Devrek, while a study of seals naming St Stephen argues for Safranbolu (Karabük).</t>
  </si>
  <si>
    <t xml:space="preserve">Hierocles, Synekdemos; Belke, TIB 9 Paphlagonien (1996); Pleiades 844903; Deltio KMS (Safranbolu study)</t>
  </si>
  <si>
    <t xml:space="preserve">first bishop at Chalcedon 451; city in Hierocles (c. 527)</t>
  </si>
  <si>
    <t xml:space="preserve">C539</t>
  </si>
  <si>
    <t xml:space="preserve">Hadrianopolis (Paphlagonia)</t>
  </si>
  <si>
    <t xml:space="preserve">Kaisareia (Καισάρεια); Proseilemmene/Proseilemmenitai district; Hadrianopolis in Honoriade</t>
  </si>
  <si>
    <t xml:space="preserve">ruins 3 km W of Eskipazar (Eskipazar, Karabük)</t>
  </si>
  <si>
    <t xml:space="preserve">Karabük</t>
  </si>
  <si>
    <t xml:space="preserve">Hadrian (as Hadrianopolis); earlier Kaisareia, under an unknown Julio-Claudian emperor</t>
  </si>
  <si>
    <t xml:space="preserve">Hierocles (Honorias); bishops 325 (Honigmann) and 451–787; excavations since 2003 (theatre, baths, churches with mosaics)</t>
  </si>
  <si>
    <t xml:space="preserve">Its city status probably began as Kaisareia before Hadrian, but the date is not documented, so the Hadrianic date is used. Excavations show occupation to the 8th c.</t>
  </si>
  <si>
    <t xml:space="preserve">Çelikbaş, Hadrianopolis excavations; Hierocles, Synekdemos; Pleiades 844959; Wikipedia: Hadrianopolis (Paphlagonia)</t>
  </si>
  <si>
    <t xml:space="preserve">settlement from the 1st c. BC; earlier city name Kaisareia (probably Julio-Claudian); named Hadrianopolis under Hadrian (117–138); Hierocles; bishops from the 4th–5th c.</t>
  </si>
  <si>
    <t xml:space="preserve">Kept 'yes' only on the excavators' own academic report (Daily Sabah rejected). Kalkan &amp; Çelikbaş 2022 report handmade red-clay pottery in a pit in the city's necropolis, which was partly destroyed by the Roman rock-cut graves, plus dry-stone walls that predate the Roman city. They date this short-lived prehistoric occupation to at least 5,000 years ago (Late Chalcolithic), long before the 1st-c. BC town. These are concrete finds in a sealed feature on the site, but they are dated only typologically and have no non-Turkish corroboration, so confidence is low.</t>
  </si>
  <si>
    <t xml:space="preserve">E. Kalkan &amp; E. Çelikbaş, 'New findings from prehistoric period in Western Black Sea Region: Hadrianopolis (Karabük-Eskipazar) prehistoric pottery', Karadeniz Araştırmaları Enstitüsü Dergisi 8/16 (2022) 417–431 (abstract, ceeol.com article 1088014); en.wikipedia Hadrianopolis (Paphlagonia); Pleiades 844959</t>
  </si>
  <si>
    <t xml:space="preserve">C540</t>
  </si>
  <si>
    <t xml:space="preserve">Sora</t>
  </si>
  <si>
    <t xml:space="preserve">Σῶρα</t>
  </si>
  <si>
    <t xml:space="preserve">near Karabük (Merkez, Karabük)</t>
  </si>
  <si>
    <t xml:space="preserve">A non-Greek place name; no pre-Greek-script attestation.</t>
  </si>
  <si>
    <t xml:space="preserve">Hierocles; bishops 451–787; Notitiae (suffragan of Gangra)</t>
  </si>
  <si>
    <t xml:space="preserve">The site is only approximately known (Barrington 86 C2, near Karabük).</t>
  </si>
  <si>
    <t xml:space="preserve">Hierocles, Synekdemos; Belke, TIB 9 Paphlagonien (1996); Pleiades 845067; Wikipedia: Sora (Anatolia)</t>
  </si>
  <si>
    <t xml:space="preserve">C541</t>
  </si>
  <si>
    <t xml:space="preserve">Gangra (Germanicopolis)</t>
  </si>
  <si>
    <t xml:space="preserve">Γάγγρα</t>
  </si>
  <si>
    <t xml:space="preserve">Germanikopolis (Γερμανικόπολις, Roman city name); Kangırı (medieval Turkish)</t>
  </si>
  <si>
    <t xml:space="preserve">Çankırı</t>
  </si>
  <si>
    <t xml:space="preserve">Çankırı (Merkez, Çankırı)</t>
  </si>
  <si>
    <t xml:space="preserve">c. 5 BC</t>
  </si>
  <si>
    <t xml:space="preserve">Augustus (city organised on annexation, 6/5 BC)</t>
  </si>
  <si>
    <t xml:space="preserve">A Paphlagonian royal residence (Morzeus, Deiotaros Philadelphos) before the Roman city; no secure Hittite identification of the name.</t>
  </si>
  <si>
    <t xml:space="preserve">Strabo 12.3.41; Paphlagonian oath of 3 BC (OGIS 532); coins of Germanikopolis; Hierocles (metropolis of Paphlagonia); Council of Gangra (c. 340); bishops from 325 (Hypatius, by tradition) to 787</t>
  </si>
  <si>
    <t xml:space="preserve">Some scholars question whether Germanikopolis and Gangra were exactly the same site, but most equate them.</t>
  </si>
  <si>
    <t xml:space="preserve">Strabo 12.3.41; OGIS 532; Belke, TIB 9 Paphlagonien (1996); Pleiades 844926</t>
  </si>
  <si>
    <t xml:space="preserve">royal seat of the Paphlagonian kings (Strabo 12.3.41: 'small town and fortress'); organised as the city Germanikopolis on the annexation of Paphlagonia, 6/5 BC (civic era); oath to Augustus sworn at Gangra in 3 BC</t>
  </si>
  <si>
    <t xml:space="preserve">C542</t>
  </si>
  <si>
    <t xml:space="preserve">Pompeiopolis</t>
  </si>
  <si>
    <t xml:space="preserve">Πομπηιούπολις</t>
  </si>
  <si>
    <t xml:space="preserve">Sebaste? (Barrington)</t>
  </si>
  <si>
    <t xml:space="preserve">Zımbıllı Tepe opposite Taşköprü (Taşköprü, Kastamonu)</t>
  </si>
  <si>
    <t xml:space="preserve">64 BC</t>
  </si>
  <si>
    <t xml:space="preserve">Pompey</t>
  </si>
  <si>
    <t xml:space="preserve">Roman Republic</t>
  </si>
  <si>
    <t xml:space="preserve">The site is a mound (Zımbıllı Tepe höyüğü), but the excavators have not yet found pre-Roman architecture; the Amnias valley has Iron Age rock tombs and tumuli.</t>
  </si>
  <si>
    <t xml:space="preserve">Strabo 12.3.40; coins; 'metropolis of Paphlagonia' (Antoninus Pius–Gallienus); Hierocles; bishops 325–787; medieval Roman metropolis to the 14th c.</t>
  </si>
  <si>
    <t xml:space="preserve">It may have taken over from the Mithridatic fortress of Pimolisa. Excavated since 2006 (Summerer).</t>
  </si>
  <si>
    <t xml:space="preserve">Strabo 12.3.40; Summerer (ed.) 2011, Pompeiopolis I; Pleiades 845041; Wikipedia: Pompeiopolis</t>
  </si>
  <si>
    <t xml:space="preserve">founded by Pompey in 65/64 BC after the Third Mithridatic War</t>
  </si>
  <si>
    <t xml:space="preserve">Excavations on Zımbıllı Tepe show Roman walls set into sterile subsoil. The hill's earliest pottery is late 1st c. BC/1st c. AD (Summerer: first occupied c. 1st–2nd c. AD), so its earliest levels are those of the Roman city. Note: Pompey's 64 BC city may first have stood elsewhere.</t>
  </si>
  <si>
    <t xml:space="preserve">https://bmcr.brynmawr.edu/?p=37724 ; J. Koch in Summerer (ed.), Pompeiopolis (fis.uni-bamberg.de)</t>
  </si>
  <si>
    <t xml:space="preserve">C543</t>
  </si>
  <si>
    <t xml:space="preserve">Pimolisa</t>
  </si>
  <si>
    <t xml:space="preserve">Πιμώλισα</t>
  </si>
  <si>
    <t xml:space="preserve">Pimolissa (medieval Roman see?); Pimolisene district</t>
  </si>
  <si>
    <t xml:space="preserve">Osmancık</t>
  </si>
  <si>
    <t xml:space="preserve">Osmancık castle (Osmancık, Çorum), per Barrington; others put it near Boyabat (Sinop)</t>
  </si>
  <si>
    <t xml:space="preserve">Çorum</t>
  </si>
  <si>
    <t xml:space="preserve">c. 110 BC</t>
  </si>
  <si>
    <t xml:space="preserve">none recorded (royal Pontic fortress)</t>
  </si>
  <si>
    <t xml:space="preserve">A native Paphlagonian fortress (non-Greek name) on the Halys before the Mithridatic coinage.</t>
  </si>
  <si>
    <t xml:space="preserve">Pontic civic bronzes c. 111–90 BC; Strabo 12.3.40 (royal fortress, destroyed); a see 'Pimolissa' in medieval Roman Notitiae (to be checked)</t>
  </si>
  <si>
    <t xml:space="preserve">Mithridatic 'civic' bronzes were also struck at fortresses, so its polis status is uncertain. The site is disputed (Osmancık vs Boyabat).</t>
  </si>
  <si>
    <t xml:space="preserve">Strabo 12.3.40; Künker: Pimolisa Æ 111/90 BC; Belke, TIB 9 Paphlagonien (1996); Pleiades 845039</t>
  </si>
  <si>
    <t xml:space="preserve">civic bronze coins 'ΠΙΜΩΛΙΣΩΝ' struck under Mithridates VI (c. 111–90 BC); destroyed by Strabo's time</t>
  </si>
  <si>
    <t xml:space="preserve">C544</t>
  </si>
  <si>
    <t xml:space="preserve">Euchaita</t>
  </si>
  <si>
    <t xml:space="preserve">Εὐχάϊτα</t>
  </si>
  <si>
    <t xml:space="preserve">Avkat (Ottoman); linked with Theodoroupolis (John I Tzimiskes, 972)</t>
  </si>
  <si>
    <t xml:space="preserve">Beyözü</t>
  </si>
  <si>
    <t xml:space="preserve">Beyözü (Avkat) (Mecitözü, Çorum)</t>
  </si>
  <si>
    <t xml:space="preserve">c. AD 516</t>
  </si>
  <si>
    <t xml:space="preserve">Anastasius I</t>
  </si>
  <si>
    <t xml:space="preserve">raised to a city by Anastasius I; bishops 680–787; autocephalous archbishopric (7th c.), then metropolis</t>
  </si>
  <si>
    <t xml:space="preserve">Wikipedia says the renaming as Theodoroupolis in 972 applied to neighbouring Euchaneia; some sources apply it to Euchaita itself. Records end after Manzikert (1071). Excavated by the Avkat Project (2006–12).</t>
  </si>
  <si>
    <t xml:space="preserve">Haldon et al. 2018, The Euchaita/Avkat Project; Pleiades 857120; Wikipedia: Euchaita</t>
  </si>
  <si>
    <t xml:space="preserve">village and pilgrimage centre of St Theodore (4th c.); after a Hunnic raid in 515 Anastasius I walled it and raised it to city status</t>
  </si>
  <si>
    <t xml:space="preserve">Avkat Project: the village is dominated by a Bronze Age mound next to the Roman lower town. Survey ceramics show occupation from the Early Bronze Age, including Late Bronze Age burnished wares (Hittite Şapinuwa is c. 20 km away). The site was 'occupied since prehistoric, and certainly since Hittite times'.</t>
  </si>
  <si>
    <t xml:space="preserve">Haldon, Elton &amp; Newhard, Archaeology and Urban Settlement in Late Roman and Byzantine Anatolia (CUP 2018), excerpt; BIAA PRJ100 summary</t>
  </si>
  <si>
    <t xml:space="preserve">C545</t>
  </si>
  <si>
    <t xml:space="preserve">Neoclaudiopolis (Andrapa)</t>
  </si>
  <si>
    <t xml:space="preserve">Νεοκλαυδιόπολις</t>
  </si>
  <si>
    <t xml:space="preserve">Phazemon (village); Neapolis (Pompey); Neoklaudiopolis (Claudius); Andrapa (late antique)</t>
  </si>
  <si>
    <t xml:space="preserve">Vezirköprü</t>
  </si>
  <si>
    <t xml:space="preserve">Vezirköprü (Vezirköprü, Samsun)</t>
  </si>
  <si>
    <t xml:space="preserve">The native village of Phazemon (Strabo). Hittite Nerik lies at nearby Oymaağaç Höyük, a different site, so no pre-Greek name is claimed.</t>
  </si>
  <si>
    <t xml:space="preserve">Strabo 12.3.38; Paphlagonian oath of 3 BC found here; city coins (Neoklaudiopolis); Hierocles (Andrapa); bishops 431–681</t>
  </si>
  <si>
    <t xml:space="preserve">Older scholarship placed Phazemon/Neapolis at Merzifon; the city territory centred on Vezirköprü is now generally accepted.</t>
  </si>
  <si>
    <t xml:space="preserve">Strabo 12.3.38; Bekker-Nielsen 2013; Olshausen &amp; Biller 1984; Pleiades 857028</t>
  </si>
  <si>
    <t xml:space="preserve">Pompey made the village of Phazemon into the city Neapolis, 64 BC (Strabo 12.3.38); renamed Neoklaudiopolis under Claudius; Andrapa in late antiquity</t>
  </si>
  <si>
    <t xml:space="preserve">C546</t>
  </si>
  <si>
    <t xml:space="preserve">Laodicea Pontica</t>
  </si>
  <si>
    <t xml:space="preserve">Laodikeia in Pontos</t>
  </si>
  <si>
    <t xml:space="preserve">Ladik? (Ladik, Samsun)</t>
  </si>
  <si>
    <t xml:space="preserve">a Mithridatid king of Pontus (named after a queen Laodike)</t>
  </si>
  <si>
    <t xml:space="preserve">Pontic civic bronzes; Ptolemy</t>
  </si>
  <si>
    <t xml:space="preserve">Barrington leaves it unlocated (87 A4, 'Laodikeia', region of Amasya); the link to Ladik rests on the modern name. Barrington puts the fortress Kizari at Ladik.</t>
  </si>
  <si>
    <t xml:space="preserve">Cohen 1995 (Laodikeia in Pontos); Barrington 87 A4; Pleiades 857208; Wikipedia: Ladik</t>
  </si>
  <si>
    <t xml:space="preserve">known from civic bronzes 'ΛΑΟΔΙΚΕΙΑΣ' of the Mithridatic period (c. 120–63 BC); presumably named after a Pontic queen Laodike</t>
  </si>
  <si>
    <t xml:space="preserve">The location at Ladik is itself uncertain, and no pre-Hellenistic finds are reported at the town.</t>
  </si>
  <si>
    <t xml:space="preserve">Pleiades 857208; https://kureansiklopedi.com/tr/detay/ladik-ilce-09bb3</t>
  </si>
  <si>
    <t xml:space="preserve">C547</t>
  </si>
  <si>
    <t xml:space="preserve">Amasea</t>
  </si>
  <si>
    <t xml:space="preserve">Ἀμάσεια</t>
  </si>
  <si>
    <t xml:space="preserve">Amaseia; Ḫaraşna/Harşena (Ottoman name of the citadel)</t>
  </si>
  <si>
    <t xml:space="preserve">Amasya</t>
  </si>
  <si>
    <t xml:space="preserve">Amasya town and citadel (Merkez, Amasya)</t>
  </si>
  <si>
    <t xml:space="preserve">native town; capital of the Mithridatid kings</t>
  </si>
  <si>
    <t xml:space="preserve">A Hittite name (Ḫakmiš/Ḫakpiš) has been suggested for Amasya, but the identification is speculative and not adopted here.</t>
  </si>
  <si>
    <t xml:space="preserve">Mithridatic civic bronze coins (c. 110–63 BC); Roman provincial coins (era 3/2 BC); Strabo 12.3.39; Hierocles; bishops 325–787</t>
  </si>
  <si>
    <t xml:space="preserve">Strabo's home town and the early Pontic royal capital (royal rock tombs). The name is native, not Greek.</t>
  </si>
  <si>
    <t xml:space="preserve">Strabo 12.3.39; Pleiades 857018; Wikipedia: Pontic coinage; Wikipedia: Amasya</t>
  </si>
  <si>
    <t xml:space="preserve">royal residence of the Pontic kings from c. 281 BC; first Greek civic coins (ΑΜΑΣΕΙΑΣ) under Mithridates VI, c. 110–63 BC; city era from 3/2 BC</t>
  </si>
  <si>
    <t xml:space="preserve">C548</t>
  </si>
  <si>
    <t xml:space="preserve">Gaziura</t>
  </si>
  <si>
    <t xml:space="preserve">Γαζίουρα</t>
  </si>
  <si>
    <t xml:space="preserve">Turhal</t>
  </si>
  <si>
    <t xml:space="preserve">Turhal castle rock (Turhal, Tokat)</t>
  </si>
  <si>
    <t xml:space="preserve">Tokat</t>
  </si>
  <si>
    <t xml:space="preserve">native (satrapal) town; Pontic royal residence</t>
  </si>
  <si>
    <t xml:space="preserve">Gazur (Aramaic)</t>
  </si>
  <si>
    <t xml:space="preserve">Aramaic legend B‘L GZWR/GZYR ('Baal of Gazur') on coins of the satrap Ariarathes (c. 333–322 BC) struck at Gaziura.</t>
  </si>
  <si>
    <t xml:space="preserve">Mithridatic civic bronze coins (c. 110–63 BC); Strabo 12.3.15 ('ancient royal residence, now deserted'); Greek inscription of Mithridates VI's time on the castle rock</t>
  </si>
  <si>
    <t xml:space="preserve">Civic status is short-lived: Strabo calls it deserted in his day, and it does not reappear as a city.</t>
  </si>
  <si>
    <t xml:space="preserve">Strabo 12.3.15; Pleiades 857134; Wikipedia: Pontic coinage; Numista 427294 (Ariarathes, Gaziura)</t>
  </si>
  <si>
    <t xml:space="preserve">Mithridatic civic bronze coins (ΓΑΖΙΟΥΡΩΝ), c. 110–63 BC; earlier satrapal mint with Aramaic legends (c. 333–322 BC)</t>
  </si>
  <si>
    <t xml:space="preserve">C549</t>
  </si>
  <si>
    <t xml:space="preserve">Zela</t>
  </si>
  <si>
    <t xml:space="preserve">Ζῆλα</t>
  </si>
  <si>
    <t xml:space="preserve">Zelitis (territory)</t>
  </si>
  <si>
    <t xml:space="preserve">Zile</t>
  </si>
  <si>
    <t xml:space="preserve">Zile town and castle mound (Zile, Tokat)</t>
  </si>
  <si>
    <t xml:space="preserve">Pompey (raised the temple-state to city status)</t>
  </si>
  <si>
    <t xml:space="preserve">Strabo says the temple stood on the 'mound of Semiramis'; no pre-Greek name is attested.</t>
  </si>
  <si>
    <t xml:space="preserve">Strabo 12.3.37; Roman provincial coins (era 3/2 BC); Hierocles; bishops 325–451 and later</t>
  </si>
  <si>
    <t xml:space="preserve">Site of Caesar's 'veni, vidi, vici' victory (47 BC). Persian cult of Anaitis before Pompey.</t>
  </si>
  <si>
    <t xml:space="preserve">Strabo 12.3.37; Pleiades 857382; Wikipedia: Zela</t>
  </si>
  <si>
    <t xml:space="preserve">temple-state of Anaitis made a polis by Pompey, 64 BC; city era from 3/2 BC</t>
  </si>
  <si>
    <t xml:space="preserve">C550</t>
  </si>
  <si>
    <t xml:space="preserve">Comana Pontica</t>
  </si>
  <si>
    <t xml:space="preserve">Κόμανα</t>
  </si>
  <si>
    <t xml:space="preserve">Hierocaesarea (Roman); Komana Pontike</t>
  </si>
  <si>
    <t xml:space="preserve">Gümenek</t>
  </si>
  <si>
    <t xml:space="preserve">Gümenek, c. 9 km NE of Tokat (Merkez, Tokat)</t>
  </si>
  <si>
    <t xml:space="preserve">native temple-state of Ma (priest-dynasts)</t>
  </si>
  <si>
    <t xml:space="preserve">Native temple-state of Ma (Enyo); no pre-Greek attestation of the name for this Pontic site.</t>
  </si>
  <si>
    <t xml:space="preserve">Mithridatic civic bronze coins (c. 110–63 BC); Strabo 12.3.32–36; Roman provincial coins (era 34/35); Hierocles; bishops 325–787</t>
  </si>
  <si>
    <t xml:space="preserve">Strabo describes over 6,000 temple slaves. medieval Roman Tokat (Dazimon/Dokeia) grew 9 km to the SW.</t>
  </si>
  <si>
    <t xml:space="preserve">Strabo 12.3.32–36; Pleiades 857095; Wikipedia: Pontic coinage; Olshausen &amp; Biller 1984</t>
  </si>
  <si>
    <t xml:space="preserve">Mithridatic civic bronze coins (ΚΟΜΑΝΩΝ), c. 110–63 BC; temple-state of Ma enlarged by Pompey; city era AD 34/35</t>
  </si>
  <si>
    <t xml:space="preserve">C551</t>
  </si>
  <si>
    <t xml:space="preserve">Eupatoria</t>
  </si>
  <si>
    <t xml:space="preserve">Εὐπατορία</t>
  </si>
  <si>
    <t xml:space="preserve">Magnopolis (Pompey); Megalopolis (Strabo once)</t>
  </si>
  <si>
    <t xml:space="preserve">probably near Çevresu, at the Iris (Yeşilırmak)–Lycus (Kelkit) confluence (Erbaa, Tokat)</t>
  </si>
  <si>
    <t xml:space="preserve">Mithridates VI Eupator; completed by Pompey</t>
  </si>
  <si>
    <t xml:space="preserve">Strabo 12.3.30; Appian Mith. 115</t>
  </si>
  <si>
    <t xml:space="preserve">Coordinates are an estimate for the confluence at the west end of the Phanaroia plain; Pleiades has only a rough point (40.5, 36.5). The city disappears after the 1st c. AD (perhaps absorbed by Neocaesarea).</t>
  </si>
  <si>
    <t xml:space="preserve">Strabo 12.3.30; Pleiades 857122; Wikipedia: Magnopolis; Cohen 1995</t>
  </si>
  <si>
    <t xml:space="preserve">founded by Mithridates VI Eupator (120–63 BC; exact date unknown), left unfinished; completed by Pompey as Magnopolis, 64 BC</t>
  </si>
  <si>
    <t xml:space="preserve">Kept. Strabo 12.3.30 says Mithridates VI founded it at the Iris–Lycus confluence and Pompey found it half-finished, which describes a city built from scratch. The site is unlocated and unexcavated, so the evidence is textual only.</t>
  </si>
  <si>
    <t xml:space="preserve">Strabo 12.3.30; Pleiades 857122</t>
  </si>
  <si>
    <t xml:space="preserve">C552</t>
  </si>
  <si>
    <t xml:space="preserve">Ibora</t>
  </si>
  <si>
    <t xml:space="preserve">Ἴβωρα</t>
  </si>
  <si>
    <t xml:space="preserve">İverönü</t>
  </si>
  <si>
    <t xml:space="preserve">İverönü (Erbaa, Tokat)</t>
  </si>
  <si>
    <t xml:space="preserve">Native place-name; no pre-Greek attestation.</t>
  </si>
  <si>
    <t xml:space="preserve">Hierocles; bishops 381, 451, 680–81; Basil's letters</t>
  </si>
  <si>
    <t xml:space="preserve">Near Annisa, the family estate of Basil of Caesarea. Home town of Evagrius Ponticus.</t>
  </si>
  <si>
    <t xml:space="preserve">Hierocles, Synecdemus; Pleiades 857169; Wikipedia: Ibora</t>
  </si>
  <si>
    <t xml:space="preserve">first bishop at the Council of Constantinople, 381; city in Hierocles (c. 527)</t>
  </si>
  <si>
    <t xml:space="preserve">C553</t>
  </si>
  <si>
    <t xml:space="preserve">Neocaesarea</t>
  </si>
  <si>
    <t xml:space="preserve">Kabeira (Mithridatic royal residence); Diospolis (Pompey, 64 BC); Sebaste (Pythodoris); Hadriane (2nd c. title)</t>
  </si>
  <si>
    <t xml:space="preserve">Niksar</t>
  </si>
  <si>
    <t xml:space="preserve">Niksar (Niksar, Tokat)</t>
  </si>
  <si>
    <t xml:space="preserve">Mithridatic royal residence Kabeira; refounded by Pompey as Diospolis</t>
  </si>
  <si>
    <t xml:space="preserve">Kabeira was a royal residence (palace, water-mill, park) of Mithridates VI before Pompey; no pre-Greek name attested.</t>
  </si>
  <si>
    <t xml:space="preserve">Mithridatic civic bronze coins (c. 110–63 BC); Strabo 12.3.30–31; Roman provincial coins (era 64); metropolis of Pontus Polemoniacus; Hierocles; bishops from the 3rd c. (Gregory Thaumaturgus)</t>
  </si>
  <si>
    <t xml:space="preserve">Pleiades puts Kabeira c. 6 km E of Niksar; Neocaesarea is under Niksar. Turkish Niksar &lt; Neokaisareia (a Greek–Latin hybrid name).</t>
  </si>
  <si>
    <t xml:space="preserve">Strabo 12.3.30–31; Pleiades 857177; Wikipedia: Pontic coinage; Wikipedia: Niksar</t>
  </si>
  <si>
    <t xml:space="preserve">Mithridatic civic bronze coins of Kabeira (c. 110–63 BC); made a polis as Diospolis by Pompey 64 BC; Neocaesarea from the 1st c. AD (era AD 64)</t>
  </si>
  <si>
    <t xml:space="preserve">C554</t>
  </si>
  <si>
    <t xml:space="preserve">Chabacta</t>
  </si>
  <si>
    <t xml:space="preserve">Χάβακτα</t>
  </si>
  <si>
    <t xml:space="preserve">unlocated, inland Pontus</t>
  </si>
  <si>
    <t xml:space="preserve">Non-Greek place-name, known only from coins.</t>
  </si>
  <si>
    <t xml:space="preserve">Mithridatic civic bronze coins only</t>
  </si>
  <si>
    <t xml:space="preserve">Known only from coins of Mithridates VI's reign. The site and province are unknown; coordinates are a placeholder for inland Pontus.</t>
  </si>
  <si>
    <t xml:space="preserve">Wikipedia: Pontic coinage; Künker: Pontus, Chabakta Æ 100/85 BC</t>
  </si>
  <si>
    <t xml:space="preserve">Mithridatic civic bronze coins (ΧΑΒΑΚΤΩΝ), c. 100–85 BC</t>
  </si>
  <si>
    <t xml:space="preserve">C555</t>
  </si>
  <si>
    <t xml:space="preserve">Taulara</t>
  </si>
  <si>
    <t xml:space="preserve">Ταύλαρα</t>
  </si>
  <si>
    <t xml:space="preserve">Talaura? (Mithridatic treasure fortress)</t>
  </si>
  <si>
    <t xml:space="preserve">unlocated; Pleiades point near Doğanşar (Sivas), Olshausen proposes the area between Tokat and Horoztepe</t>
  </si>
  <si>
    <t xml:space="preserve">Non-Greek place-name.</t>
  </si>
  <si>
    <t xml:space="preserve">Perhaps the Talaura where Mithridates kept treasure (Appian, Plutarch). Some link it to Sebasteia (Pleiades: Sebasteia/Megalopolis?/Talaura?).</t>
  </si>
  <si>
    <t xml:space="preserve">Pleiades 857345; Wikipedia: Pontic coinage; Olshausen &amp; Biller 1984</t>
  </si>
  <si>
    <t xml:space="preserve">Mithridatic civic bronze coins (ΤΑΥΛΑΡΩΝ), c. 110–63 BC</t>
  </si>
  <si>
    <t xml:space="preserve">C556</t>
  </si>
  <si>
    <t xml:space="preserve">Verisa</t>
  </si>
  <si>
    <t xml:space="preserve">Βήρισα</t>
  </si>
  <si>
    <t xml:space="preserve">Berissa, Berisa, Verissa</t>
  </si>
  <si>
    <t xml:space="preserve">Bolus</t>
  </si>
  <si>
    <t xml:space="preserve">Bolus, c. 25 km SW of Tokat, near Çamlıbel (Yeşilyurt?, Tokat)</t>
  </si>
  <si>
    <t xml:space="preserve">AD 458</t>
  </si>
  <si>
    <t xml:space="preserve">bishops 458, 553, 680–81; Justinian Nov. 31; Notitiae (suffragan, later archbishopric, under Sebasteia)</t>
  </si>
  <si>
    <t xml:space="preserve">Under Basil it belonged to the see of Ibora; it is not in Hierocles. The site was identified by Kiepert and Ramsay. The current official name of the village is not verified.</t>
  </si>
  <si>
    <t xml:space="preserve">Pleiades 857369; Wikipedia: Berissa; Catholic Encyclopedia: Berissa</t>
  </si>
  <si>
    <t xml:space="preserve">first known bishop (Maxentius) signs the letter of the Armenia I bishops to Leo I, 458</t>
  </si>
  <si>
    <t xml:space="preserve">C557</t>
  </si>
  <si>
    <t xml:space="preserve">Sebastopolis (Pontus)</t>
  </si>
  <si>
    <t xml:space="preserve">Karana (native town); Herakleopolis (coin title)</t>
  </si>
  <si>
    <t xml:space="preserve">Sulusaray</t>
  </si>
  <si>
    <t xml:space="preserve">Sulusaray (Sulusaray, Tokat)</t>
  </si>
  <si>
    <t xml:space="preserve">c. 2 BC</t>
  </si>
  <si>
    <t xml:space="preserve">Augustus (city status with the annexation of 3/2 BC)</t>
  </si>
  <si>
    <t xml:space="preserve">Karana/Karanitis (Strabo 12.3.37) was a native settlement; no pre-Greek attestation.</t>
  </si>
  <si>
    <t xml:space="preserve">Roman provincial coins (Trajan onward, era 3/2 BC); Pliny NH 6.8; Hierocles; bishops 4th c., 451, 458, 692</t>
  </si>
  <si>
    <t xml:space="preserve">Some of the council signatures for 'Herakleopolis' (e.g. 680–81) belong to Pedachthoe-Herakleoupolis, not to Sebastopolis.</t>
  </si>
  <si>
    <t xml:space="preserve">Strabo 12.3.37; Pleiades 629076; Catholic Encyclopedia: Sebastopolis; Hierocles, Synecdemus</t>
  </si>
  <si>
    <t xml:space="preserve">the village of Karana became the city of Sebastopolis when Pontus Galaticus was annexed (city era 3/2 BC)</t>
  </si>
  <si>
    <t xml:space="preserve">C558</t>
  </si>
  <si>
    <t xml:space="preserve">Cappadocia and Armenia</t>
  </si>
  <si>
    <t xml:space="preserve">Cappadocia</t>
  </si>
  <si>
    <t xml:space="preserve">Cybistra</t>
  </si>
  <si>
    <t xml:space="preserve">Κύβιστρα</t>
  </si>
  <si>
    <t xml:space="preserve">Kybistra; Herakleia (medieval Roman, 'Herakleia Kybistra'); Ereğli</t>
  </si>
  <si>
    <t xml:space="preserve">Ereğli (Konya); Bronze/Iron Age mound probably Ereğli Karahöyük c. 15 km NE</t>
  </si>
  <si>
    <t xml:space="preserve">AD 105</t>
  </si>
  <si>
    <t xml:space="preserve">Ḫupišna (Hittite); Ḫubišna (Neo-Assyrian)</t>
  </si>
  <si>
    <t xml:space="preserve">Old Assyrian Ḫabušna, Hittite Ḫupišna/Ḫapušna, Neo-Assyrian Ḫubišna (capital of a Luwian kingdom of Tabal); equation with Kybistra secure, exact Bronze Age site (Karahöyük or Tont Kalesi) unresolved.</t>
  </si>
  <si>
    <t xml:space="preserve">Strabo 12.2.7; Cicero Fam. 15.2, 15.4; coins Trajan (RPC III 3178–80); bishops 325, 451; Hierocles</t>
  </si>
  <si>
    <t xml:space="preserve">Coordinates are for Ereğli (the medieval Roman Herakleia); Pleiades places Kybistra at 37.59, 34.15 near Karahöyük. Turkish Ereğli continues Herakleia.</t>
  </si>
  <si>
    <t xml:space="preserve">Pleiades 648614; RPC III 3178–80; Cicero Fam. 15.2; Wikipedia: Cybistra</t>
  </si>
  <si>
    <t xml:space="preserve">Neo-Hittite Ḫubišna; Cappadocian royal town where Cicero camped (51 BC); first Greek civic coins dated year 8 of Trajan (AD 104/5)</t>
  </si>
  <si>
    <t xml:space="preserve">C559</t>
  </si>
  <si>
    <t xml:space="preserve">Parnassus (Cappadocia)</t>
  </si>
  <si>
    <t xml:space="preserve">Παρνασσός</t>
  </si>
  <si>
    <t xml:space="preserve">Parnassos</t>
  </si>
  <si>
    <t xml:space="preserve">near Parlasan (Şereflikoçhisar, Ankara)</t>
  </si>
  <si>
    <t xml:space="preserve">Polybius 25.4; Basil, Letters; bishops 343, 381, 431, 451; Hierocles</t>
  </si>
  <si>
    <t xml:space="preserve">Native (-assos) name; the village name Parlasan probably preserves it.</t>
  </si>
  <si>
    <t xml:space="preserve">Pleiades 619235; Polybius 25.4; Wikipedia: Parnassus (Cappadocia); TIB 2 (Hild &amp; Restle 1981)</t>
  </si>
  <si>
    <t xml:space="preserve">Cappadocian town on the Ankyra–Archelais road (Polybius 25.4); first bishop (Pancratius) at Serdica/Philippopolis 343</t>
  </si>
  <si>
    <t xml:space="preserve">C560</t>
  </si>
  <si>
    <t xml:space="preserve">Thermae Basilicae</t>
  </si>
  <si>
    <t xml:space="preserve">Θέρμαι Βασιλικαί</t>
  </si>
  <si>
    <t xml:space="preserve">Basilika Therma; Therma (Hierocles)</t>
  </si>
  <si>
    <t xml:space="preserve">Sarıkaya</t>
  </si>
  <si>
    <t xml:space="preserve">Sarıkaya (Yozgat), Roman bath ('Kral Kızı')</t>
  </si>
  <si>
    <t xml:space="preserve">no recorded founder (royal/imperial spa)</t>
  </si>
  <si>
    <t xml:space="preserve">Hierocles; bishops 451, 680–81, 787; Roman baths</t>
  </si>
  <si>
    <t xml:space="preserve">A spa settlement on (former) royal/imperial land that became a city and see; date is first firm attestation.</t>
  </si>
  <si>
    <t xml:space="preserve">Pleiades 619125; TIB 2 (Hild &amp; Restle 1981)</t>
  </si>
  <si>
    <t xml:space="preserve">first attested bishop at Chalcedon 451; Hierocles (Therma)</t>
  </si>
  <si>
    <t xml:space="preserve">The 2nd-c. AD Roman bath (Aquae Saravenae, Ptolemy's Sarouena) is the earliest documented phase. No Hittite, Phrygian or höyük occupation is reported at Sarıkaya.</t>
  </si>
  <si>
    <t xml:space="preserve">Pleiades 619125; en.wikipedia.org/wiki/Basilica_Therma</t>
  </si>
  <si>
    <t xml:space="preserve">C561</t>
  </si>
  <si>
    <t xml:space="preserve">Armenia Minor</t>
  </si>
  <si>
    <t xml:space="preserve">Pedachthoe</t>
  </si>
  <si>
    <t xml:space="preserve">Πηδαχθόη</t>
  </si>
  <si>
    <t xml:space="preserve">Herakleoupolis (medieval Roman); Bedohtun (Ottoman)</t>
  </si>
  <si>
    <t xml:space="preserve">Güneykaya</t>
  </si>
  <si>
    <t xml:space="preserve">Güneykaya, formerly Bedohtun, N of Sivas (Yıldızeli?, Sivas)</t>
  </si>
  <si>
    <t xml:space="preserve">Sivas</t>
  </si>
  <si>
    <t xml:space="preserve">c. AD 625</t>
  </si>
  <si>
    <t xml:space="preserve">probably Heraclius (the renaming Herakleoupolis suggests 610–641)</t>
  </si>
  <si>
    <t xml:space="preserve">Native village name; no pre-Greek attestation.</t>
  </si>
  <si>
    <t xml:space="preserve">bishop 680–81 (Ioannes, 'Herakleioupolis or Pidachthoe'); 7th-c. seal of an archbishop of Pidachthoe; Notitiae (autocephalous archbishopric)</t>
  </si>
  <si>
    <t xml:space="preserve">The founder Heraclius is inferred only from the name. The Ottoman village name Bedohtun preserves Pedachthoe.</t>
  </si>
  <si>
    <t xml:space="preserve">Pleiades 857266; Wikipedia: Pedachtoë; PBE Ioannes 46; Martyrdom of Athenogenes</t>
  </si>
  <si>
    <t xml:space="preserve">the village of the martyr Athenogenes became the city and see Herakleoupolis, probably under Heraclius (610–641); first bishop (Ioannes) at Constantinople 680–81</t>
  </si>
  <si>
    <t xml:space="preserve">C562</t>
  </si>
  <si>
    <t xml:space="preserve">Sebastea</t>
  </si>
  <si>
    <t xml:space="preserve">Σεβάστεια</t>
  </si>
  <si>
    <t xml:space="preserve">Megalopolis? (Pompey); Sebasteia; Sebastia/Sivas (medieval)</t>
  </si>
  <si>
    <t xml:space="preserve">Sivas city (Merkez, Sivas)</t>
  </si>
  <si>
    <t xml:space="preserve">Pompey (Megalopolis, if identical); renamed Sebasteia under Augustus</t>
  </si>
  <si>
    <t xml:space="preserve">Pleiades lists Hittite Šamuḫa and Šanaḫwitta, but Šamuḫa is now placed at Kayalıpınar and Šanaḫwitta is unlocated; there is no secure pre-Greek name. The Topraktepe mound in the city shows earlier occupation.</t>
  </si>
  <si>
    <t xml:space="preserve">Roman provincial coins (Trajan onward); metropolis of Armenia I; Hierocles; bishops 325–787</t>
  </si>
  <si>
    <t xml:space="preserve">Large Armenian population from 1021 (Senekerim Artsruni's resettlement); mixed Greek–Armenian until the Turkish conquest</t>
  </si>
  <si>
    <t xml:space="preserve">That Sebasteia is Pompey's Megalopolis (Strabo 12.3.37) is the common view but unproven. If they are different, the date becomes c. 2 BC.</t>
  </si>
  <si>
    <t xml:space="preserve">Strabo 12.3.37; Pleiades 629075; Catholic Encyclopedia: Sebaste; Hierocles, Synecdemus</t>
  </si>
  <si>
    <t xml:space="preserve">probably Pompey's Megalopolis (64 BC); Sebasteia under Augustus (city era 2 BC); coins from Trajan</t>
  </si>
  <si>
    <t xml:space="preserve">C563</t>
  </si>
  <si>
    <t xml:space="preserve">Nicopolis (Armenia Minor)</t>
  </si>
  <si>
    <t xml:space="preserve">Purkh/Pürk (Ottoman village)</t>
  </si>
  <si>
    <t xml:space="preserve">Yeşilyayla</t>
  </si>
  <si>
    <t xml:space="preserve">Yeşilyayla (Purkh), near Suşehri (Suşehri, Sivas)</t>
  </si>
  <si>
    <t xml:space="preserve">Strabo 12.3.28; Roman provincial coins (era 64 BC); metropolis of Armenia I; Hierocles; bishops from the 4th c.</t>
  </si>
  <si>
    <t xml:space="preserve">Armenia Minor had a mixed Greek–Armenian population. The city itself used Greek (coins, inscriptions, metropolitan see).</t>
  </si>
  <si>
    <t xml:space="preserve">Strabo 12.3.28; Cassius Dio 36.50; Pleiades 857248; Wikipedia: Nicopolis (Armenia)</t>
  </si>
  <si>
    <t xml:space="preserve">founded by Pompey on the field of his victory over Mithridates (66 BC), with veterans and locals; city era 64 BC</t>
  </si>
  <si>
    <t xml:space="preserve">Pompey founded the city on the battlefield where he defeated Mithridates (66 BC), with wounded and aged veterans, and neighbouring natives joined it (Dio 36.50.3). It was a new foundation, not a refoundation of a native town. The site itself is unexcavated.</t>
  </si>
  <si>
    <t xml:space="preserve">Dio Cass. 36.50.3; Strabo 12.3.28; Appian Mithr. 105; Pleiades 857248</t>
  </si>
  <si>
    <t xml:space="preserve">C564</t>
  </si>
  <si>
    <t xml:space="preserve">Colonia (Armenia Minor)</t>
  </si>
  <si>
    <t xml:space="preserve">Κολώνεια</t>
  </si>
  <si>
    <t xml:space="preserve">Koloneia; Koğonya (Seljuk); Karahisar</t>
  </si>
  <si>
    <t xml:space="preserve">Şebinkarahisar</t>
  </si>
  <si>
    <t xml:space="preserve">Şebinkarahisar castle and town (Şebinkarahisar, Giresun)</t>
  </si>
  <si>
    <t xml:space="preserve">c. AD 375</t>
  </si>
  <si>
    <t xml:space="preserve">Pompey (tradition in Procopius)</t>
  </si>
  <si>
    <t xml:space="preserve">Procopius calls it an ancient fortress before Pompey; no name is recorded.</t>
  </si>
  <si>
    <t xml:space="preserve">Procopius Aed. 3.4.6; Hierocles; bishops; seat of the theme of Koloneia (by 863); Greek inscription of the 9th–10th c. in the fortress</t>
  </si>
  <si>
    <t xml:space="preserve">Site in Giresun, just across the Sivas border, so it also appears in the Pontic seeds. Strabo does not list it among Pompey's foundations; the Pompeian origin rests on Procopius. Held by Trebizond and the Turks in turn; taken by Mehmed II in 1461.</t>
  </si>
  <si>
    <t xml:space="preserve">Procopius, Aed. 3.4.6; Pleiades 857194; Hierocles, Synecdemus; Wikipedia: Şebinkarahisar</t>
  </si>
  <si>
    <t xml:space="preserve">ancient fortress said to have been built/renamed by Pompey c. 64 BC (Procopius); first attested as a city and see c. 375 (Basil's letters to the clergy and magistrates of Colonia; bishop Euphronius); Hierocles c. 527; rebuilt by Justinian</t>
  </si>
  <si>
    <t xml:space="preserve">C596</t>
  </si>
  <si>
    <t xml:space="preserve">Satala</t>
  </si>
  <si>
    <t xml:space="preserve">Satala in Armenia (to distinguish it from Satala in Lydia)</t>
  </si>
  <si>
    <t xml:space="preserve">Sadak</t>
  </si>
  <si>
    <t xml:space="preserve">Sadak village, Kelkit (Gümüşhane): the legionary fortress and the late Roman city</t>
  </si>
  <si>
    <t xml:space="preserve">Roman legionary base (legio XV Apollinaris, c. AD 75–117), which grew into a city</t>
  </si>
  <si>
    <t xml:space="preserve">Hierocles (Armenia I); Procopius, Aed. 3.4.1–4 ("the city of Satala"); bishops 325–879; Notitiae into the 13th c.</t>
  </si>
  <si>
    <t xml:space="preserve">Mixed: a Greek-speaking civic and church community (Basil writes in Greek "to the citizens of Satala") among an Armenian-speaking countryside; Latin in the legion</t>
  </si>
  <si>
    <t xml:space="preserve">Added in the eastern review (11 Oct 2026); earlier left out as "Armenian". Its four sister cities of Armenia I (Sebasteia, Sebastopolis, Nikopolis, Koloneia) were already in the set.</t>
  </si>
  <si>
    <t xml:space="preserve">Basil, Epp. 99, 102, 103 (newadvent.org/fathers/3202099, 3202102, 3202103, fetched); Procopius, Buildings 3.4-3.7 (LacusCurtius, Dewing transl., fetched); Hierocles, Synekdemos 703 [from knowledge]; https://en.wikipedia.org/wiki/Satala (fetched: bishops after Le Quien, 2017 Greek epitaph, Lightfoot 1998); CAP seed row 'Satala, Nicaea 325 (Honigmann)'; Mitford, East of Asia Minor (2018) and JRS 64 (1974) on the Satala inscriptions [from knowledge]</t>
  </si>
  <si>
    <t xml:space="preserve">bishop at Nicaea in 325; the people of Satala wrote to Basil for a bishop c. 372 (Basil, Ep. 99, 102, 103); city of Armenia I in Hierocles</t>
  </si>
  <si>
    <t xml:space="preserve">C606</t>
  </si>
  <si>
    <t xml:space="preserve">Armenia</t>
  </si>
  <si>
    <t xml:space="preserve">Keltzene (Eriza)</t>
  </si>
  <si>
    <t xml:space="preserve">Κελτζηνή</t>
  </si>
  <si>
    <t xml:space="preserve">Eriza (Ptolemy); Erēz, Erznka (Armenian); Arzinjan (Arabic, Persian); Arzinga (Marco Polo, Clavijo); Erzincan</t>
  </si>
  <si>
    <t xml:space="preserve">Old Erzincan, just south of the present city, which was rebuilt further north after the 1939 earthquake; the medieval walled town is not precisely located</t>
  </si>
  <si>
    <t xml:space="preserve">Erzincan</t>
  </si>
  <si>
    <t xml:space="preserve">Eastern Anatolia</t>
  </si>
  <si>
    <t xml:space="preserve">Erēz (Arm.)</t>
  </si>
  <si>
    <t xml:space="preserve">The Armenian town Erēz, cult centre of Anahit in Acilisene.</t>
  </si>
  <si>
    <t xml:space="preserve">see from c. 900, metropolis by c. 1000 (Honigmann; ODB); metropolitans at the synods of 1029 and 1031/2; metropolitan Basil 1071–72 (Dumbarton Oaks seal); the metropolis last filled 1318/19; Clavijo (1404): a walled, populous city</t>
  </si>
  <si>
    <t xml:space="preserve">Mixed: Armenians the majority (Marco Polo, Ibn Battuta, ODB). Clavijo (1404) found 'many Christians, Armenians and Greeks', with a Greek priest at the head of the city's clergy (Le Strange tr. pp. 160–61).</t>
  </si>
  <si>
    <t xml:space="preserve">Added in the second look at the inland Pontus and the east (11 Oct 2026). Under Turkish rule from c. 1071 (Mengujekid, Seljuk, Ilkhanid, then the emir Mutahharten, who married a Trapezuntine princess).</t>
  </si>
  <si>
    <t xml:space="preserve">Clavijo, Embassy to Tamerlane, tr. Le Strange (1928) pp. 160–61; Historia del gran Tamorlan (Madrid 1782) pp. 109–10 (opened, archive.org); Clavijo, tr. Markham (1859) ch. IV; Marco Polo, tr. Yule, bk 1 ch. 4; Ibn Battuta via Bosworth, Encyclopaedia Iranica s.v. Arzenjan; Oxford Dictionary of Byzantium (1991) s.v. Keltzene p. 1173 (opened); Honigmann, Die Ostgrenze des byzantinischen Reiches (1935) pp. 198–213; Dumbarton Oaks seal BZS.1947.2.51 (Basil, metropolitan of Keltzene); Charanis, The Armenians in the Byzantine Empire (1963)</t>
  </si>
  <si>
    <t xml:space="preserve">c. 900: a see of the Constantinopolitan church (first under Kamachos, a metropolis by c. 1000); Greeks beside Armenians in the city still in 1404 (Clavijo)</t>
  </si>
  <si>
    <t xml:space="preserve">Armenian Erēz, cult centre of Anahit in Acilisene (Strabo 11.14.16; Agathangelos)</t>
  </si>
  <si>
    <t xml:space="preserve">Strabo 11.14.16; Agathangelos</t>
  </si>
  <si>
    <t xml:space="preserve">C601</t>
  </si>
  <si>
    <t xml:space="preserve">Theodosiopolis</t>
  </si>
  <si>
    <t xml:space="preserve">Θεοδοσιούπολις</t>
  </si>
  <si>
    <t xml:space="preserve">Karin (Armenian); Arzan al-Rum (Arabic); Erzurum</t>
  </si>
  <si>
    <t xml:space="preserve">Erzurum</t>
  </si>
  <si>
    <t xml:space="preserve">Erzurum city: the citadel and old town (Yakutiye, Erzurum)</t>
  </si>
  <si>
    <t xml:space="preserve">Yakutiye</t>
  </si>
  <si>
    <t xml:space="preserve">AD 949</t>
  </si>
  <si>
    <t xml:space="preserve">resettlement</t>
  </si>
  <si>
    <t xml:space="preserve">Theodosius II (c. 415–421, as Theodosiopolis); resettled under Constantine VII (949)</t>
  </si>
  <si>
    <t xml:space="preserve">Karin (Arm.)</t>
  </si>
  <si>
    <t xml:space="preserve">The Armenian town Karin, fortified as Theodosiopolis c. 415–421.</t>
  </si>
  <si>
    <t xml:space="preserve">late Roman fortress-city and see; theme capital after 949 (theme of Iberia from 1000/1022)</t>
  </si>
  <si>
    <t xml:space="preserve">Mixed: Greek and Armenian settlers after 949 (Runciman, Whittow, Holmes); Armenians probably the majority. Before 949 Greek was only the language of the garrison and administration.</t>
  </si>
  <si>
    <t xml:space="preserve">Added in the eastern review (11 Oct 2026) for 949–c. 1071 only. The Turkish name comes from Arabic Arzan al-Rum, "Arzan of the Romans".</t>
  </si>
  <si>
    <t xml:space="preserve">Wikipedia 'Erzurum' (consulted; cites Whittow, The Making of Byzantium 600-1025 (1996) p. 322; Garsoian, 'The Foundation of Theodosiopolis-Karin' (2003); Arakelyan 1976; Inalcik, EI2 s.v. Erzurum; Gelzer 1901 pp. 536, 551 for the Notitiae; Meyendorff 1989 for the council of 593); Wikipedia 'John Kourkouas' (consulted</t>
  </si>
  <si>
    <t xml:space="preserve">949: taken by John Kourkouas's successor Theophilos Kourkouas; its Muslim population was replaced by Greek and Armenian settlers; Roman until c. 1071–80</t>
  </si>
  <si>
    <t xml:space="preserve">C565</t>
  </si>
  <si>
    <t xml:space="preserve">Melitene</t>
  </si>
  <si>
    <t xml:space="preserve">Μελιτηνή</t>
  </si>
  <si>
    <t xml:space="preserve">Eski Malatya (Turkish)</t>
  </si>
  <si>
    <t xml:space="preserve">Battalgazi</t>
  </si>
  <si>
    <t xml:space="preserve">Battalgazi / Eski Malatya, within the medieval Roman walls (Battalgazi, Malatya)</t>
  </si>
  <si>
    <t xml:space="preserve">Malatya</t>
  </si>
  <si>
    <t xml:space="preserve">c. AD 110</t>
  </si>
  <si>
    <t xml:space="preserve">Trajan (city status at the legionary base)</t>
  </si>
  <si>
    <t xml:space="preserve">Malitiya (Hittite); Malizi (Hieroglyphic Luwian); Meliddu (Assyrian)</t>
  </si>
  <si>
    <t xml:space="preserve">The Bronze and Iron Age city (Melid) is the Arslantepe mound, c. 4–5 km SW of the Roman city. The name passed to the Roman site, but the site is new.</t>
  </si>
  <si>
    <t xml:space="preserve">Procopius Aed. 3.4.15–20; metropolis of Armenia II; Hierocles; bishops 381–787</t>
  </si>
  <si>
    <t xml:space="preserve">After the Roman reconquest (934) the population was largely Syriac (Jacobite) and Armenian</t>
  </si>
  <si>
    <t xml:space="preserve">Late antique Melitene was a Greek-speaking Christian city (Euthymius the Great, Acacius, Otreius), with a mixed Cappadocian/Armenian/Syriac hinterland. Pleiades' point (38.382, 38.361) is on Arslantepe, so the coordinates here are moved to Battalgazi.</t>
  </si>
  <si>
    <t xml:space="preserve">Procopius, Aed. 3.4.15–20; Pleiades 629040; TIB 2 (Kappadokien); Wikipedia: Melitene</t>
  </si>
  <si>
    <t xml:space="preserve">base of legio XII Fulminata from c. AD 70; raised to city rank by Trajan (98–117) according to Procopius</t>
  </si>
  <si>
    <t xml:space="preserve">The legionary fortress of XII Fulminata (c. AD 70) was built on level ground on a site different from Hittite/Neo-Hittite Melid, which is at Arslantepe c. 3 km south of the Battalgazi walls. The Roman city took the district name Melitene, and no pre-Roman level is known inside Battalgazi.</t>
  </si>
  <si>
    <t xml:space="preserve">Procop. Aed. 3.4.15-20; en.wikipedia Melitene ('re-established ... on a different site'); Pleiades 629040</t>
  </si>
  <si>
    <t xml:space="preserve">C566</t>
  </si>
  <si>
    <t xml:space="preserve">Arca (Armenia)</t>
  </si>
  <si>
    <t xml:space="preserve">Ἄρκα</t>
  </si>
  <si>
    <t xml:space="preserve">Arga (Ottoman)</t>
  </si>
  <si>
    <t xml:space="preserve">Akçadağ</t>
  </si>
  <si>
    <t xml:space="preserve">Akçadağ, formerly Arga (Akçadağ, Malatya)</t>
  </si>
  <si>
    <t xml:space="preserve">Hierocles; bishops 431, 451, 553, 680–81</t>
  </si>
  <si>
    <t xml:space="preserve">The old Turkish name Arga preserves Arka. The Greek-speaking character is inferred from the province's church life.</t>
  </si>
  <si>
    <t xml:space="preserve">Pleiades 628929; Hierocles, Synecdemus; TIB 2 (Kappadokien)</t>
  </si>
  <si>
    <t xml:space="preserve">first bishop at the Council of Ephesus, 431; city in Hierocles (c. 527)</t>
  </si>
  <si>
    <t xml:space="preserve">C567</t>
  </si>
  <si>
    <t xml:space="preserve">Cucusus</t>
  </si>
  <si>
    <t xml:space="preserve">Κουκουσός</t>
  </si>
  <si>
    <t xml:space="preserve">Kokousos</t>
  </si>
  <si>
    <t xml:space="preserve">Göksun</t>
  </si>
  <si>
    <t xml:space="preserve">Göksun (Göksun, Kahramanmaraş)</t>
  </si>
  <si>
    <t xml:space="preserve">Kahramanmaraş</t>
  </si>
  <si>
    <t xml:space="preserve">c. AD 404</t>
  </si>
  <si>
    <t xml:space="preserve">Hierocles; Chrysostom's letters; bishops (5th c. onward)</t>
  </si>
  <si>
    <t xml:space="preserve">Border case: the site is in Kahramanmaraş (EAST batch), included here as a Cappadocian city of Armenia II.</t>
  </si>
  <si>
    <t xml:space="preserve">Pleiades 629013; Hierocles, Synecdemus; John Chrysostom, Letters to Olympias</t>
  </si>
  <si>
    <t xml:space="preserve">small town of John Chrysostom's exile (404–407), described in his Greek letters; city in Hierocles (c. 527)</t>
  </si>
  <si>
    <t xml:space="preserve">C568</t>
  </si>
  <si>
    <t xml:space="preserve">Comana (Cappadocia)</t>
  </si>
  <si>
    <t xml:space="preserve">Hierapolis (Hellenistic); Chryse; Komana Kappadokike</t>
  </si>
  <si>
    <t xml:space="preserve">Şarköy (Şar) (Tufanbeyli, Adana)</t>
  </si>
  <si>
    <t xml:space="preserve">Kummanni (Hittite)?</t>
  </si>
  <si>
    <t xml:space="preserve">Kummanni, the Kizzuwatnean cult centre of Ḫebat, is traditionally equated with Comana; several scholars now locate Kummanni in the Cilician plain instead.</t>
  </si>
  <si>
    <t xml:space="preserve">Strabo 12.2.3; Greek civic inscriptions of the Hieropolitai; Hierocles; bishops (5th c. onward)</t>
  </si>
  <si>
    <t xml:space="preserve">Border case: the site is in Adana (CIL batch). Included because it is the main Cappadocian temple-city of Cataonia. The Hellenistic date of the name Hierapolis is not closely fixed.</t>
  </si>
  <si>
    <t xml:space="preserve">Strabo 12.2.3; Pleiades 628959; Cohen 1995; Hierocles, Synecdemus</t>
  </si>
  <si>
    <t xml:space="preserve">Hellenistic temple-city of Ma under the name Hierapolis (Greek inscriptions, 2nd–1st c. BC); Strabo 12.2.3</t>
  </si>
  <si>
    <t xml:space="preserve">C569</t>
  </si>
  <si>
    <t xml:space="preserve">Ariarathia</t>
  </si>
  <si>
    <t xml:space="preserve">Ἀριαράθεια</t>
  </si>
  <si>
    <t xml:space="preserve">Ariaratheia; Dasmenda? (medieval Roman)</t>
  </si>
  <si>
    <t xml:space="preserve">Pınarbaşı</t>
  </si>
  <si>
    <t xml:space="preserve">Pınarbaşı, formerly Aziziye (Pınarbaşı, Kayseri)</t>
  </si>
  <si>
    <t xml:space="preserve">Kayseri</t>
  </si>
  <si>
    <t xml:space="preserve">c. 190 BC</t>
  </si>
  <si>
    <t xml:space="preserve">Ariarathes IV Eusebes (attribution not certain)</t>
  </si>
  <si>
    <t xml:space="preserve">Cappadocian kings</t>
  </si>
  <si>
    <t xml:space="preserve">Cohen 1995; Ptolemy; Hierocles; bishops 431, 449, 451</t>
  </si>
  <si>
    <t xml:space="preserve">Which Ariarathes founded it is uncertain (III, IV and V have all been proposed). The city disappeared in the Arab frontier wars (8th–9th c.). Ramsay's equation with Tzamandos is rejected; Tzamandos lies c. 15 km away.</t>
  </si>
  <si>
    <t xml:space="preserve">Cohen 1995; Pleiades 628934; Wikipedia: Ariarathia; TIB 2 (Kappadokien)</t>
  </si>
  <si>
    <t xml:space="preserve">founded by Ariarathes IV (220–163 BC) according to most modern accounts (Stephanus: by an Ariarathes)</t>
  </si>
  <si>
    <t xml:space="preserve">No excavation or recorded höyük at Pınarbaşı. A regional article asserts the town's 'history goes back to Tabal' and notes Hittite works in the district (Karakuyu dam), but cites no settlement evidence at the site.</t>
  </si>
  <si>
    <t xml:space="preserve">Pleiades 628934; DergiPark article-file 3538252 (Ariaratheia/Pınarbaşı); en.wikipedia Pınarbaşı, Kayseri</t>
  </si>
  <si>
    <t xml:space="preserve">C570</t>
  </si>
  <si>
    <t xml:space="preserve">Ciscissus</t>
  </si>
  <si>
    <t xml:space="preserve">Κισκισσός</t>
  </si>
  <si>
    <t xml:space="preserve">Kiskisos; Kiskisa; Kissos</t>
  </si>
  <si>
    <t xml:space="preserve">near Yaylacık, SE of Develi (Kayseri; district not verified)</t>
  </si>
  <si>
    <t xml:space="preserve">Native place-name (also in Ptolemy); no pre-Greek attestation.</t>
  </si>
  <si>
    <t xml:space="preserve">bishops 692, 787; Notitiae (suffragan of Caesarea)</t>
  </si>
  <si>
    <t xml:space="preserve">The Barrington Atlas brackets the name, so the location is tentative.</t>
  </si>
  <si>
    <t xml:space="preserve">Pleiades 629009; Wikipedia: Ciscissus; TIB 2 (Kappadokien)</t>
  </si>
  <si>
    <t xml:space="preserve">first known bishop (Plato) at the Council in Trullo, 692; bishop at Nicaea 787</t>
  </si>
  <si>
    <t xml:space="preserve">C571</t>
  </si>
  <si>
    <t xml:space="preserve">Ariaramneia</t>
  </si>
  <si>
    <t xml:space="preserve">Ἀριαράμνεια</t>
  </si>
  <si>
    <t xml:space="preserve">Rhodandos? (the site's name, per Pleiades)</t>
  </si>
  <si>
    <t xml:space="preserve">Çamlıca</t>
  </si>
  <si>
    <t xml:space="preserve">Faraşa / Çamlıca, Zamantı valley (Yahyalı, Kayseri)</t>
  </si>
  <si>
    <t xml:space="preserve">probably Ariaramnes</t>
  </si>
  <si>
    <t xml:space="preserve">Farasa bilingual inscription (a strategos 'of Ariaramneia')</t>
  </si>
  <si>
    <t xml:space="preserve">Iranian/Aramaic-using elite (Mithra cult) beside Greek in the 2nd c. BC</t>
  </si>
  <si>
    <t xml:space="preserve">Known only from one inscription, which names it as the seat of a strategos. Polis status is not proven, and the location is only that of the inscription.</t>
  </si>
  <si>
    <t xml:space="preserve">Pleiades 648569; Encyclopaedia Iranica: Ariaramneia; Wikipedia: Farasa bilingual inscription</t>
  </si>
  <si>
    <t xml:space="preserve">dynastic foundation named after Ariaramnes (c. 280–230 BC); attested in the Greek–Aramaic Farasa bilingual inscription (2nd c. BC)</t>
  </si>
  <si>
    <t xml:space="preserve">Known only from the Greek-Aramaic Farasa inscription. The site is not excavated, and the Barrington alternative name [Rodandos] is a Byzantine fortress name, not a pre-Greek one.</t>
  </si>
  <si>
    <t xml:space="preserve">Pleiades 648569; Grégoire, CRAI 1908 (Farasa bilingual)</t>
  </si>
  <si>
    <t xml:space="preserve">C572</t>
  </si>
  <si>
    <t xml:space="preserve">Anisa</t>
  </si>
  <si>
    <t xml:space="preserve">Ἄνισα</t>
  </si>
  <si>
    <t xml:space="preserve">Hanisa</t>
  </si>
  <si>
    <t xml:space="preserve">Kültepe (Karahöyük) mound, NE of Kayseri (Kocasinan, Kayseri)</t>
  </si>
  <si>
    <t xml:space="preserve">Kaneš/Neša (Hittite)</t>
  </si>
  <si>
    <t xml:space="preserve">Kültepe is securely Kaneš (Old Assyrian archives). Anisa is placed there from the decree's findspot and Hellenistic–Roman levels on the mound; the name may continue Kaneš.</t>
  </si>
  <si>
    <t xml:space="preserve">Anisa decree (bronze tablet); Hellenistic–Roman occupation at Kültepe</t>
  </si>
  <si>
    <t xml:space="preserve">The decree refers to a lawsuit at Eusebeia (Mazaka). Anisa was not a city in Roman imperial times and was absorbed by Caesarea.</t>
  </si>
  <si>
    <t xml:space="preserve">Attalus.org inscr. 162 (Anisa decree); Pleiades 628923; Wikipedia: Anisa; Robert, Noms indigènes 1963</t>
  </si>
  <si>
    <t xml:space="preserve">Greek decree of the Anisenoi (boule, demos, prytaneis, archons), dated 'year 7' of a Cappadocian king, c. 157–90 BC</t>
  </si>
  <si>
    <t xml:space="preserve">C573</t>
  </si>
  <si>
    <t xml:space="preserve">Caesarea (Cappadocia)</t>
  </si>
  <si>
    <t xml:space="preserve">Καισάρεια</t>
  </si>
  <si>
    <t xml:space="preserve">Mazaka (native); Eusebeia by the Argaios (Ariarathes V); Caesarea (Archelaus, before AD 14)</t>
  </si>
  <si>
    <t xml:space="preserve">Kayseri city centre (Melikgazi/Kocasinan, Kayseri)</t>
  </si>
  <si>
    <t xml:space="preserve">Melikgazi</t>
  </si>
  <si>
    <t xml:space="preserve">c. 160 BC</t>
  </si>
  <si>
    <t xml:space="preserve">Ariarathes V (refoundation of native Mazaka as Eusebeia)</t>
  </si>
  <si>
    <t xml:space="preserve">Mazaka is a native name known only in Greek. The Hittite Kuššara has been suggested for the Kayseri area but is unlocated, so it is not used. Kaneš/Kültepe is a separate site 20 km NE.</t>
  </si>
  <si>
    <t xml:space="preserve">Strabo 12.2.7–9; royal and Roman provincial coins (Eusebeia, Caesarea); metropolis of Cappadocia I; Hierocles; bishops 314–787</t>
  </si>
  <si>
    <t xml:space="preserve">Pleiades also has a separate 'Mazaka' point (629034) c. 13 km W; the city is under modern Kayseri. Which king renamed it is sometimes given as Ariarathes IV, since both bore the epithet Eusebes.</t>
  </si>
  <si>
    <t xml:space="preserve">Strabo 12.2.7–9; Pleiades 629035; Cohen 1995; Wikipedia: Kayseri</t>
  </si>
  <si>
    <t xml:space="preserve">the royal residence Mazaka was refounded as the polis Eusebeia by Ariarathes V Eusebes Philopator (163–130 BC), with laws of Charondas (Strabo 12.2.9)</t>
  </si>
  <si>
    <t xml:space="preserve">C574</t>
  </si>
  <si>
    <t xml:space="preserve">Camuliana</t>
  </si>
  <si>
    <t xml:space="preserve">Καμουλιαναί</t>
  </si>
  <si>
    <t xml:space="preserve">Iustinianoupolis Nova (Justinian); Kamoulia</t>
  </si>
  <si>
    <t xml:space="preserve">tentatively near Emmiler, NW of Kayseri, near the Çokgöz bridge over the Halys (Kocasinan, Kayseri)</t>
  </si>
  <si>
    <t xml:space="preserve">Justinian</t>
  </si>
  <si>
    <t xml:space="preserve">bishops 553, 680, 692, 787, 879; Notitiae (suffragan of Caesarea)</t>
  </si>
  <si>
    <t xml:space="preserve">The seed row 'region only 38.95, 35.2 (Cappadocia I, 553–787)' is this see. The name is often called Celtic.</t>
  </si>
  <si>
    <t xml:space="preserve">Pleiades 619177; Wikipedia: Camuliana; TIB 2 (Kappadokien)</t>
  </si>
  <si>
    <t xml:space="preserve">village of the 'acheiropoietos' image of Christ, made a polis (Iustinianoupolis) by Justinian (527–565); first bishop 553</t>
  </si>
  <si>
    <t xml:space="preserve">Unlocated village-see; no archaeology.</t>
  </si>
  <si>
    <t xml:space="preserve">Pleiades 619177; TIB 2 (Kappadokien)</t>
  </si>
  <si>
    <t xml:space="preserve">C575</t>
  </si>
  <si>
    <t xml:space="preserve">Diocaesarea (Cappadocia)</t>
  </si>
  <si>
    <t xml:space="preserve">Tilköy</t>
  </si>
  <si>
    <t xml:space="preserve">Tilköy (formerly Kaysar), N of Derinkuyu (Derinkuyu, Nevşehir)</t>
  </si>
  <si>
    <t xml:space="preserve">Nevşehir</t>
  </si>
  <si>
    <t xml:space="preserve">unknown (the name honours Zeus and Caesar; perhaps Archelaus or an early emperor)</t>
  </si>
  <si>
    <t xml:space="preserve">Pliny NH 6.8; Ptolemy 5.6</t>
  </si>
  <si>
    <t xml:space="preserve">Sometimes wrongly identified with Nazianzos. Civic status is inferred only from the dynastic name and its listing by Pliny and Ptolemy; there are no coins or bishops. The old village name Kaysar may echo (Dio)caesarea.</t>
  </si>
  <si>
    <t xml:space="preserve">Pliny NH 6.8; Pleiades 619149; Wikipedia: Diocaesarea (Cappadocia)</t>
  </si>
  <si>
    <t xml:space="preserve">first named by Pliny (NH 6.8, AD 77) among Cappadocian towns; Ptolemy 5.6</t>
  </si>
  <si>
    <t xml:space="preserve">The town is known only from Pliny and Ptolemy and has not been excavated. No earlier name or prehistoric site is reported at Tilköy.</t>
  </si>
  <si>
    <t xml:space="preserve">Plin. NH 6.8; Ptol. 5.6; Pleiades 619149</t>
  </si>
  <si>
    <t xml:space="preserve">C576</t>
  </si>
  <si>
    <t xml:space="preserve">Nyssa (Cappadocia)</t>
  </si>
  <si>
    <t xml:space="preserve">Νύσσα</t>
  </si>
  <si>
    <t xml:space="preserve">Büyükkale and Küçükkale tells, 1–2 km N of Harmandalı (Ortaköy, Aksaray)</t>
  </si>
  <si>
    <t xml:space="preserve">Aksaray</t>
  </si>
  <si>
    <t xml:space="preserve">AD 372</t>
  </si>
  <si>
    <t xml:space="preserve">Nenašša (Hittite)?</t>
  </si>
  <si>
    <t xml:space="preserve">Hittite Nenašša, on the Maraššantiya (Halys) route, has been equated with Nyssa because the names and locations are similar. This is an unproven proposal.</t>
  </si>
  <si>
    <t xml:space="preserve">Hierocles; bishops 372–879; Notitiae (suffragan of Caesarea)</t>
  </si>
  <si>
    <t xml:space="preserve">An older identification with Nevşehir is now rejected. The site is near the Halys.</t>
  </si>
  <si>
    <t xml:space="preserve">Pleiades 619222; Wikipedia: Nyssa (Cappadocia); TIB 2 (Kappadokien); Hierocles, Synecdemus</t>
  </si>
  <si>
    <t xml:space="preserve">see of Gregory of Nyssa from 372; town in Ptolemy and the Itineraries earlier</t>
  </si>
  <si>
    <t xml:space="preserve">C577</t>
  </si>
  <si>
    <t xml:space="preserve">Archelais</t>
  </si>
  <si>
    <t xml:space="preserve">Ἀρχελαΐς</t>
  </si>
  <si>
    <t xml:space="preserve">Garsaura (native); Colonia Claudia Archelais (Claudius); Koloneia (late antique)</t>
  </si>
  <si>
    <t xml:space="preserve">Aksaray city (Merkez, Aksaray)</t>
  </si>
  <si>
    <t xml:space="preserve">Archelaus of Cappadocia; colony of Claudius</t>
  </si>
  <si>
    <t xml:space="preserve">Garsaura, chief place of the strategia Garsauritis (Strabo 12.2.6), is a native name known only in Greek.</t>
  </si>
  <si>
    <t xml:space="preserve">Strabo 12.2.6; Pliny NH 6.8; coins; Hierocles (Koloneia); bishops from 325</t>
  </si>
  <si>
    <t xml:space="preserve">The seed 'Colonia' see (325–451) is this city. The foundation year under Archelaus is not known.</t>
  </si>
  <si>
    <t xml:space="preserve">Strabo 12.2.6; Pliny NH 6.8; Pleiades 619164; TIB 2 (Kappadokien)</t>
  </si>
  <si>
    <t xml:space="preserve">refounded as Archelais by Archelaus, king of Cappadocia (36 BC–AD 17); Roman colony under Claudius</t>
  </si>
  <si>
    <t xml:space="preserve">C578</t>
  </si>
  <si>
    <t xml:space="preserve">Mocissus</t>
  </si>
  <si>
    <t xml:space="preserve">Μωκισσός</t>
  </si>
  <si>
    <t xml:space="preserve">Moukissos (Stephanus); Rhegemoukisos (Hierocles); Iustinianoupolis (Justinian)</t>
  </si>
  <si>
    <t xml:space="preserve">Viranşehir ruins near Helvadere, below Hasandağ (Merkez, Aksaray)</t>
  </si>
  <si>
    <t xml:space="preserve">AD 536</t>
  </si>
  <si>
    <t xml:space="preserve">An earlier fortress/regio Mokissos (native name) existed before Justinian.</t>
  </si>
  <si>
    <t xml:space="preserve">Procopius Aed. 5.4.15–18; Hierocles (Rhegemoukisos); metropolis of Cappadocia III; bishops 553–879</t>
  </si>
  <si>
    <t xml:space="preserve">Earlier literature placed Mokissos at Kırşehir; TIB places it at Viranşehir. The seed council see 'Justinianopolis' is this city.</t>
  </si>
  <si>
    <t xml:space="preserve">Procopius, Aed. 5.4.15–18; Pleiades 619174; Wikipedia: Mokissos; TIB 2 (Kappadokien)</t>
  </si>
  <si>
    <t xml:space="preserve">Justinian rebuilt the hill-fort on a new site as Iustinianoupolis and made it the metropolis of Cappadocia III (536); listed earlier by Hierocles as Rhegemoukisos</t>
  </si>
  <si>
    <t xml:space="preserve">C579</t>
  </si>
  <si>
    <t xml:space="preserve">Nazianzus</t>
  </si>
  <si>
    <t xml:space="preserve">Ναζιανζός</t>
  </si>
  <si>
    <t xml:space="preserve">Nandianulus (Itineraries); Nenezi (Ottoman village)</t>
  </si>
  <si>
    <t xml:space="preserve">Bekarlar</t>
  </si>
  <si>
    <t xml:space="preserve">Bekarlar, formerly Nenezi (Gülağaç, Aksaray)</t>
  </si>
  <si>
    <t xml:space="preserve">c. AD 329</t>
  </si>
  <si>
    <t xml:space="preserve">Hierocles; bishops from c. 329 (Gregory the Elder, Gregory of Nazianzus); later a metropolis</t>
  </si>
  <si>
    <t xml:space="preserve">Gregory of Nazianzus calls it a small town. The old village name Nenezi preserves Nazianzos.</t>
  </si>
  <si>
    <t xml:space="preserve">Pleiades 619218; Wikipedia: Nazianzus; Hierocles, Synecdemus; TIB 2 (Kappadokien)</t>
  </si>
  <si>
    <t xml:space="preserve">bishopric under Gregory the Elder (bishop c. 328/9–374); city in Hierocles (c. 527)</t>
  </si>
  <si>
    <t xml:space="preserve">C580</t>
  </si>
  <si>
    <t xml:space="preserve">Sasima</t>
  </si>
  <si>
    <t xml:space="preserve">Σάσιμα</t>
  </si>
  <si>
    <t xml:space="preserve">Hasaköy</t>
  </si>
  <si>
    <t xml:space="preserve">Hasaköy, near Misli (Niğde)</t>
  </si>
  <si>
    <t xml:space="preserve">Niğde</t>
  </si>
  <si>
    <t xml:space="preserve">Hierocles; bishops from 372 (Gregory of Nazianzus) to 787</t>
  </si>
  <si>
    <t xml:space="preserve">Gregory describes it as a dreary, dusty post-station.</t>
  </si>
  <si>
    <t xml:space="preserve">Pleiades 619256; Gregory of Nazianzus, Carm. 2.1.11; Hierocles, Synecdemus</t>
  </si>
  <si>
    <t xml:space="preserve">post-station village made a see by Basil, with Gregory of Nazianzus as bishop (372); city in Hierocles</t>
  </si>
  <si>
    <t xml:space="preserve">C581</t>
  </si>
  <si>
    <t xml:space="preserve">Doara</t>
  </si>
  <si>
    <t xml:space="preserve">Δόαρα</t>
  </si>
  <si>
    <t xml:space="preserve">Rhegedoara (Hierocles)</t>
  </si>
  <si>
    <t xml:space="preserve">near Çiftlik (Niğde); exact site not verified</t>
  </si>
  <si>
    <t xml:space="preserve">Basil, Ep. 239; Hierocles; bishops to 680–81 and later</t>
  </si>
  <si>
    <t xml:space="preserve">The prefix rhege- in Hierocles suggests an imperial estate (regio). The location follows the Barrington Atlas.</t>
  </si>
  <si>
    <t xml:space="preserve">Pleiades 619151; Basil, Ep. 239; Hierocles, Synecdemus; TIB 2 (Kappadokien)</t>
  </si>
  <si>
    <t xml:space="preserve">see with a (Homoian) bishop in Basil's letters (c. 375); 'Rhegedoara' in Hierocles</t>
  </si>
  <si>
    <t xml:space="preserve">C582</t>
  </si>
  <si>
    <t xml:space="preserve">Tyana</t>
  </si>
  <si>
    <t xml:space="preserve">Τύανα</t>
  </si>
  <si>
    <t xml:space="preserve">Dana (Xenophon); Eusebeia by the Taurus (Cappadocian kings); Colonia Aurelia Antoniniana (Caracalla)</t>
  </si>
  <si>
    <t xml:space="preserve">Kemerhisar</t>
  </si>
  <si>
    <t xml:space="preserve">Kemerhisar (Bor, Niğde)</t>
  </si>
  <si>
    <t xml:space="preserve">c. 165 BC</t>
  </si>
  <si>
    <t xml:space="preserve">Ariarathes IV or V Eusebes (refoundation as Eusebeia)</t>
  </si>
  <si>
    <t xml:space="preserve">Tuwanuwa (Hittite); Tuwana (Hieroglyphic Luwian); Tuḫana (Assyrian)</t>
  </si>
  <si>
    <t xml:space="preserve">Tuwanuwa/Tuwana was the capital of King Warpalawa (8th c. BC; inscriptions from Tyana and nearby Bor). The identification is secure.</t>
  </si>
  <si>
    <t xml:space="preserve">Strabo 12.2.7; royal and Roman provincial coins; Roman colony under Caracalla; metropolis of Cappadocia II from 371; Hierocles; bishops 325–787</t>
  </si>
  <si>
    <t xml:space="preserve">Home of Apollonius of Tyana. Which of the two Eusebes kings refounded it is uncertain, so the date is approximate.</t>
  </si>
  <si>
    <t xml:space="preserve">Xenophon, Anab. 1.2.20; Strabo 12.2.7; Pleiades 648801; Cohen 1995</t>
  </si>
  <si>
    <t xml:space="preserve">Neo-Hittite capital and 'great and prosperous city' Dana (Xenophon, 401 BC); refounded as the polis Eusebeia by the Taurus under Ariarathes IV or V (2nd c. BC)</t>
  </si>
  <si>
    <t xml:space="preserve">C583</t>
  </si>
  <si>
    <t xml:space="preserve">Faustinopolis</t>
  </si>
  <si>
    <t xml:space="preserve">Φαυστινούπολις</t>
  </si>
  <si>
    <t xml:space="preserve">Halala (village)</t>
  </si>
  <si>
    <t xml:space="preserve">near Başmakçı / Çiftehan, at the northern approach to the Cilician Gates (Ulukışla, Niğde)</t>
  </si>
  <si>
    <t xml:space="preserve">AD 176</t>
  </si>
  <si>
    <t xml:space="preserve">Marcus Aurelius</t>
  </si>
  <si>
    <t xml:space="preserve">Halala was a native village (Historia Augusta, Marcus 26.9).</t>
  </si>
  <si>
    <t xml:space="preserve">Historia Augusta, Marcus 26.9; Hierocles; bishops 4th c.–680–81</t>
  </si>
  <si>
    <t xml:space="preserve">The modern Turkish name of the locality is not settled in the sources used (Başmakçı is the usual identification).</t>
  </si>
  <si>
    <t xml:space="preserve">Historia Augusta, Marcus 26.9; Pleiades 648608; Hierocles, Synecdemus; TIB 2 (Kappadokien)</t>
  </si>
  <si>
    <t xml:space="preserve">the village Halala was made a colony named Faustinopolis by Marcus Aurelius after Empress Faustina the Younger died there (175/6)</t>
  </si>
  <si>
    <t xml:space="preserve">C584</t>
  </si>
  <si>
    <t xml:space="preserve">Arabissus</t>
  </si>
  <si>
    <t xml:space="preserve">Ἀραβισσός</t>
  </si>
  <si>
    <t xml:space="preserve">Arabissos; Tripotamos</t>
  </si>
  <si>
    <t xml:space="preserve">Afşin</t>
  </si>
  <si>
    <t xml:space="preserve">Afşin, formerly Yarpuz (Afşin, Kahramanmaraş)</t>
  </si>
  <si>
    <t xml:space="preserve">Native Anatolian toponym (-issos); no pre-Greek attestation.</t>
  </si>
  <si>
    <t xml:space="preserve">Hierocles (Armenia II); bishops 381, 451, 458, 692; birthplace of emperor Maurice (539), who embellished it</t>
  </si>
  <si>
    <t xml:space="preserve">Jacobite (Syriac) bishops are known for the 7th–10th c.; ravaged by Sayf al-Dawla (944, 951) and replaced as local centre by Plasta (Elbistan).</t>
  </si>
  <si>
    <t xml:space="preserve">Pleiades 628925; TIB 2 (Kappadokien); Hierocles, Synecdemus; Wikipedia: Arabissus</t>
  </si>
  <si>
    <t xml:space="preserve">first certain bishop Adolius at Chalcedon 451 (Otreius, 381, sometimes listed here, was bishop of Melitene); city in Hierocles (Armenia II)</t>
  </si>
  <si>
    <t xml:space="preserve">C598</t>
  </si>
  <si>
    <t xml:space="preserve">Commagene and Mesopotamia</t>
  </si>
  <si>
    <t xml:space="preserve">Commagene</t>
  </si>
  <si>
    <t xml:space="preserve">Germanicia</t>
  </si>
  <si>
    <t xml:space="preserve">Γερμανίκεια</t>
  </si>
  <si>
    <t xml:space="preserve">Germanikeia Kaisareia; Marʿash (Arabic); Maraş</t>
  </si>
  <si>
    <t xml:space="preserve">Kahramanmaraş city: the citadel mound and old town (Dulkadiroğlu, Kahramanmaraş)</t>
  </si>
  <si>
    <t xml:space="preserve">Dulkadiroğlu</t>
  </si>
  <si>
    <t xml:space="preserve">Marqasi (Assyr.); Kurkuma (Luw.)</t>
  </si>
  <si>
    <t xml:space="preserve">Capital of the Neo-Hittite kingdom of Gurgum.</t>
  </si>
  <si>
    <t xml:space="preserve">Greek civic name; one of the four cities of Commagene c. AD 200; bishops 325–451; Hierocles; Roman-period civic coins reported (to be checked in RPC)</t>
  </si>
  <si>
    <t xml:space="preserve">Mixed: Greek alongside Aramaic (Syriac); Eudoxius was bishop here and Nestorius was born here. Arab frontier city from the 640s; Armenian in the 11th–12th c.</t>
  </si>
  <si>
    <t xml:space="preserve">Added in the eastern review (11 Oct 2026). The Turkish name comes from the native name (Marqas) through Arabic, not from the Greek.</t>
  </si>
  <si>
    <t xml:space="preserve">Wikipedia en 'Kahramanmaraş', 'Germanikeia', de 'Germanikeia' (consulted); Wikipedia 'Commagene' (Germanicea 'declared itself a Commagenian city'); Socrates, HE 7.29 (Nestorius); Theophanes on Leo III; Head, HN² (Commagene, from memory); Facella 2006; Honigmann, Ostgrenze (962 reconquest).</t>
  </si>
  <si>
    <t xml:space="preserve">refounded as Germanikeia Kaisareia by Antiochus IV of Commagene (AD 38–72); bishops from 325; city of Euphratensis in Hierocles</t>
  </si>
  <si>
    <t xml:space="preserve">Syriac/Arabic</t>
  </si>
  <si>
    <t xml:space="preserve">C585</t>
  </si>
  <si>
    <t xml:space="preserve">Doliche</t>
  </si>
  <si>
    <t xml:space="preserve">Δολίχη</t>
  </si>
  <si>
    <t xml:space="preserve">Dolica (Latin); Tulupa (Crusader)</t>
  </si>
  <si>
    <t xml:space="preserve">Dülük</t>
  </si>
  <si>
    <t xml:space="preserve">Keber Tepe at Dülük (Şehitkamil, Gaziantep)</t>
  </si>
  <si>
    <t xml:space="preserve">Seleucids (probable; settlers named after Doliche in Perrhaebia)</t>
  </si>
  <si>
    <t xml:space="preserve">Cohen 2006, 155; civic coins Marcus Aurelius–Caracalla; city archive of c. 2,000 sealings; Hierocles; bishops 325, 381, 451</t>
  </si>
  <si>
    <t xml:space="preserve">Aramaic/Syriac probably the majority language in Roman and late antique times (Jacobite see 8th–9th c.)</t>
  </si>
  <si>
    <t xml:space="preserve">The Iron Age storm-god sanctuary (later Jupiter Dolichenus) lies c. 1 km away on Dülük Baba Tepesi, not on the city site. Whether 'Doliche' is a Greek colonists' name or a Hellenized native one is debated; Dülük continues it either way.</t>
  </si>
  <si>
    <t xml:space="preserve">Cohen 2006, 155; Pleiades 658455; Blömer &amp; Winter (Doliche excavations, Univ. Münster); Wikipedia: Doliche (Commagene)</t>
  </si>
  <si>
    <t xml:space="preserve">founded in the 3rd c. BC, urban from the 2nd c. BC (Münster excavations); the name of Thessalian Doliche suggests Greek/Macedonian settlers under the Seleucids</t>
  </si>
  <si>
    <t xml:space="preserve">The Münster survey of the urban area on Keber Tepe shows the city site was inhabited before the Hellenistic period, with numerous Stone Age finds. The Iron Age storm-god (Dolichenus) sanctuary stands c. 1 km away on Dülük Baba Tepesi. The input note says the city site had no pre-Greek occupation, which is wrong.</t>
  </si>
  <si>
    <t xml:space="preserve">doliche.uni-muenster.de/en/campaigns/campaign-2017; Blömer &amp; Winter, IstMitt (publications.dainst.org/journals/istmitt/article/view/4712)</t>
  </si>
  <si>
    <t xml:space="preserve">C586</t>
  </si>
  <si>
    <t xml:space="preserve">Antioch near the Taurus</t>
  </si>
  <si>
    <t xml:space="preserve">Ἀντιόχεια ἡ πρὸς τῷ Ταύρῳ</t>
  </si>
  <si>
    <t xml:space="preserve">Antiochia ad Taurum</t>
  </si>
  <si>
    <t xml:space="preserve">unlocated; most often placed at or near Gaziantep (Aintab)</t>
  </si>
  <si>
    <t xml:space="preserve">a king Antiochus (Seleucid or Commagenian; uncertain)</t>
  </si>
  <si>
    <t xml:space="preserve">Ptolemy (Commagene); Cohen 2006, 150</t>
  </si>
  <si>
    <t xml:space="preserve">Aramaic probably dominant (Commagene)</t>
  </si>
  <si>
    <t xml:space="preserve">Location unknown; Gaziantep is the commonest guess, Perrhe has also been proposed. Coordinates are a regional placeholder (Gaziantep).</t>
  </si>
  <si>
    <t xml:space="preserve">Cohen 2006, 150; Ptolemy, Geography 5 (Commagene); Wikipedia: Antiochia ad Taurum</t>
  </si>
  <si>
    <t xml:space="preserve">Hellenistic foundation named after a king Antiochus (Seleucid, or possibly Antiochus I of Commagene); listed by Ptolemy in Commagene</t>
  </si>
  <si>
    <t xml:space="preserve">Unlocated. If it was at Gaziantep, the castle mound (with prehistoric levels) would make it 'yes', but the identification is a guess.</t>
  </si>
  <si>
    <t xml:space="preserve">Ptolemy 5.15.10; input note</t>
  </si>
  <si>
    <t xml:space="preserve">C599</t>
  </si>
  <si>
    <t xml:space="preserve">Perrhe</t>
  </si>
  <si>
    <t xml:space="preserve">Πέρρη</t>
  </si>
  <si>
    <t xml:space="preserve">Pirin</t>
  </si>
  <si>
    <t xml:space="preserve">Örenli</t>
  </si>
  <si>
    <t xml:space="preserve">Örenli (formerly Pirin), north of Adıyaman: rock-cut necropolis and town site</t>
  </si>
  <si>
    <t xml:space="preserve">Adıyaman</t>
  </si>
  <si>
    <t xml:space="preserve">c. AD 198</t>
  </si>
  <si>
    <t xml:space="preserve">A native Commagenian town (by definition an earlier settlement); no pre-Greek name attested.</t>
  </si>
  <si>
    <t xml:space="preserve">one of the four cities of Commagene (CIL III 6709–6710); bishops 381, 451; Hierocles</t>
  </si>
  <si>
    <t xml:space="preserve">Mixed: Greek epitaphs of its own residents (Crowther &amp; Facella 2011) beside an Aramaic-speaking majority</t>
  </si>
  <si>
    <t xml:space="preserve">Added in the eastern review (11 Oct 2026). Some identify it with Antioch near the Taurus (C586); here they are kept apart. The former Turkish name Pirin continued the ancient one.</t>
  </si>
  <si>
    <t xml:space="preserve">Wikipedia en/de 'Perrhe' (consulted 11 Oct 2026); Crowther &amp; Facella, 'Inscriptions from the Necropolis of Perrhe', in Winter (ed.), Von Kummuh nach Telouch (AMS 64, 2011) 367–394; Blömer &amp; Facella 2008 (AMS 60) 189–200; Eraslan &amp; Winter 2008; Erarslan 2012 in Wagner (ed.), Gottkönige am Euphrat; Wikipedia 'Severan Bridge' (CIL III 6709–6710).</t>
  </si>
  <si>
    <t xml:space="preserve">by AD 198–200, when it was one of the four cities of Commagene on the Cendere bridge; Greek epitaphs of residents in the Roman imperial period</t>
  </si>
  <si>
    <t xml:space="preserve">C597</t>
  </si>
  <si>
    <t xml:space="preserve">Samosata</t>
  </si>
  <si>
    <t xml:space="preserve">Σαμόσατα</t>
  </si>
  <si>
    <t xml:space="preserve">Flavia Samosata, metropolis of Commagene; Šamšaṭ (Syriac); Sumaysat (Arabic)</t>
  </si>
  <si>
    <t xml:space="preserve">Samsat Höyük, under the Atatürk Dam lake since 1989 (Samsat, Adıyaman); the modern town was moved</t>
  </si>
  <si>
    <t xml:space="preserve">AD 72</t>
  </si>
  <si>
    <t xml:space="preserve">Kummuḫ? (Assyr.)</t>
  </si>
  <si>
    <t xml:space="preserve">Capital of the Neo-Hittite kingdom of Kummuḫ (Assyrian sources); the identification of the city with the kingdom's capital is usual but not certain.</t>
  </si>
  <si>
    <t xml:space="preserve">civic Greek coinage (ΦΛ ΣΑΜΟΣΑΤΕΩΝ ΜΗΤΡΟ ΚΟΜ); one of the four cities of Commagene on the Cendere bridge (c. AD 200); bishops 325–451; Hierocles</t>
  </si>
  <si>
    <t xml:space="preserve">Mixed: Greek alongside Aramaic (Syriac). Lucian, Paul of Samosata and Eusebius of Samosata came from the city; Lucian says he was "still barbarian in speech" as a boy</t>
  </si>
  <si>
    <t xml:space="preserve">Added in the eastern review (11 Oct 2026); earlier left out as Aramaic-speaking. The mound was excavated before the dam flooded it.</t>
  </si>
  <si>
    <t xml:space="preserve">Wikipedia en/de 'Samosata' (consulted 11 Oct 2026); Wikipedia 'Commagene' (Millar on language), 'Severan Bridge' (CIL III 6709–6710); Lucian, Bis Acc. 27 and De Dea Syria 1; Strabo 16.2.3; Basil, Letters to Eusebius of Samosata; Head, HN² (Commagene); IGLS I (Jalabert &amp; Mouterde 1929); Facella 2006</t>
  </si>
  <si>
    <t xml:space="preserve">AD 72: annexed and made "Flavia Samosata, metropolis of Commagene", with civic coins in Greek (Hadrian to Philip); before that the royal capital of Commagene with a Greek-using court</t>
  </si>
  <si>
    <t xml:space="preserve">C587</t>
  </si>
  <si>
    <t xml:space="preserve">Zeugma (Seleucia on the Euphrates)</t>
  </si>
  <si>
    <t xml:space="preserve">Ζεῦγμα</t>
  </si>
  <si>
    <t xml:space="preserve">Seleukeia epi tou Zeugmatos / Seleucia on the Euphrates (Seleucus I); Zeugma ('the bridge'), twin city with Apamea</t>
  </si>
  <si>
    <t xml:space="preserve">Belkıs (Kavunlu) (Nizip, Gaziantep); lower town under the Birecik Dam lake</t>
  </si>
  <si>
    <t xml:space="preserve">Pleiades lists an Akkadian name 'Zuqarri'; not verified, so not used.</t>
  </si>
  <si>
    <t xml:space="preserve">Cohen 2006, 190–96; Polybius 5.43 (Antiochus III's wedding, 221 BC); civic coins Antoninus Pius–Philip; base of legio IIII Scythica; Hierocles; bishops 325, 451, 553</t>
  </si>
  <si>
    <t xml:space="preserve">Greek–Aramaic bilingual in Roman times; abandoned after 7th-c. Persian and Arab raids</t>
  </si>
  <si>
    <t xml:space="preserve">Given to Commagene by Pompey (64 BC), Roman province of Syria later; Greek funerary stelae and mosaics are abundant. Seleukeia 'epi tou Zeugmatos' (Polybius) is usually taken to be this city.</t>
  </si>
  <si>
    <t xml:space="preserve">Pliny NH 5.86; Cohen 2006, 190–96; Pleiades 658636; Wikipedia: Zeugma, Commagene</t>
  </si>
  <si>
    <t xml:space="preserve">founded by Seleucus I c. 300 BC as Seleucia, with Apamea opposite (Pliny 5.86)</t>
  </si>
  <si>
    <t xml:space="preserve">Excavators report little evidence before Alexander and no sealed pre-Hellenistic deposits. The earliest closed deposits are Hellenistic. Pleiades lists 'Zuqarri' in Shalmaneser III's inscriptions as only possibly Zeugma.</t>
  </si>
  <si>
    <t xml:space="preserve">Zeugma final report vol. 1 ch. 1 (zeugma.packhum.org/pdfs/v1ch01.pdf); Pleiades 658636 (Zuqarri)</t>
  </si>
  <si>
    <t xml:space="preserve">C588</t>
  </si>
  <si>
    <t xml:space="preserve">Antioch on the Euphrates (Urima)</t>
  </si>
  <si>
    <t xml:space="preserve">Ἀντιόχεια ἡ πρὸς τῷ Εὐφράτῃ</t>
  </si>
  <si>
    <t xml:space="preserve">Antiochia ad Euphratem (Pliny); Ourima/Urima (late Roman see); Arulis (Tabula Peutingeriana)</t>
  </si>
  <si>
    <t xml:space="preserve">Horum Höyük, north of Zeugma (Nizip, Gaziantep); flooded by the Birecik Dam</t>
  </si>
  <si>
    <t xml:space="preserve">a king Antiochus (Seleucid, or Antiochus I of Commagene; uncertain)</t>
  </si>
  <si>
    <t xml:space="preserve">Horum Höyük, where BAtlas places Ourima/Antioch, is a settlement mound excavated in the Birecik-dam salvage work (French–Turkish team, late 1990s), with Early Bronze Age and later pre-Hellenistic levels. No pre-Greek name is attested.</t>
  </si>
  <si>
    <t xml:space="preserve">Pliny 5.86 (oppidum); Cohen 2006, 151; late Roman see of Urima</t>
  </si>
  <si>
    <t xml:space="preserve">Aramaic/Syriac in late antiquity (Syriac Urim)</t>
  </si>
  <si>
    <t xml:space="preserve">Identification of Pliny's Antiochia with Urima/Arulis at Horum Höyük follows the Barrington Atlas and is not certain; the Turkish name Horum may continue Urima.</t>
  </si>
  <si>
    <t xml:space="preserve">Pliny NH 5.86; Cohen 2006, 151; Pleiades 658562; Wikipedia: Urima</t>
  </si>
  <si>
    <t xml:space="preserve">Hellenistic foundation named after a king Antiochus, attested as a river town by Pliny 5.86</t>
  </si>
  <si>
    <t xml:space="preserve">C589</t>
  </si>
  <si>
    <t xml:space="preserve">Epiphania on the Euphrates</t>
  </si>
  <si>
    <t xml:space="preserve">Epiphania (Pliny)</t>
  </si>
  <si>
    <t xml:space="preserve">conjecturally near Keskince (Tilmusa) (Birecik, Şanlıurfa); under the Birecik Dam lake</t>
  </si>
  <si>
    <t xml:space="preserve">Şanlıurfa</t>
  </si>
  <si>
    <t xml:space="preserve">Antiochus IV Epiphanes (inferred from the name)</t>
  </si>
  <si>
    <t xml:space="preserve">Pliny 5.86 (oppidum); Cohen 2006, 169</t>
  </si>
  <si>
    <t xml:space="preserve">Aramaic probably dominant in the Roman period</t>
  </si>
  <si>
    <t xml:space="preserve">A Seleucid dynastic name only; the Barrington Atlas location next to Apamea is conjectural.</t>
  </si>
  <si>
    <t xml:space="preserve">Pliny NH 5.86; Cohen 2006, 169; Pleiades 658460</t>
  </si>
  <si>
    <t xml:space="preserve">name implies foundation or renaming by Antiochus IV Epiphanes (175–164 BC); known only from Pliny 5.86</t>
  </si>
  <si>
    <t xml:space="preserve">Known only from Pliny 5.86. The site is conjectural and flooded by the Birecik dam.</t>
  </si>
  <si>
    <t xml:space="preserve">Pliny NH 5.86; Pleiades 658460</t>
  </si>
  <si>
    <t xml:space="preserve">C590</t>
  </si>
  <si>
    <t xml:space="preserve">Mesopotamia</t>
  </si>
  <si>
    <t xml:space="preserve">Apamea on the Euphrates</t>
  </si>
  <si>
    <t xml:space="preserve">Ἀπάμεια</t>
  </si>
  <si>
    <t xml:space="preserve">Apameia (twin city of Seleucia-Zeugma)</t>
  </si>
  <si>
    <t xml:space="preserve">Tilmusa Höyük at Keskince (Birecik, Şanlıurfa); under the Birecik Dam lake</t>
  </si>
  <si>
    <t xml:space="preserve">Pliny 5.86; Isidore of Charax 1 (polis); Hellenistic fortifications excavated 1996–2000 (Abadie-Reynal)</t>
  </si>
  <si>
    <t xml:space="preserve">Aramaic (Osrhoene) in the Roman period; the town declined and merged into greater Zeugma</t>
  </si>
  <si>
    <t xml:space="preserve">Fortified Hellenistic city on the east bank; occupation was slight after the Hellenistic period.</t>
  </si>
  <si>
    <t xml:space="preserve">Pliny NH 5.86; Cohen 2013 (Apameia on the Euphrates); Pleiades 658385; Wikipedia: Apamea (Euphrates)</t>
  </si>
  <si>
    <t xml:space="preserve">founded by Seleucus I c. 300 BC opposite Seleucia-Zeugma, named after his wife Apama (Pliny 5.86)</t>
  </si>
  <si>
    <t xml:space="preserve">Rejected the proposed 'yes', pending confirmation. Tilmusa Höyük, a 9 m conical tell of 0.45 ha on the riverbank at Keskince/Tilmusa, was excavated in 1999 by the Spanish-Czech salvage team (Gil Fuensanta, Charvát, Bucak, Orient-Express 2001/1). It is a non-Turkish source and very probably pre-Hellenistic. But neither the proposal nor any source I could read gives its dated periods, or its position relative to Apamea's walls (Wikipedia: 'not fully clear' which Apamea is meant). This becomes 'yes' if that report or the French Apamea publications (Abadie-Reynal &amp; Gaborit 2003) confirm Bronze/Iron Age levels at the city site.</t>
  </si>
  <si>
    <t xml:space="preserve">en.wikipedia.org/wiki/Tilbeş_Höyük (citing Gil Fuensanta, Charvát &amp; Bucak 2001; Pascual, DHA 48.2, 2022); en.wikipedia.org/wiki/Apamea_(Euphrates); Pleiades 658385 (Barrington: Keskince, formerly Tilmusa); Pascual 2022 not accessible</t>
  </si>
  <si>
    <t xml:space="preserve">C591</t>
  </si>
  <si>
    <t xml:space="preserve">Anthemusias</t>
  </si>
  <si>
    <t xml:space="preserve">Ἀνθεμουσιάς</t>
  </si>
  <si>
    <t xml:space="preserve">Charax Sidou (Isidore); Anthemusia (Strabo, Pliny)</t>
  </si>
  <si>
    <t xml:space="preserve">unlocated, between Apamea and Batnai on the road to Edessa (Birecik–Suruç plain, Şanlıurfa)</t>
  </si>
  <si>
    <t xml:space="preserve">Macedonian settlers (early Seleucids)</t>
  </si>
  <si>
    <t xml:space="preserve">Isidore of Charax 1 (polis); Strabo 16.1.27; Pliny 5.86 (oppidum); Tacitus Ann. 6.41; Cohen 2013</t>
  </si>
  <si>
    <t xml:space="preserve">Aramaic-speaking by the Roman period (Osrhoene; local dynasts of Anthemusia)</t>
  </si>
  <si>
    <t xml:space="preserve">Gave its name to the district Anthemusia in which Batnai lay (Ammianus 14.3.3); Pleiades merges it with Batnae. Isidore puts it c. 5 schoinoi beyond Apamea and 3 before Koraia in Batane.</t>
  </si>
  <si>
    <t xml:space="preserve">Tacitus, Ann. 6.41; Isidore of Charax, Parthian Stations 1; Cohen 2013 (Anthemousias); Pleiades 658405 (merged)</t>
  </si>
  <si>
    <t xml:space="preserve">Macedonian foundation with a Greek name (Tacitus, Ann. 6.41), named after Anthemous in Macedonia; early Seleucid</t>
  </si>
  <si>
    <t xml:space="preserve">Unlocated. Pleiades merges it with Batnai (Suruç, an older town), but that identification is not accepted here.</t>
  </si>
  <si>
    <t xml:space="preserve">Tacitus Ann. 6.41; Isidore of Charax 1; Ammianus 14.3.3</t>
  </si>
  <si>
    <t xml:space="preserve">C592</t>
  </si>
  <si>
    <t xml:space="preserve">Batnae</t>
  </si>
  <si>
    <t xml:space="preserve">Βάτναι</t>
  </si>
  <si>
    <t xml:space="preserve">Batnan da-Serugh (Syriac); Sarūj (Arabic)</t>
  </si>
  <si>
    <t xml:space="preserve">Suruç</t>
  </si>
  <si>
    <t xml:space="preserve">Suruç (Suruç, Şanlıurfa)</t>
  </si>
  <si>
    <t xml:space="preserve">Macedonian settlers (Ammianus); presumably early Seleucid</t>
  </si>
  <si>
    <t xml:space="preserve">Sarugi (Assyrian)?</t>
  </si>
  <si>
    <t xml:space="preserve">Neo-Assyrian Sarugi is usually identified with Suruç (Syriac Serugh, Arabic Sarūj); whether it lay at the Greek town itself is uncertain, and the attestation was not re-checked here.</t>
  </si>
  <si>
    <t xml:space="preserve">Ammianus 14.3.3 (municipium); Hierocles (Osrhoene); bishops 381, 451, 553 (Jacob of Serugh, bishop 519–521)</t>
  </si>
  <si>
    <t xml:space="preserve">Syriac-speaking in late antiquity (Jacob of Serugh)</t>
  </si>
  <si>
    <t xml:space="preserve">Ammianus' statement is late (4th c. AD) but explicit; the town lay in the district Anthemusia.</t>
  </si>
  <si>
    <t xml:space="preserve">Ammianus 14.3.3; Cohen 2013 (Batnai); Pleiades 658405; Wikipedia: Suruç</t>
  </si>
  <si>
    <t xml:space="preserve">founded by 'the ancient Macedonians' (Ammianus 14.3.3), i.e. early Seleucid period</t>
  </si>
  <si>
    <t xml:space="preserve">C593</t>
  </si>
  <si>
    <t xml:space="preserve">Edessa</t>
  </si>
  <si>
    <t xml:space="preserve">Ἔδεσσα</t>
  </si>
  <si>
    <t xml:space="preserve">Antioch on the Callirhoe (Antiochus IV); Colonia Marcia Aurelia Antoniniana (213/14); Justinopolis (Justin I); Urhay/Orhay (Syriac); al-Ruha (Arabic)</t>
  </si>
  <si>
    <t xml:space="preserve">Şanlıurfa (Eyyübiye, Şanlıurfa)</t>
  </si>
  <si>
    <t xml:space="preserve">Eyyübiye</t>
  </si>
  <si>
    <t xml:space="preserve">c. 303 BC</t>
  </si>
  <si>
    <t xml:space="preserve">Adme (Assyrian)?</t>
  </si>
  <si>
    <t xml:space="preserve">Harrak (1992) argued that Assyrian Adme/Admu, preserved in the Syriac name Adme, was the old name of Edessa; plausible but not proven. The Aramaic name Urhay is attested only after the Greek foundation.</t>
  </si>
  <si>
    <t xml:space="preserve">Seleucid civic coins (Antiochus IV); capital of Abgarid Osrhoene c. 132 BC–AD 214/248; Roman colony 213/14; bishops 325, 381, 451, 553; metropolis of Osrhoene</t>
  </si>
  <si>
    <t xml:space="preserve">Aramaic/Syriac-dominant from the Abgarid period (2nd c. BC); the centre of Syriac literature</t>
  </si>
  <si>
    <t xml:space="preserve">medieval Roman again 1031–1087; Urfa continues the native name, not the Greek one.</t>
  </si>
  <si>
    <t xml:space="preserve">Pliny NH 5.86; Cohen 2013 (Edessa); Pleiades 658457; Wikipedia: Edessa</t>
  </si>
  <si>
    <t xml:space="preserve">refounded by Seleucus I c. 303 BC as a Macedonian military settlement named after Edessa in Macedonia; Antioch on the Callirhoe on coins of Antiochus IV</t>
  </si>
  <si>
    <t xml:space="preserve">C594</t>
  </si>
  <si>
    <t xml:space="preserve">Carrhae</t>
  </si>
  <si>
    <t xml:space="preserve">Κάρραι</t>
  </si>
  <si>
    <t xml:space="preserve">Harran (Akkadian/Aramaic); Hellenopolis ('city of pagans', late antique Christian epithet)</t>
  </si>
  <si>
    <t xml:space="preserve">Harran</t>
  </si>
  <si>
    <t xml:space="preserve">Harran (Harran, Şanlıurfa)</t>
  </si>
  <si>
    <t xml:space="preserve">Macedonian settlers (katoikia) under Alexander or the early Successors</t>
  </si>
  <si>
    <t xml:space="preserve">Ḫarrānu (Akkadian)</t>
  </si>
  <si>
    <t xml:space="preserve">Ḫarrān(u), attested from the early 2nd millennium BC (Mari, Old Assyrian) and the seat of the moon-god Sîn; last Assyrian capital 610 BC. Identification certain.</t>
  </si>
  <si>
    <t xml:space="preserve">Diodorus 19.91.1; Cohen 2013 (Karrhai); Roman provincial coins and colonia (Severans); bishops 381, 451</t>
  </si>
  <si>
    <t xml:space="preserve">Aramaic/Syriac; pagan Harranians ('Sabians') until the 11th c., Arabic after the 7th c.</t>
  </si>
  <si>
    <t xml:space="preserve">Crassus was defeated nearby in 53 BC.</t>
  </si>
  <si>
    <t xml:space="preserve">Diodorus 19.91.1; Cohen 2013 (Karrhai); Pleiades 658427; Wikipedia: Harran</t>
  </si>
  <si>
    <t xml:space="preserve">Macedonian military settlers there by 312 BC (Diodorus 19.91.1), presumably settled under Alexander or the early Successors</t>
  </si>
  <si>
    <t xml:space="preserve">C600</t>
  </si>
  <si>
    <t xml:space="preserve">Amida</t>
  </si>
  <si>
    <t xml:space="preserve">Ἄμιδα</t>
  </si>
  <si>
    <t xml:space="preserve">Amid; Constantia? (briefly, under Constantius II)</t>
  </si>
  <si>
    <t xml:space="preserve">Diyarbakır</t>
  </si>
  <si>
    <t xml:space="preserve">the walled city of Diyarbakır (Sur, Diyarbakır)</t>
  </si>
  <si>
    <t xml:space="preserve">Sur</t>
  </si>
  <si>
    <t xml:space="preserve">Amedi (Assyr.)</t>
  </si>
  <si>
    <t xml:space="preserve">Capital of the Aramaean state of Bit-Zamani in Assyrian sources.</t>
  </si>
  <si>
    <t xml:space="preserve">metropolis of Mesopotamia (bishops 381, 451, 553); Hierocles; fortified by Constantius II c. 349</t>
  </si>
  <si>
    <t xml:space="preserve">Mixed: Syriac majority with a Greek-educated community: the physician Aetius of Amida and the patriarch Ephraem of Amida wrote in Greek; a Chalcedonian party in the 6th c.</t>
  </si>
  <si>
    <t xml:space="preserve">Added in the eastern review (11 Oct 2026) as a mixed city, with low confidence: the evidence for Greek speakers beyond officials rests on its writers and the Chalcedonian community.</t>
  </si>
  <si>
    <t xml:space="preserve">Wikipedia 'Amida (Mesopotamia)', 'Diyarbakır', 'Aëtius of Amida', 'Ephraim of Antioch', 'Mesopotamia (Roman province)' (consulted 11 Oct 2026); Ammianus 18–19; Procopius, Aed. 2.3; Photius, Bibl. cod. 228–229; Palmer 1990; Greatrex &amp; Lieu 2002; van Berchem &amp; Strzygowski, Amida (1910).</t>
  </si>
  <si>
    <t xml:space="preserve">capital of the province of Mesopotamia from 363; first bishop at Constantinople in 381; Greek writers born there c. 470–500</t>
  </si>
  <si>
    <t xml:space="preserve">C595</t>
  </si>
  <si>
    <t xml:space="preserve">Nisibis (Antioch in Mygdonia)</t>
  </si>
  <si>
    <t xml:space="preserve">Νίσιβις</t>
  </si>
  <si>
    <t xml:space="preserve">Antiocheia en Mygdonia (Seleucid); Septimia Colonia Nesibi (Septimius Severus); Nṣibin (Syriac)</t>
  </si>
  <si>
    <t xml:space="preserve">Nusaybin</t>
  </si>
  <si>
    <t xml:space="preserve">Nusaybin (Nusaybin, Mardin)</t>
  </si>
  <si>
    <t xml:space="preserve">Mardin</t>
  </si>
  <si>
    <t xml:space="preserve">Seleucus I or Antiochus I (uncertain)</t>
  </si>
  <si>
    <t xml:space="preserve">Naṣibina (Assyrian)</t>
  </si>
  <si>
    <t xml:space="preserve">Aramaean Naṣibina, taken by Adad-nirari II in 896 BC and a Neo-Assyrian provincial capital; identification certain.</t>
  </si>
  <si>
    <t xml:space="preserve">Polybius 5.51; Seleucid civic coins of the Antiochenes in Mygdonia; Plutarch, Lucullus 32; Roman colony (Septimius Severus); bishop Jacob at Nicaea 325</t>
  </si>
  <si>
    <t xml:space="preserve">Aramaic/Syriac-dominant by the Roman period (Ephrem, School of Nisibis); ceded to Persia in 363</t>
  </si>
  <si>
    <t xml:space="preserve">Not in Hierocles because it was Persian from 363; its Roman citizens were moved to Amida under the treaty of 363.</t>
  </si>
  <si>
    <t xml:space="preserve">Polybius 5.51; Plutarch, Lucullus 32; Cohen 2013 (Nisibis); Pleiades 874623</t>
  </si>
  <si>
    <t xml:space="preserve">Seleucid refoundation as Antioch in Mygdonia, attested 221/220 BC (Polybius 5.51); founder probably Seleucus I or Antiochus I</t>
  </si>
  <si>
    <t xml:space="preserve">Greek cities in present-day Turkey: summary (all counts are formulas on the Cities sheet)</t>
  </si>
  <si>
    <t xml:space="preserve">All cities</t>
  </si>
  <si>
    <t xml:space="preserve">How each city became Greek</t>
  </si>
  <si>
    <t xml:space="preserve">Cities</t>
  </si>
  <si>
    <t xml:space="preserve">Share</t>
  </si>
  <si>
    <t xml:space="preserve">Period in which it became Greek</t>
  </si>
  <si>
    <t xml:space="preserve">Earlier non-Greek settlement on the site</t>
  </si>
  <si>
    <t xml:space="preserve">"no known" = new ground (positive evidence); "unknown" = no evidence either way.</t>
  </si>
  <si>
    <t xml:space="preserve">Mixed cities (Greek beside Aramaic or Armenian)</t>
  </si>
  <si>
    <t xml:space="preserve">Only for town or village names that continue the ancient name.</t>
  </si>
  <si>
    <t xml:space="preserve">Modern status of the site</t>
  </si>
  <si>
    <t xml:space="preserve">Only for cities with a town or village on the site.</t>
  </si>
  <si>
    <t xml:space="preserve">Cities that had become Greek before a date</t>
  </si>
  <si>
    <t xml:space="preserve">Year</t>
  </si>
  <si>
    <t xml:space="preserve">Before 480 BC</t>
  </si>
  <si>
    <t xml:space="preserve">Before Alexander crossed (334 BC)</t>
  </si>
  <si>
    <t xml:space="preserve">Before Actium (31 BC)</t>
  </si>
  <si>
    <t xml:space="preserve">Before the founding of Constantinople (330)</t>
  </si>
  <si>
    <t xml:space="preserve">Before Manzikert (1071)</t>
  </si>
  <si>
    <t xml:space="preserve">Median year of becoming Greek</t>
  </si>
  <si>
    <t xml:space="preserve">Today</t>
  </si>
  <si>
    <t xml:space="preserve">Provincial capitals on the site of a city that was Greek by 1461 (of 81)</t>
  </si>
  <si>
    <t xml:space="preserve">Counts each province once (Antalya, Mersin and İstanbul have more than one Greek city).</t>
  </si>
  <si>
    <t xml:space="preserve">District centres on the site of one of these cities (of 973)</t>
  </si>
  <si>
    <t xml:space="preserve">Distinct (province, district) pairs in column M; hardcoded because one district can hold two cities.</t>
  </si>
  <si>
    <t xml:space="preserve">Cities with an attested pre-Greek name</t>
  </si>
  <si>
    <t xml:space="preserve">Place</t>
  </si>
  <si>
    <t xml:space="preserve">Reason</t>
  </si>
  <si>
    <t xml:space="preserve">Batch</t>
  </si>
  <si>
    <t xml:space="preserve">Oca (council seed, İnhisar, Bilecik)</t>
  </si>
  <si>
    <t xml:space="preserve">Misplaced: the Hellespontine see Okai is placed in the Biga district (Çanakkale, TRO batch). The epigraphic Oka near Harmanköy (İnhisar) is a village of Nicaea's territory, not a city.</t>
  </si>
  <si>
    <t xml:space="preserve">BIT</t>
  </si>
  <si>
    <t xml:space="preserve">Unnamed council seed row 40.3, 29.85 (Constantinople 553; 680–81; Nicaea 787)</t>
  </si>
  <si>
    <t xml:space="preserve">non-greek: Unlocatable. (eastern review, Oct 2026)</t>
  </si>
  <si>
    <t xml:space="preserve">Unnamed council seed row 40.3, 29.8 (Ephesus 431)</t>
  </si>
  <si>
    <t xml:space="preserve">Unnamed council seed row 40.6, 30.2 (Nicaea 325; Constantinople 381)</t>
  </si>
  <si>
    <t xml:space="preserve">Daphnous (Pleiades 511222)</t>
  </si>
  <si>
    <t xml:space="preserve">A Hellenistic place-name in the Rhyndakos plain; village, with no civic evidence.</t>
  </si>
  <si>
    <t xml:space="preserve">Artaiouteichos (Pleiades 511159)</t>
  </si>
  <si>
    <t xml:space="preserve">A fort ('wall of Artaios', Classical); not a city.</t>
  </si>
  <si>
    <t xml:space="preserve">Apsoda (Pleiades 844863)</t>
  </si>
  <si>
    <t xml:space="preserve">A late-antique place-name known from Nicaea inscriptions; village, not a city.</t>
  </si>
  <si>
    <t xml:space="preserve">'Cenon Gallicanon' (Pleiades 844891)</t>
  </si>
  <si>
    <t xml:space="preserve">A Roman estate or district name; not a city.</t>
  </si>
  <si>
    <t xml:space="preserve">Kassa (Pleiades 511288)</t>
  </si>
  <si>
    <t xml:space="preserve">A village known from inscriptions; not a city.</t>
  </si>
  <si>
    <t xml:space="preserve">Geragathe (Pleiades 511259)</t>
  </si>
  <si>
    <t xml:space="preserve">A late-antique locality near Nicomedia (estate or suburb); not a city.</t>
  </si>
  <si>
    <t xml:space="preserve">Baradendromia (Pleiades 511176)</t>
  </si>
  <si>
    <t xml:space="preserve">A village known from an inscription; not a city.</t>
  </si>
  <si>
    <t xml:space="preserve">Lilaios (Pleiades 845005)</t>
  </si>
  <si>
    <t xml:space="preserve">A coastal locality near Dia; village, not a city.</t>
  </si>
  <si>
    <t xml:space="preserve">Pylai (Pleiades 511389)</t>
  </si>
  <si>
    <t xml:space="preserve">A port and road station (Yalova); no civic status or see attested.</t>
  </si>
  <si>
    <t xml:space="preserve">Pythia Therma / Pytheion (Termal)</t>
  </si>
  <si>
    <t xml:space="preserve">An imperial spa with baths; not a city.</t>
  </si>
  <si>
    <t xml:space="preserve">Kibotos / Civetot</t>
  </si>
  <si>
    <t xml:space="preserve">A Komnenian fort and port near Helenopolis; not a city.</t>
  </si>
  <si>
    <t xml:space="preserve">Libyssa</t>
  </si>
  <si>
    <t xml:space="preserve">A road station (mansio), Hannibal's death place; not a city.</t>
  </si>
  <si>
    <t xml:space="preserve">Dakibyza (Gebze)</t>
  </si>
  <si>
    <t xml:space="preserve">A road station and medieval fort; no see attested.</t>
  </si>
  <si>
    <t xml:space="preserve">Tottaion / Tattaios (near Arıcaklar, Gölpazarı, Bilecik)</t>
  </si>
  <si>
    <t xml:space="preserve">A road station (mutatio Tutaium, Itin. Burd.). A later see under Nicaea is reported in some lists but I could not verify it here; check TIB 13 before adding.</t>
  </si>
  <si>
    <t xml:space="preserve">Dablis / Dablai</t>
  </si>
  <si>
    <t xml:space="preserve">A road station (mansio Dablae, Itin. Burd.), perhaps near Taraklı. Episcopal status not verified; check TIB 13. Pleiades *Dabla (INik) is a village of Nicaea.</t>
  </si>
  <si>
    <t xml:space="preserve">Agrilion (Pleiades 511143)</t>
  </si>
  <si>
    <t xml:space="preserve">A road station (Itin. Ant. Agrillum); not a city.</t>
  </si>
  <si>
    <t xml:space="preserve">Tarsia</t>
  </si>
  <si>
    <t xml:space="preserve">A regio (Hierocles: rhegeon Tarsia), not a polis.</t>
  </si>
  <si>
    <t xml:space="preserve">Belokome (Bilecik), Leukai (Osmaneli), Angelokome (İnegöl), Söğüt</t>
  </si>
  <si>
    <t xml:space="preserve">Byzantine fortresses or fortified towns of the 11th–13th c.; no polis status or see found.</t>
  </si>
  <si>
    <t xml:space="preserve">Trigleia (Tirilye/Zeytinbağı)</t>
  </si>
  <si>
    <t xml:space="preserve">A Byzantine coastal town and monastic centre; no see verified.</t>
  </si>
  <si>
    <t xml:space="preserve">Pythopolis (Pleiades 511391)</t>
  </si>
  <si>
    <t xml:space="preserve">A legendary foundation of Theseus (Plut. Thes. 26); no historical city.</t>
  </si>
  <si>
    <t xml:space="preserve">Otroia (Pleiades 511348)</t>
  </si>
  <si>
    <t xml:space="preserve">A small town on Lake Askania (Strabo); no civic evidence.</t>
  </si>
  <si>
    <t xml:space="preserve">Brylleion</t>
  </si>
  <si>
    <t xml:space="preserve">Merged with Myrleia/Apamea (Pleiades 511194 treats them as one).</t>
  </si>
  <si>
    <t xml:space="preserve">Olbia (Gulf of Astakos)</t>
  </si>
  <si>
    <t xml:space="preserve">An alternative name of Astakos; merged.</t>
  </si>
  <si>
    <t xml:space="preserve">Kalpe (Kerpe)</t>
  </si>
  <si>
    <t xml:space="preserve">A harbour (Xenophon, Anab. 6); not a city.</t>
  </si>
  <si>
    <t xml:space="preserve">Juliopolis / Gordiou Kome</t>
  </si>
  <si>
    <t xml:space="preserve">In Ankara province (Nallıhan/Çayırhan); left to the GAL batch.</t>
  </si>
  <si>
    <t xml:space="preserve">Daskyleion at Ergili (satrapal seat; see 'Dascylium')</t>
  </si>
  <si>
    <t xml:space="preserve">In Balıkesir; left to the TRO batch. The coastal Daskyleion near Eşkel is included here.</t>
  </si>
  <si>
    <t xml:space="preserve">Andabalis (Niğde)</t>
  </si>
  <si>
    <t xml:space="preserve">village and road station (imperial horse stud) NE of Tyana; never a city</t>
  </si>
  <si>
    <t xml:space="preserve">CAP</t>
  </si>
  <si>
    <t xml:space="preserve">Aspenzinsos (Niğde)</t>
  </si>
  <si>
    <t xml:space="preserve">village/road station; not a city</t>
  </si>
  <si>
    <t xml:space="preserve">Koropassos (Aksaray)</t>
  </si>
  <si>
    <t xml:space="preserve">village (kome) on the Lycaonian border (Strabo); not a city</t>
  </si>
  <si>
    <t xml:space="preserve">Korama (Göreme, Nevşehir)</t>
  </si>
  <si>
    <t xml:space="preserve">village among the rock-cut settlements; not a city</t>
  </si>
  <si>
    <t xml:space="preserve">[Korama] (near İncesu, Kayseri)</t>
  </si>
  <si>
    <t xml:space="preserve">village; not a city</t>
  </si>
  <si>
    <t xml:space="preserve">Kampai? (Kayseri)</t>
  </si>
  <si>
    <t xml:space="preserve">road station (Tabula Peutingeriana 'Cambe'); not a city</t>
  </si>
  <si>
    <t xml:space="preserve">Aquae Saravenae (Kırşehir)</t>
  </si>
  <si>
    <t xml:space="preserve">spa and road station; no civic status attested (not the Hierocles 'Therma', which is Basilika Therma at Terzili Hamam, Yozgat)</t>
  </si>
  <si>
    <t xml:space="preserve">Altıntepe (Erzincan)</t>
  </si>
  <si>
    <t xml:space="preserve">non-greek: Urartian fortress, not a Greek city. (eastern review, Oct 2026)</t>
  </si>
  <si>
    <t xml:space="preserve">council see 'Acilisene' (region only, Erzincan, 680–81)</t>
  </si>
  <si>
    <t xml:space="preserve">administrative: Unplaceable, and probably a duplicate of a named see. (eastern review, Oct 2026)</t>
  </si>
  <si>
    <t xml:space="preserve">council see 'Daranalis' (region only, Tercan, 680–81)</t>
  </si>
  <si>
    <t xml:space="preserve">council see 'Armenia I' (region only, Tercan, 553)</t>
  </si>
  <si>
    <t xml:space="preserve">council see 'Lesser Armenia' (region only, 39.7/38.3, Nicaea 325)</t>
  </si>
  <si>
    <t xml:space="preserve">council see 'Cappadocia' (region only, 38.6/35.2, Nicaea 325)</t>
  </si>
  <si>
    <t xml:space="preserve">council see 'Cappadocia I' (region only, 38.95/35.2, 553–787)</t>
  </si>
  <si>
    <t xml:space="preserve">[Bathys Rhyax]/[Krya Pege]? (Yıldızeli, Sivas)</t>
  </si>
  <si>
    <t xml:space="preserve">A battlefield and fort, not a city. (eastern review, Oct 2026)</t>
  </si>
  <si>
    <t xml:space="preserve">Phiara (Yıldızeli, Sivas)</t>
  </si>
  <si>
    <t xml:space="preserve">A road station and village. (eastern review, Oct 2026)</t>
  </si>
  <si>
    <t xml:space="preserve">Anniaca (Koyulhisar, Sivas)</t>
  </si>
  <si>
    <t xml:space="preserve">A road station. (eastern review, Oct 2026)</t>
  </si>
  <si>
    <t xml:space="preserve">Ameria / sanctuary of Men Pharnakou (Tokat)</t>
  </si>
  <si>
    <t xml:space="preserve">A temple village (komopolis), with no civic status or see. (eastern review, Oct 2026)</t>
  </si>
  <si>
    <t xml:space="preserve">Cromen (Amasya)</t>
  </si>
  <si>
    <t xml:space="preserve">Diakopa / Diakopene (Amasya)</t>
  </si>
  <si>
    <t xml:space="preserve">A village and district. (eastern review, Oct 2026)</t>
  </si>
  <si>
    <t xml:space="preserve">Heracleopolis (council row at Sulusaray)</t>
  </si>
  <si>
    <t xml:space="preserve">Duplicate of included cities. (eastern review, Oct 2026)</t>
  </si>
  <si>
    <t xml:space="preserve">Colonia (council row at Aksaray)</t>
  </si>
  <si>
    <t xml:space="preserve">duplicate of Archelais (Koloneia)</t>
  </si>
  <si>
    <t xml:space="preserve">Justinianopolis (council row at Taşpınar)</t>
  </si>
  <si>
    <t xml:space="preserve">duplicate of Mocissus (Iustinianoupolis)</t>
  </si>
  <si>
    <t xml:space="preserve">Berissa (council row)</t>
  </si>
  <si>
    <t xml:space="preserve">Duplicate. (eastern review, Oct 2026)</t>
  </si>
  <si>
    <t xml:space="preserve">Ciscissus (council row)</t>
  </si>
  <si>
    <t xml:space="preserve">duplicate of Kiskisos</t>
  </si>
  <si>
    <t xml:space="preserve">Kaneš / Neša (Kültepe), Bronze Age</t>
  </si>
  <si>
    <t xml:space="preserve">Old Assyrian/Hittite city, not Greek; the Hellenistic polis on the site is listed as Anisa</t>
  </si>
  <si>
    <t xml:space="preserve">Melid / Malitiya (Arslantepe, Malatya)</t>
  </si>
  <si>
    <t xml:space="preserve">non-greek: Pre-Greek city; Roman Melitene is listed. (eastern review, Oct 2026)</t>
  </si>
  <si>
    <t xml:space="preserve">Šamuḫa (Kayalıpınar, Sivas)</t>
  </si>
  <si>
    <t xml:space="preserve">non-greek: No Greek city on the site. (eastern review, Oct 2026)</t>
  </si>
  <si>
    <t xml:space="preserve">Kabeira / Diospolis</t>
  </si>
  <si>
    <t xml:space="preserve">Same city as the included Neocaesarea. (eastern review, Oct 2026)</t>
  </si>
  <si>
    <t xml:space="preserve">Megalopolis (Pompey)</t>
  </si>
  <si>
    <t xml:space="preserve">Already merged with the included Sebasteia. (eastern review, Oct 2026)</t>
  </si>
  <si>
    <t xml:space="preserve">Dazimon / Dokeia (Tokat)</t>
  </si>
  <si>
    <t xml:space="preserve">administrative: A Roman kastron and estate centre, not attested as a polis or see; its Greek-speaking population belonged to the see of Comana Pontica, which is already included. (eastern review, Oct 2026)</t>
  </si>
  <si>
    <t xml:space="preserve">Venasa / Ouenasa (Avanos, Nevşehir)</t>
  </si>
  <si>
    <t xml:space="preserve">temple estate of Zeus (Strabo 12.2.6); no civic status attested</t>
  </si>
  <si>
    <t xml:space="preserve">Nora / Neroassos (Aksaray–Niğde)</t>
  </si>
  <si>
    <t xml:space="preserve">fortress (Eumenes' siege); not a city</t>
  </si>
  <si>
    <t xml:space="preserve">Arianzos, Karbala (Gelveri), Malakopea (Derinkuyu)</t>
  </si>
  <si>
    <t xml:space="preserve">villages and estates around Nazianzos; not cities</t>
  </si>
  <si>
    <t xml:space="preserve">Sobesos (Şahinefendi, Ürgüp, Nevşehir)</t>
  </si>
  <si>
    <t xml:space="preserve">Roman and late antique settlement with baths and a church; civic status not attested</t>
  </si>
  <si>
    <t xml:space="preserve">Kainon Chorion, Dasteira, Sinoria, Basgoidariza, Hydara (Pontus/Armenia Minor)</t>
  </si>
  <si>
    <t xml:space="preserve">non-greek: A royal fortress, not a city (CAP exclusion confirmed). (eastern review, Oct 2026)</t>
  </si>
  <si>
    <t xml:space="preserve">Tephrike / Leontokome (Divriği, Sivas)</t>
  </si>
  <si>
    <t xml:space="preserve">administrative: Paulician and then Armenian frontier town under Roman rule 878–1071; no positive evidence of a resident Greek-speaking community or a see (borderline for 843–878 if Greek-speaking Paulician refugees are counted). (eastern review, Oct 2026)</t>
  </si>
  <si>
    <t xml:space="preserve">Tzamandos (near Pınarbaşı, Kayseri)</t>
  </si>
  <si>
    <t xml:space="preserve">Armenian frontier fortress-town founded by Melias c. 909; not Greek-speaking</t>
  </si>
  <si>
    <t xml:space="preserve">Argyroupolis (Gümüşhane)</t>
  </si>
  <si>
    <t xml:space="preserve">The town grew after 1461 (Wikipedia, citing the Encyclopaedia of the Hellenic World: no evidence of mining in Byzantine times), so it falls outside the period. (eastern review, Oct 2026)</t>
  </si>
  <si>
    <t xml:space="preserve">Bizana / Leontopolis (Erzincan–Erzurum border)</t>
  </si>
  <si>
    <t xml:space="preserve">administrative: An imperial see in Armenian country with no evidence of a Greek-speaking community. (eastern review, Oct 2026)</t>
  </si>
  <si>
    <t xml:space="preserve">Neapolis / Phazemon / Neoklaudiopolis / Andrapa (Vezirköprü)</t>
  </si>
  <si>
    <t xml:space="preserve">non-greek: Unlocated, and no evidence of Greek speakers. (eastern review, Oct 2026)</t>
  </si>
  <si>
    <t xml:space="preserve">Euchaita (Avkat, Çorum)</t>
  </si>
  <si>
    <t xml:space="preserve">site in Çorum: Pontic (PON) batch</t>
  </si>
  <si>
    <t xml:space="preserve">Kybistra / Herakleia (Ereğli)</t>
  </si>
  <si>
    <t xml:space="preserve">site in Konya: Galatia (GAL) batch</t>
  </si>
  <si>
    <t xml:space="preserve">Basilika Therma (Terzili Hamam, Sarıkaya)</t>
  </si>
  <si>
    <t xml:space="preserve">site in Yozgat: Galatia (GAL) batch (Cappadocia I city in Hierocles)</t>
  </si>
  <si>
    <t xml:space="preserve">Parnassos (Cappadocia II/III)</t>
  </si>
  <si>
    <t xml:space="preserve">site on the Halys NW of Aksaray, in Ankara/Kırşehir border country: GAL batch per the seeds</t>
  </si>
  <si>
    <t xml:space="preserve">Podandos / Rhegepodandos (Pozantı)</t>
  </si>
  <si>
    <t xml:space="preserve">site in Adana: Cilicia (CIL) batch (Cappadocia I city in Hierocles)</t>
  </si>
  <si>
    <t xml:space="preserve">Loryma</t>
  </si>
  <si>
    <t xml:space="preserve">Rhodian deme/fortress (Bozukkale) in the incorporated Rhodian Peraia; not a self-governing city</t>
  </si>
  <si>
    <t xml:space="preserve">CAR</t>
  </si>
  <si>
    <t xml:space="preserve">Phoinix</t>
  </si>
  <si>
    <t xml:space="preserve">village/deme of the Rhodian Peraia (Loryma peninsula); not a city</t>
  </si>
  <si>
    <t xml:space="preserve">Tymnos</t>
  </si>
  <si>
    <t xml:space="preserve">Rhodian deme in the Peraia; not a city</t>
  </si>
  <si>
    <t xml:space="preserve">Hydas</t>
  </si>
  <si>
    <t xml:space="preserve">Rhodian Peraia settlement (Pliny's 'oppidum Hydas'); no evidence of an independent Greek city</t>
  </si>
  <si>
    <t xml:space="preserve">Syrna</t>
  </si>
  <si>
    <t xml:space="preserve">Rhodian Peraia village/deme (Bayır); not a city</t>
  </si>
  <si>
    <t xml:space="preserve">Bybassos</t>
  </si>
  <si>
    <t xml:space="preserve">Rhodian deme (Pleiades); not a city</t>
  </si>
  <si>
    <t xml:space="preserve">Physkos</t>
  </si>
  <si>
    <t xml:space="preserve">port of the Rhodian Peraia (Marmaris), Strabo's 'polichnion'; no evidence of independent polis institutions</t>
  </si>
  <si>
    <t xml:space="preserve">Euthenai</t>
  </si>
  <si>
    <t xml:space="preserve">Rhodian Peraia settlement (Pliny); no evidence of city status</t>
  </si>
  <si>
    <t xml:space="preserve">Kallipolis (Gelibolu, Pleiades 599682) and Kallipolis (Duran Çiftlik, Pleiades 599681)</t>
  </si>
  <si>
    <t xml:space="preserve">stronghold taken in 333 BC (Arrian 2.5.7), later a Rhodian Peraia community; no clear polis institutions. The two Pleiades entries probably refer to one place. Borderline.</t>
  </si>
  <si>
    <t xml:space="preserve">Kyllandos</t>
  </si>
  <si>
    <t xml:space="preserve">Carian community of the tribute lists, later in the Rhodian Peraia; no evidence it became a Greek city</t>
  </si>
  <si>
    <t xml:space="preserve">Triopion</t>
  </si>
  <si>
    <t xml:space="preserve">sanctuary of the Dorian Hexapolis in Knidian territory</t>
  </si>
  <si>
    <t xml:space="preserve">Cnidus (Burgaz), Pleiades 599576</t>
  </si>
  <si>
    <t xml:space="preserve">duplicate of Knidos (Old Knidos site); recorded under Knidos</t>
  </si>
  <si>
    <t xml:space="preserve">Pargasa/Bargasa (coastal, Gökbel, Pleiades 599866)</t>
  </si>
  <si>
    <t xml:space="preserve">Carian tribute-list community and Strabo's small place near Keramos; no evidence it became a Greek city. The coin-issuing Bargasa is the inland one, which is included.</t>
  </si>
  <si>
    <t xml:space="preserve">Syangela</t>
  </si>
  <si>
    <t xml:space="preserve">duplicate of Theangela (older Carian site/name)</t>
  </si>
  <si>
    <t xml:space="preserve">Pedasa (Gökçeler, near Bodrum)</t>
  </si>
  <si>
    <t xml:space="preserve">Lelegian/Carian town merged into Halikarnassos by Mausolus c. 370 BC before it became Greek-speaking; not a Greek city</t>
  </si>
  <si>
    <t xml:space="preserve">Karyanda (Salih Adası, Pleiades 599693)</t>
  </si>
  <si>
    <t xml:space="preserve">duplicate of Karyanda/Neapolis (earlier site)</t>
  </si>
  <si>
    <t xml:space="preserve">Teichioussa</t>
  </si>
  <si>
    <t xml:space="preserve">Milesian fortified settlement (Thuc. 8.26); not a city</t>
  </si>
  <si>
    <t xml:space="preserve">Labraunda</t>
  </si>
  <si>
    <t xml:space="preserve">sanctuary of Zeus belonging to Mylasa</t>
  </si>
  <si>
    <t xml:space="preserve">Lagina</t>
  </si>
  <si>
    <t xml:space="preserve">sanctuary of Hekate; deme of Stratonikeia</t>
  </si>
  <si>
    <t xml:space="preserve">Tendeba</t>
  </si>
  <si>
    <t xml:space="preserve">fortress in Stratonikeian territory (Livy 33.18)</t>
  </si>
  <si>
    <t xml:space="preserve">Kys/Kanebion/Palaiapolis</t>
  </si>
  <si>
    <t xml:space="preserve">obscure place; no secure evidence of city status</t>
  </si>
  <si>
    <t xml:space="preserve">Gerga/Leukai Stelai</t>
  </si>
  <si>
    <t xml:space="preserve">Carian village (Gergakome) with Carian-style inscriptions; not a city</t>
  </si>
  <si>
    <t xml:space="preserve">Skolopoeis</t>
  </si>
  <si>
    <t xml:space="preserve">place on Mycale with a sanctuary of Demeter (Hdt. 9.97); not a city</t>
  </si>
  <si>
    <t xml:space="preserve">Hybanda</t>
  </si>
  <si>
    <t xml:space="preserve">former island/locality near Myous; not a city</t>
  </si>
  <si>
    <t xml:space="preserve">Glauke</t>
  </si>
  <si>
    <t xml:space="preserve">harbour on Mycale; not a city</t>
  </si>
  <si>
    <t xml:space="preserve">Acharaka</t>
  </si>
  <si>
    <t xml:space="preserve">village with Plutonion, belonging to Nysa (Strabo 14.1.44)</t>
  </si>
  <si>
    <t xml:space="preserve">Leimon</t>
  </si>
  <si>
    <t xml:space="preserve">meadow sanctuary in the territory of Nysa; not a city</t>
  </si>
  <si>
    <t xml:space="preserve">Karoura</t>
  </si>
  <si>
    <t xml:space="preserve">village with hot springs (Strabo: kome); probably also across the border in Denizli</t>
  </si>
  <si>
    <t xml:space="preserve">Lissa</t>
  </si>
  <si>
    <t xml:space="preserve">Fethiye district (Göcek), so Lycia batch; small community in the territory of Telmessos; not a city</t>
  </si>
  <si>
    <t xml:space="preserve">Krya</t>
  </si>
  <si>
    <t xml:space="preserve">Fethiye district (Göcek), so Lycia batch; Carian/Lycian community of the tribute lists (IACP 907) with no evidence it became Greek-speaking. Flag for LYC.</t>
  </si>
  <si>
    <t xml:space="preserve">Telandros</t>
  </si>
  <si>
    <t xml:space="preserve">Fethiye district (Göcek), so Lycia batch; tribute-list community (IACP 935) with no evidence it became a Greek city. Flag for LYC.</t>
  </si>
  <si>
    <t xml:space="preserve">Arymaxa</t>
  </si>
  <si>
    <t xml:space="preserve">Fethiye district (Lycia batch); small settlement, not a city</t>
  </si>
  <si>
    <t xml:space="preserve">Oktapolis</t>
  </si>
  <si>
    <t xml:space="preserve">Fethiye district (Lycia batch); district/village group, not a city</t>
  </si>
  <si>
    <t xml:space="preserve">unnamed council row (37.40, 28.20; Ephesus 431)</t>
  </si>
  <si>
    <t xml:space="preserve">province-centroid placeholder for an unidentified Carian bishop; cannot be located or named</t>
  </si>
  <si>
    <t xml:space="preserve">unnamed council row (37.35, 28.35; Constantinople 553, Nicaea 787)</t>
  </si>
  <si>
    <t xml:space="preserve">province-centroid placeholder for an unidentified Carian see; cannot be located or named</t>
  </si>
  <si>
    <t xml:space="preserve">Latmos (Pleiades 599752)</t>
  </si>
  <si>
    <t xml:space="preserve">earlier site of Herakleia under Latmos; recorded there</t>
  </si>
  <si>
    <t xml:space="preserve">Müsgebi (Ortakent)</t>
  </si>
  <si>
    <t xml:space="preserve">Mycenaean chamber-tomb cemetery only, no settlement or city; mentioned under Halikarnassos</t>
  </si>
  <si>
    <t xml:space="preserve">Tabai</t>
  </si>
  <si>
    <t xml:space="preserve">site at Kale in Denizli province, outside this batch (Phrygia/Denizli batch)</t>
  </si>
  <si>
    <t xml:space="preserve">Herakleia Salbake</t>
  </si>
  <si>
    <t xml:space="preserve">site at Vakıf (Tavas) in Denizli province, outside this batch</t>
  </si>
  <si>
    <t xml:space="preserve">Aunesis</t>
  </si>
  <si>
    <t xml:space="preserve">harbour/landing of Hamaxia (Stadiasmus); not a city</t>
  </si>
  <si>
    <t xml:space="preserve">CIL</t>
  </si>
  <si>
    <t xml:space="preserve">Meydancıkkale (Kiršu)</t>
  </si>
  <si>
    <t xml:space="preserve">fortress and royal seat of Pirindu (Neo-Babylonian Kiršu); destroyed c. 235 BC; not a Greek city</t>
  </si>
  <si>
    <t xml:space="preserve">Palaia(i)/Philaia</t>
  </si>
  <si>
    <t xml:space="preserve">coastal station/small settlement; no civic evidence</t>
  </si>
  <si>
    <t xml:space="preserve">Mylai</t>
  </si>
  <si>
    <t xml:space="preserve">small coastal settlement near Taşucu; not a city</t>
  </si>
  <si>
    <t xml:space="preserve">Meydan Kalesi</t>
  </si>
  <si>
    <t xml:space="preserve">fortified settlement in the territory of Seleukeia; no civic evidence</t>
  </si>
  <si>
    <t xml:space="preserve">Akkale</t>
  </si>
  <si>
    <t xml:space="preserve">Late Roman villa/harbour settlement; not a city</t>
  </si>
  <si>
    <t xml:space="preserve">Emirzeli</t>
  </si>
  <si>
    <t xml:space="preserve">Late Roman village; not a city</t>
  </si>
  <si>
    <t xml:space="preserve">Tapureli</t>
  </si>
  <si>
    <t xml:space="preserve">Sinapiç</t>
  </si>
  <si>
    <t xml:space="preserve">village/settlement near Mut; not a city</t>
  </si>
  <si>
    <t xml:space="preserve">Kalanthia</t>
  </si>
  <si>
    <t xml:space="preserve">village near Erdemli; not a city</t>
  </si>
  <si>
    <t xml:space="preserve">Lamos (Limonlu, Erdemli; council seed 'Lamus')</t>
  </si>
  <si>
    <t xml:space="preserve">village at the mouth of the Lamos river (Strabo 14.5.6 kome); the see of Lamus is Lamos above Adanda (Gazipaşa), included</t>
  </si>
  <si>
    <t xml:space="preserve">Dağpazarı (Pleiades 648618)</t>
  </si>
  <si>
    <t xml:space="preserve">not a separate city; duplicate of Koropissos (included at this site, following TIB 5)</t>
  </si>
  <si>
    <t xml:space="preserve">Unnamed Isaurian see (seed council row at 36.85, 33.3)</t>
  </si>
  <si>
    <t xml:space="preserve">Unnamed Cilician see, Nicaea 325 (seed council row at 37.0, 35.3)</t>
  </si>
  <si>
    <t xml:space="preserve">Olba (council seed)</t>
  </si>
  <si>
    <t xml:space="preserve">duplicate of Olba (included)</t>
  </si>
  <si>
    <t xml:space="preserve">Serretillis/Serraipolis</t>
  </si>
  <si>
    <t xml:space="preserve">small town known only from Ptolemy; no civic evidence</t>
  </si>
  <si>
    <t xml:space="preserve">Ma(m)psoukrenai (Mopsou Krene)</t>
  </si>
  <si>
    <t xml:space="preserve">road station</t>
  </si>
  <si>
    <t xml:space="preserve">Kirkota</t>
  </si>
  <si>
    <t xml:space="preserve">Podandos</t>
  </si>
  <si>
    <t xml:space="preserve">village and imperial estate (Basil, Ep. 74); not a city. Hittite Paduwanda? is a pre-Greek name but there was no Greek polis</t>
  </si>
  <si>
    <t xml:space="preserve">Kyinda (Kundu)</t>
  </si>
  <si>
    <t xml:space="preserve">Seleucid treasury fortress near Anazarbos (Assyrian Kundu?); not a city</t>
  </si>
  <si>
    <t xml:space="preserve">Sision/Sis (Kozan)</t>
  </si>
  <si>
    <t xml:space="preserve">Byzantine fort/town, later capital of Armenian Cilicia (Armenian-speaking); not attested as a Greek polis or Greek see. Assyrian Sissu? identification aside</t>
  </si>
  <si>
    <t xml:space="preserve">Daphne (Harbiye)</t>
  </si>
  <si>
    <t xml:space="preserve">suburb and sanctuary of Antioch; not a separate city</t>
  </si>
  <si>
    <t xml:space="preserve">Pagrae (Bağras)</t>
  </si>
  <si>
    <t xml:space="preserve">village/fortress in the Antiochene (Strabo 16.2.8); not a city</t>
  </si>
  <si>
    <t xml:space="preserve">al-Mina</t>
  </si>
  <si>
    <t xml:space="preserve">Archaic Greek–Levantine emporion at the Orontes mouth; trading post, not a polis</t>
  </si>
  <si>
    <t xml:space="preserve">Myriand(r)os</t>
  </si>
  <si>
    <t xml:space="preserve">Phoenician emporion (Xenophon Anab. 1.4.6; Ps.-Skylax 102 'Phoenician'); not a Greek city; superseded by Alexandreia kat' Isson</t>
  </si>
  <si>
    <t xml:space="preserve">Baiae (Payas)</t>
  </si>
  <si>
    <t xml:space="preserve">road station/small town on the Gulf of Issos; no civic coinage or bishop known</t>
  </si>
  <si>
    <t xml:space="preserve">Sibyla/Sibila (near Mut)</t>
  </si>
  <si>
    <t xml:space="preserve">Late Roman settlement; no evidence of civic status or a see found (Sbida is a different place, in Karaman)</t>
  </si>
  <si>
    <t xml:space="preserve">Tell Tayinat (Kunulua) and Tell Atchana (Alalakh)</t>
  </si>
  <si>
    <t xml:space="preserve">Neo-Hittite/Bronze Age centres; not Greek cities and not on the site of Antioch</t>
  </si>
  <si>
    <t xml:space="preserve">Sirkeli Höyük (Kummanni?) and Tatarlı Höyük (Lawazantiya?)</t>
  </si>
  <si>
    <t xml:space="preserve">Hittite-period sites in the Cilician plain; no Greek city</t>
  </si>
  <si>
    <t xml:space="preserve">Karatepe-Aslantaş (Azatiwataya)</t>
  </si>
  <si>
    <t xml:space="preserve">Neo-Hittite fortress; not a Greek city</t>
  </si>
  <si>
    <t xml:space="preserve">Arsameia on the Nymphaios (Eski Kâhta, Adıyaman)</t>
  </si>
  <si>
    <t xml:space="preserve">administrative: Royal fortress, not a Greek-speaking city. (eastern review, Oct 2026)</t>
  </si>
  <si>
    <t xml:space="preserve">EAST</t>
  </si>
  <si>
    <t xml:space="preserve">Arsameia on the Euphrates (Gerger, Adıyaman)</t>
  </si>
  <si>
    <t xml:space="preserve">Seleukeia epi tou Zeugmatos (Pleiades 658589, conjectural site near Samosata)</t>
  </si>
  <si>
    <t xml:space="preserve">Duplicate of the included Zeugma. (eastern review, Oct 2026)</t>
  </si>
  <si>
    <t xml:space="preserve">Cyrrhus / Kyrrhos (Nabi Huri)</t>
  </si>
  <si>
    <t xml:space="preserve">outside Turkey (eastern review, Oct 2026)</t>
  </si>
  <si>
    <t xml:space="preserve">Ciliza / Urmagiganti (Kilis)</t>
  </si>
  <si>
    <t xml:space="preserve">non-greek: Road station. (eastern review, Oct 2026)</t>
  </si>
  <si>
    <t xml:space="preserve">Tyba / Deba? (Gaziantep)</t>
  </si>
  <si>
    <t xml:space="preserve">non-greek: Road station or village. (eastern review, Oct 2026)</t>
  </si>
  <si>
    <t xml:space="preserve">Birtha / Macedonopolis (Birecik, Şanlıurfa)</t>
  </si>
  <si>
    <t xml:space="preserve">non-greek: A Syriac-speaking see whose only Greek trace is a church name first attested in 325; it would qualify only if the editor reads 'Macedonopolis' as proof of a Seleucid settlement. (eastern review, Oct 2026)</t>
  </si>
  <si>
    <t xml:space="preserve">Constantia / Tella / Antoninopolis / Maximianopolis (Viranşehir, Şanlıurfa)</t>
  </si>
  <si>
    <t xml:space="preserve">administrative: Greek only as the language of the garrison and administration in a Syriac-speaking town. (eastern review, Oct 2026)</t>
  </si>
  <si>
    <t xml:space="preserve">Resaina / Theodosiopolis (Ra's al-'Ayn)</t>
  </si>
  <si>
    <t xml:space="preserve">non-greek: outside Turkey (eastern review, Oct 2026)</t>
  </si>
  <si>
    <t xml:space="preserve">Guzana (Tell Halaf)</t>
  </si>
  <si>
    <t xml:space="preserve">Ballatha (Arslan Tash)</t>
  </si>
  <si>
    <t xml:space="preserve">Ammodios / Amouda</t>
  </si>
  <si>
    <t xml:space="preserve">Fadana</t>
  </si>
  <si>
    <t xml:space="preserve">Fesh-Khabur / Peroz-Shapur?</t>
  </si>
  <si>
    <t xml:space="preserve">Dara / Anastasiopolis (Oğuz, Mardin)</t>
  </si>
  <si>
    <t xml:space="preserve">administrative: A garrison city where Greek was the language of the army and administration. (eastern review, Oct 2026)</t>
  </si>
  <si>
    <t xml:space="preserve">Marde / Mardin</t>
  </si>
  <si>
    <t xml:space="preserve">non-greek: Fortress, not a Greek city. (eastern review, Oct 2026)</t>
  </si>
  <si>
    <t xml:space="preserve">Sauras (Savur)</t>
  </si>
  <si>
    <t xml:space="preserve">non-greek: Fort or station. (eastern review, Oct 2026)</t>
  </si>
  <si>
    <t xml:space="preserve">Macharta / Tiberiopolis / Monokarton (Mardin)</t>
  </si>
  <si>
    <t xml:space="preserve">administrative: Fortified town with no Greek community attested. (eastern review, Oct 2026)</t>
  </si>
  <si>
    <t xml:space="preserve">Kephas / Kiphas (Hasankeyf, Batman)</t>
  </si>
  <si>
    <t xml:space="preserve">administrative: Syriac-speaking fortress-see. (eastern review, Oct 2026)</t>
  </si>
  <si>
    <t xml:space="preserve">Bezabde / Phaenica (Cizre region, Şırnak)</t>
  </si>
  <si>
    <t xml:space="preserve">non-greek: Fortress; no Greek community. (eastern review, Oct 2026)</t>
  </si>
  <si>
    <t xml:space="preserve">Unnamed see, Osrhoene (Constantinople 553; near Güneren, Şanlıurfa)</t>
  </si>
  <si>
    <t xml:space="preserve">Unnamed see, Mesopotamia (Constantinople 381; near Çınar, Diyarbakır)</t>
  </si>
  <si>
    <t xml:space="preserve">Martyropolis / Mayperqat / Np'rkert (Silvan, Diyarbakır)</t>
  </si>
  <si>
    <t xml:space="preserve">administrative: An Armenian/Syriac town with an imperial Greek administration only. (eastern review, Oct 2026)</t>
  </si>
  <si>
    <t xml:space="preserve">Ingila / Arkathiokerta? / Basileon Phrourion (Eğil, Diyarbakır)</t>
  </si>
  <si>
    <t xml:space="preserve">non-greek: Armenian satrapal fortress and see. (eastern review, Oct 2026)</t>
  </si>
  <si>
    <t xml:space="preserve">Unnamed see, Sophene (Chalcedon 451; near Arıcak, Elazığ)</t>
  </si>
  <si>
    <t xml:space="preserve">Unnamed see, Anzitene (Chalcedon 451; near Elazığ)</t>
  </si>
  <si>
    <t xml:space="preserve">Dadima (Elazığ)</t>
  </si>
  <si>
    <t xml:space="preserve">non-greek: Armenian district place or fort with no Greek community evidence. (eastern review, Oct 2026)</t>
  </si>
  <si>
    <t xml:space="preserve">Kitharizon (Bingöl/Tunceli area)</t>
  </si>
  <si>
    <t xml:space="preserve">administrative: Military fortress, not a city. (eastern review, Oct 2026)</t>
  </si>
  <si>
    <t xml:space="preserve">Adconfluentes (Köprüköy, Erzurum)</t>
  </si>
  <si>
    <t xml:space="preserve">Gymnias (Erzurum region)</t>
  </si>
  <si>
    <t xml:space="preserve">non-greek: Native town, never Greek. (eastern review, Oct 2026)</t>
  </si>
  <si>
    <t xml:space="preserve">'Isumbo' / Patansana / Zombis (Patnos, Ağrı)</t>
  </si>
  <si>
    <t xml:space="preserve">Unnamed see, Greater Armenia (Nicaea 325; near Tutak, Ağrı)</t>
  </si>
  <si>
    <t xml:space="preserve">Cymiza / Balaleisa (Bitlis)</t>
  </si>
  <si>
    <t xml:space="preserve">non-greek: Armenian and Kurdish town; no Greek evidence. (eastern review, Oct 2026)</t>
  </si>
  <si>
    <t xml:space="preserve">Thospia / Ṭušpa (Van)</t>
  </si>
  <si>
    <t xml:space="preserve">non-greek: Urartian and Armenian city; Greek only in the 11th-c. administration. (eastern review, Oct 2026)</t>
  </si>
  <si>
    <t xml:space="preserve">Artemita (Edremit, Van)</t>
  </si>
  <si>
    <t xml:space="preserve">non-greek: A Greek-looking name only; no evidence of a Greek city. (eastern review, Oct 2026)</t>
  </si>
  <si>
    <t xml:space="preserve">Mantzikert (Malazgirt, Muş)</t>
  </si>
  <si>
    <t xml:space="preserve">administrative: A Roman-held Armenian and Georgian fortress-town; Greek only in the garrison and administration. (eastern review, Oct 2026)</t>
  </si>
  <si>
    <t xml:space="preserve">Ani (Ocaklı, Kars)</t>
  </si>
  <si>
    <t xml:space="preserve">administrative: Armenian capital under Roman administration for only 19 years; no Greek community. (eastern review, Oct 2026)</t>
  </si>
  <si>
    <t xml:space="preserve">Kars</t>
  </si>
  <si>
    <t xml:space="preserve">non-greek: Armenian town, only briefly and nominally Roman. (eastern review, Oct 2026)</t>
  </si>
  <si>
    <t xml:space="preserve">Artaxata (Khor Virap)</t>
  </si>
  <si>
    <t xml:space="preserve">administrative: outside Turkey (eastern review, Oct 2026)</t>
  </si>
  <si>
    <t xml:space="preserve">Caunus (Dalyan, Muğla)</t>
  </si>
  <si>
    <t xml:space="preserve">Outside this batch's provinces; the seed row is misassigned and is handled by CAR.</t>
  </si>
  <si>
    <t xml:space="preserve">Pasanda (near Dalyan, Muğla)</t>
  </si>
  <si>
    <t xml:space="preserve">Aegeae (Yumurtalık, Adana)</t>
  </si>
  <si>
    <t xml:space="preserve">Outside this batch's provinces; the seed row is misassigned and is handled by CIL.</t>
  </si>
  <si>
    <t xml:space="preserve">Gordion/Vindia? (Yassıhüyük, Polatlı)</t>
  </si>
  <si>
    <t xml:space="preserve">Phrygian royal capital; in the Hellenistic period a large trading village (Livy 38.18 'emporium') without polis institutions, deserted by 189 BC; Roman village/road station. Never a Greek city on present evidence (Ramsay's equation with the Late Roman see Eudoxias is unproven; Barrington puts Eudoxias? in Eskişehir).</t>
  </si>
  <si>
    <t xml:space="preserve">GAL</t>
  </si>
  <si>
    <t xml:space="preserve">Kerkenes Dağ / Pteria? (Sorgun, Yozgat)</t>
  </si>
  <si>
    <t xml:space="preserve">Phrygian (Iron Age) city destroyed c. 547 BC; never a Greek city.</t>
  </si>
  <si>
    <t xml:space="preserve">Gorbeous (Gölbaşı area, Ankara)</t>
  </si>
  <si>
    <t xml:space="preserve">fortified royal seat of the Galatian tetrarch Castor, later a road station; no civic status.</t>
  </si>
  <si>
    <t xml:space="preserve">Ecobrogis/Eccobriga (Sulakyurt, Kırıkkale)</t>
  </si>
  <si>
    <t xml:space="preserve">Galatian settlement and road station; not a city.</t>
  </si>
  <si>
    <t xml:space="preserve">*Hieronpotamon (Çayırhan, Ankara)</t>
  </si>
  <si>
    <t xml:space="preserve">road station near Juliopolis; not a city.</t>
  </si>
  <si>
    <t xml:space="preserve">Balgatia (Çayırhan, Ankara)</t>
  </si>
  <si>
    <t xml:space="preserve">road station; not a city.</t>
  </si>
  <si>
    <t xml:space="preserve">*Pillitokome (Kuyulusebil, Konya)</t>
  </si>
  <si>
    <t xml:space="preserve">village (kome); not a city.</t>
  </si>
  <si>
    <t xml:space="preserve">Papirion / Papiriou Castellum / Cherreos Eryma (Karaman)</t>
  </si>
  <si>
    <t xml:space="preserve">fortress; not a city.</t>
  </si>
  <si>
    <t xml:space="preserve">Halys (river)</t>
  </si>
  <si>
    <t xml:space="preserve">river, not a settlement.</t>
  </si>
  <si>
    <t xml:space="preserve">Metropolis in Isauria (council seed, Bozkır)</t>
  </si>
  <si>
    <t xml:space="preserve">non-greek: A native town; the word 'metropolis' is Xenophon's description, not a Greek city. (eastern review, Oct 2026)</t>
  </si>
  <si>
    <t xml:space="preserve">Isaura Vetus / Isauropolis? (Pleiades 648652)</t>
  </si>
  <si>
    <t xml:space="preserve">Old Isaura, a native town destroyed 75 BC; its later see (Isauropolis) was merged with Isaura; treated under Isaura (Nea).</t>
  </si>
  <si>
    <t xml:space="preserve">Derbe (Pleiades 648621, late-antique point at 37.25, 33.25)</t>
  </si>
  <si>
    <t xml:space="preserve">duplicate of Derbe.</t>
  </si>
  <si>
    <t xml:space="preserve">Koropissos (Pleiades 652347, plotted in Karaman)</t>
  </si>
  <si>
    <t xml:space="preserve">the Cilician city Koropissos lies at Dağ Pazarı (Mut, Mersin; RPC 36.83, 33.47) — belongs to the Cilicia batch; the Lycaonian Koropassos is near Akhan (Aksaray, Cappadocia batch).</t>
  </si>
  <si>
    <t xml:space="preserve">Eudoxias? (Pleiades 609377)</t>
  </si>
  <si>
    <t xml:space="preserve">Galatia II see, but Barrington places it at 39.46, 31.75 in Günyüzü (Eskişehir) — Phrygia batch; site uncertain.</t>
  </si>
  <si>
    <t xml:space="preserve">Unnamed region-only council seeds: Isauria (Nicaea 325, Constantinople 381) at 36.9, 33.0; Lycaonia (Chalcedon 451) at 37.65, 32.85; Lycaonia (Constantinople 680–81) at 37.75, 32.9; Lycaonia (Constantinople 381) at 37.8, 32.8</t>
  </si>
  <si>
    <t xml:space="preserve">Unnamed region-only council seed: Galatia I (680–81; 787) at 39.75, 32.4</t>
  </si>
  <si>
    <t xml:space="preserve">Kilistra (Gökyurt, Meram, Konya)</t>
  </si>
  <si>
    <t xml:space="preserve">Roman/Byzantine village with rock-cut churches; no civic status.</t>
  </si>
  <si>
    <t xml:space="preserve">Thebasa? (Karaman)</t>
  </si>
  <si>
    <t xml:space="preserve">town 'in Tauro' in Pliny/Ptolemy only; no civic evidence.</t>
  </si>
  <si>
    <t xml:space="preserve">Posala (Özyurt, Kazımkarabekir)</t>
  </si>
  <si>
    <t xml:space="preserve">Byzantine-era village; no evidence of a see or civic status.</t>
  </si>
  <si>
    <t xml:space="preserve">Kongoustos/Congussus (Altınekin, Konya)</t>
  </si>
  <si>
    <t xml:space="preserve">village / road station (Tab. Peut., Pliny); no civic status.</t>
  </si>
  <si>
    <t xml:space="preserve">Sidamaria (Ambararası, Karaman)</t>
  </si>
  <si>
    <t xml:space="preserve">village (sarcophagus findspot); not a city.</t>
  </si>
  <si>
    <t xml:space="preserve">Myrikion/Therma (Haymana, Ankara)</t>
  </si>
  <si>
    <t xml:space="preserve">hot-spring estate/settlement; status as city or see could not be verified — not included (check TIB 4).</t>
  </si>
  <si>
    <t xml:space="preserve">Malos (Kalecik, Ankara)</t>
  </si>
  <si>
    <t xml:space="preserve">village/martyr shrine; not a city.</t>
  </si>
  <si>
    <t xml:space="preserve">Bloukion (Karalar) and Peion (Tabanlıoğlu Kale), Ankara</t>
  </si>
  <si>
    <t xml:space="preserve">fortresses of the Galatian king Deiotarus; not cities.</t>
  </si>
  <si>
    <t xml:space="preserve">Tolastochora?, Ouetissos/Vetissus, Ardistama, *Andeira, *Keissia, Pegella and other Pleiades villages/stations in Konya</t>
  </si>
  <si>
    <t xml:space="preserve">villages or road stations (Ptolemy, itineraries); no civic evidence.</t>
  </si>
  <si>
    <t xml:space="preserve">Mithridation (Yozgat)</t>
  </si>
  <si>
    <t xml:space="preserve">fortress (Strabo); not a city.</t>
  </si>
  <si>
    <t xml:space="preserve">Corniaspa, Sibora/Foroba?, Sermusa, Agranai, Euaissa (Yozgat)</t>
  </si>
  <si>
    <t xml:space="preserve">road stations / villages; no civic status verified.</t>
  </si>
  <si>
    <t xml:space="preserve">Alişar Hüyük (Hittite Ankuwa?), Sorgun, Yozgat</t>
  </si>
  <si>
    <t xml:space="preserve">Bronze/Iron Age town; no Greek city. Ankuwa is not Ankyra.</t>
  </si>
  <si>
    <t xml:space="preserve">Dalisandos (Isaurian homonym in Hierocles)</t>
  </si>
  <si>
    <t xml:space="preserve">unlocated, possibly in the Kalykadnos highlands (Karaman/Mersin); not included — only the Lycaonian/Pamphylian Dalisandos at Belören is listed.</t>
  </si>
  <si>
    <t xml:space="preserve">Glavama?</t>
  </si>
  <si>
    <t xml:space="preserve">suggested in the brief as a Lycaonian see; could not be verified in available sources; not included.</t>
  </si>
  <si>
    <t xml:space="preserve">Pessinous, Germa, Germia/Myriangeloi, Orkistos, Amorion, Troknades</t>
  </si>
  <si>
    <t xml:space="preserve">sites in Eskişehir/Afyon — Phrygia batch.</t>
  </si>
  <si>
    <t xml:space="preserve">Christopolis (council see)</t>
  </si>
  <si>
    <t xml:space="preserve">duplicate of Dios Hieron (Lydia), renamed Christoupolis in the 7th c.</t>
  </si>
  <si>
    <t xml:space="preserve">ION</t>
  </si>
  <si>
    <t xml:space="preserve">Naulochon/Smyrna/Palaia Smyrna (Pleiades 550771)</t>
  </si>
  <si>
    <t xml:space="preserve">duplicate of Smyrna (Old Smyrna at Bayraklı); one entry for the city</t>
  </si>
  <si>
    <t xml:space="preserve">Chyton/Chytrion</t>
  </si>
  <si>
    <t xml:space="preserve">original mainland site of Klazomenai (Strabo 14.1.36); duplicate of Klazomenai</t>
  </si>
  <si>
    <t xml:space="preserve">Larisa (Kaystros plain, Pleiades 550684)</t>
  </si>
  <si>
    <t xml:space="preserve">village in Ephesian territory in Strabo (13.3.2; 9.5.19), who says only that it was formerly a city; no civic evidence</t>
  </si>
  <si>
    <t xml:space="preserve">Embaton</t>
  </si>
  <si>
    <t xml:space="preserve">anchorage/coastal place in the territory of Erythrai (Thuc. 3.29), not a city</t>
  </si>
  <si>
    <t xml:space="preserve">Hypokremnos</t>
  </si>
  <si>
    <t xml:space="preserve">coastal locality between Erythrai and Klazomenai (Strabo 14.1.33), not a city</t>
  </si>
  <si>
    <t xml:space="preserve">Melampagos</t>
  </si>
  <si>
    <t xml:space="preserve">locality named in the Vita Homeri, not a city</t>
  </si>
  <si>
    <t xml:space="preserve">Kyllene?/Ascanius Portus?</t>
  </si>
  <si>
    <t xml:space="preserve">harbour, not a city</t>
  </si>
  <si>
    <t xml:space="preserve">Achaion Limen</t>
  </si>
  <si>
    <t xml:space="preserve">harbour with an altar of the Twelve Gods (Strabo 13.3.5), not a city</t>
  </si>
  <si>
    <t xml:space="preserve">Atarneus sub Pitanem</t>
  </si>
  <si>
    <t xml:space="preserve">Pliny's doublet/village near Pitane, not a separate city (see Atarneus)</t>
  </si>
  <si>
    <t xml:space="preserve">Asklepieion (Pergamon)</t>
  </si>
  <si>
    <t xml:space="preserve">sanctuary of Pergamon</t>
  </si>
  <si>
    <t xml:space="preserve">Astyra? (Pleiades 550466, near Dikili)</t>
  </si>
  <si>
    <t xml:space="preserve">tentatively named Hellenistic site; the coin-issuing polis Astyra lies near Adramyttion (Balıkesir, TRO batch); no civic evidence here</t>
  </si>
  <si>
    <t xml:space="preserve">Parthenion</t>
  </si>
  <si>
    <t xml:space="preserve">fortified place/estate on Xenophon's route (Anab. 7.8.15–21), no civic evidence found (IACP status not verified)</t>
  </si>
  <si>
    <t xml:space="preserve">Trarion</t>
  </si>
  <si>
    <t xml:space="preserve">locality mentioned by Strabo near Perperene; no civic evidence</t>
  </si>
  <si>
    <t xml:space="preserve">site near Gömeç/Burhaniye in Balıkesir, outside İzmir (TRO batch)</t>
  </si>
  <si>
    <t xml:space="preserve">Myonnesos</t>
  </si>
  <si>
    <t xml:space="preserve">polichnion/stronghold of Teos (Strabo 14.1.29; battle of 190 BC); no evidence of civic status</t>
  </si>
  <si>
    <t xml:space="preserve">Polichne (near Klazomenai)</t>
  </si>
  <si>
    <t xml:space="preserve">fort of the Klazomenians (Thuc. 8.14, 8.23), not a city</t>
  </si>
  <si>
    <t xml:space="preserve">Klaros</t>
  </si>
  <si>
    <t xml:space="preserve">oracle sanctuary of Kolophon, not a city</t>
  </si>
  <si>
    <t xml:space="preserve">Panaztepe</t>
  </si>
  <si>
    <t xml:space="preserve">Late Bronze Age Anatolian harbour site (Menemen) with Mycenaean-type tombs and pottery; no Greek city followed</t>
  </si>
  <si>
    <t xml:space="preserve">Bademgediği Tepe</t>
  </si>
  <si>
    <t xml:space="preserve">LBA hilltop beside Metropolis (possible Puranda); treated under Metropolis</t>
  </si>
  <si>
    <t xml:space="preserve">Liman Tepe</t>
  </si>
  <si>
    <t xml:space="preserve">prehistoric mound within Klazomenai; treated under Klazomenai</t>
  </si>
  <si>
    <t xml:space="preserve">Allianoi</t>
  </si>
  <si>
    <t xml:space="preserve">Roman spa settlement in Pergamon's territory, not a city</t>
  </si>
  <si>
    <t xml:space="preserve">Gerraidai</t>
  </si>
  <si>
    <t xml:space="preserve">harbour/deme of Teos</t>
  </si>
  <si>
    <t xml:space="preserve">Pygela, Marathesion, Anaia</t>
  </si>
  <si>
    <t xml:space="preserve">poleis in Aydın province (Kuşadası), outside İzmir (CAR batch)</t>
  </si>
  <si>
    <t xml:space="preserve">Attea</t>
  </si>
  <si>
    <t xml:space="preserve">site at Ayazmend/Altınova in Balıkesir, outside İzmir (TRO batch)</t>
  </si>
  <si>
    <t xml:space="preserve">Letoon</t>
  </si>
  <si>
    <t xml:space="preserve">sanctuary of Leto (federal sanctuary of the Lycian League) in the territory of Xanthos, not a city</t>
  </si>
  <si>
    <t xml:space="preserve">LYC</t>
  </si>
  <si>
    <t xml:space="preserve">Soura</t>
  </si>
  <si>
    <t xml:space="preserve">oracle sanctuary/village of Myra (Lycian Surezi), not a separate city</t>
  </si>
  <si>
    <t xml:space="preserve">Andriake</t>
  </si>
  <si>
    <t xml:space="preserve">harbour of Myra, not a separate city</t>
  </si>
  <si>
    <t xml:space="preserve">Trysa</t>
  </si>
  <si>
    <t xml:space="preserve">Classical dynastic seat (heroon); later a dependent community of Kyaneai, not a city</t>
  </si>
  <si>
    <t xml:space="preserve">Tyberissos</t>
  </si>
  <si>
    <t xml:space="preserve">small dependent community in the territory of Myra/Kyaneai; no evidence of separate city status</t>
  </si>
  <si>
    <t xml:space="preserve">Istlada</t>
  </si>
  <si>
    <t xml:space="preserve">dependent settlement in the territory of Kyaneai (Hellenistic inscriptions), not a city</t>
  </si>
  <si>
    <t xml:space="preserve">Teimioussa/Tristomon</t>
  </si>
  <si>
    <t xml:space="preserve">harbour village (Üçağız) dependent on Kyaneai/Myra, not a city</t>
  </si>
  <si>
    <t xml:space="preserve">Trebendai</t>
  </si>
  <si>
    <t xml:space="preserve">small community in Myra's territory; no evidence of separate city status (nomisma link probably confused with Trebenna)</t>
  </si>
  <si>
    <t xml:space="preserve">Tragalassos</t>
  </si>
  <si>
    <t xml:space="preserve">late antique village/estate near Myra, not a city</t>
  </si>
  <si>
    <t xml:space="preserve">Kalaba(n)tia</t>
  </si>
  <si>
    <t xml:space="preserve">village near Sidyma, not a city</t>
  </si>
  <si>
    <t xml:space="preserve">Korykos (Lycia)</t>
  </si>
  <si>
    <t xml:space="preserve">small coastal place near Olympos, not a city</t>
  </si>
  <si>
    <t xml:space="preserve">*Korma (Kormoi)</t>
  </si>
  <si>
    <t xml:space="preserve">village member of the sympoliteia of Akalissos and Idebessos, not a separate city</t>
  </si>
  <si>
    <t xml:space="preserve">Karmylessos? (Kayaköy/Levissi)</t>
  </si>
  <si>
    <t xml:space="preserve">'small place' (Strabo 14.3.5) with Lycian tombs; no civic documents; site identification uncertain. Byzantine Lebissos (Levissi) appears only joined with Makri (1316)</t>
  </si>
  <si>
    <t xml:space="preserve">*Marmara?</t>
  </si>
  <si>
    <t xml:space="preserve">Marmareis fortress community besieged by Alexander; identification of the site near Kemer uncertain, city status unattested</t>
  </si>
  <si>
    <t xml:space="preserve">Hacımusalar Höyük</t>
  </si>
  <si>
    <t xml:space="preserve">duplicate of Choma</t>
  </si>
  <si>
    <t xml:space="preserve">Arykanda (Pleiades 638769)</t>
  </si>
  <si>
    <t xml:space="preserve">duplicate Pleiades record for Arykanda (kept 638770)</t>
  </si>
  <si>
    <t xml:space="preserve">Daidala</t>
  </si>
  <si>
    <t xml:space="preserve">not in seed, checked: Rhodian-held 'parvum castellum' (Livy 37.22) on the Lycian border, not a city</t>
  </si>
  <si>
    <t xml:space="preserve">Tymnessos</t>
  </si>
  <si>
    <t xml:space="preserve">not in seed, checked: Carian town (Steph. Byz.), unlocated; Lycian Tuminehi; no civic evidence placing it in this batch</t>
  </si>
  <si>
    <t xml:space="preserve">Dias (Lycia)</t>
  </si>
  <si>
    <t xml:space="preserve">not in seed, checked: known only from Steph. Byz. and an uncertain coin; unlocated</t>
  </si>
  <si>
    <t xml:space="preserve">Zenopolis (Lycia)</t>
  </si>
  <si>
    <t xml:space="preserve">not in seed, checked: titular 'Zenopolis in Lycia' is probably the Pamphylian/Isaurian Zenopolis (bishops 553, 787 signed as Pamphylian)</t>
  </si>
  <si>
    <t xml:space="preserve">council see, unnamed (36.55, 29.9; Nicaea 787; region only)</t>
  </si>
  <si>
    <t xml:space="preserve">council see, unnamed (36.55, 29.75; Chalcedon 451; region only)</t>
  </si>
  <si>
    <t xml:space="preserve">Kadrema</t>
  </si>
  <si>
    <t xml:space="preserve">not in seed, checked: Lycian town said to be a colony of Olbia (Steph. Byz.; Strabo 14.4.1 on Olbia), unlocated; not added</t>
  </si>
  <si>
    <t xml:space="preserve">Melanippe/Melanippion</t>
  </si>
  <si>
    <t xml:space="preserve">not in seed, checked: small coastal town/port south of Gagai (Hecataeus), no civic status attested</t>
  </si>
  <si>
    <t xml:space="preserve">Gergitha? (Pleiades 550548, near Soma)</t>
  </si>
  <si>
    <t xml:space="preserve">village (kome) of resettled Gergithes near the Kaikos sources (Strabo 13.1.70), not a city</t>
  </si>
  <si>
    <t xml:space="preserve">LYD</t>
  </si>
  <si>
    <t xml:space="preserve">Pepouza (Pleiades 614797, Karayakuplu, Uşak)</t>
  </si>
  <si>
    <t xml:space="preserve">village; the Montanist 'New Jerusalem', never a polis or Orthodox see</t>
  </si>
  <si>
    <t xml:space="preserve">Eibeos (Pleiades 609370, Payamalanı, Sivaslı)</t>
  </si>
  <si>
    <t xml:space="preserve">village in the territory of Sebaste (MAMA XI)</t>
  </si>
  <si>
    <t xml:space="preserve">*Iaza (Pleiades 609412, Kula)</t>
  </si>
  <si>
    <t xml:space="preserve">village (katoikia) of the Katakekaumene, not a city</t>
  </si>
  <si>
    <t xml:space="preserve">Dareioukome (Pleiades 550511)</t>
  </si>
  <si>
    <t xml:space="preserve">village (kome) in the Hermos plain</t>
  </si>
  <si>
    <t xml:space="preserve">Myloukome (Pleiades 550754)</t>
  </si>
  <si>
    <t xml:space="preserve">village (kome) near Philadelphia</t>
  </si>
  <si>
    <t xml:space="preserve">Unnamed council see, 38.6N 28.3E (Lydia; Nicaea 325) near Adala</t>
  </si>
  <si>
    <t xml:space="preserve">Unnamed council see, 38.4N 27.6E (Asia; Ephesus 431) near Turgutlu</t>
  </si>
  <si>
    <t xml:space="preserve">Unnamed council see, 38.45N 27.65E (Asia; 451, 553, 787) near Turgutlu</t>
  </si>
  <si>
    <t xml:space="preserve">Unnamed council see, 38.35N 29.3E (Phrygia Pacatiana; Chalcedon 451) near Ulubey</t>
  </si>
  <si>
    <t xml:space="preserve">Unnamed council see, 38.4N 29.3E (Phrygia Pacatiana; 553, 680–81, 787) near Ulubey</t>
  </si>
  <si>
    <t xml:space="preserve">Kollyda / Goloida (Pleiades 609441, Gölde, Kula)</t>
  </si>
  <si>
    <t xml:space="preserve">village (katoikia) of the Katakekaumene; no coins and no Hierocles entry</t>
  </si>
  <si>
    <t xml:space="preserve">Dioskome (Pleiades 609364, near Kırka, Uşak)</t>
  </si>
  <si>
    <t xml:space="preserve">Helenopolis (Lydia)</t>
  </si>
  <si>
    <t xml:space="preserve">doubtful see, probably a ghost (Ramsay: invented by Le Quien); unlocated</t>
  </si>
  <si>
    <t xml:space="preserve">Apollonia (Pleiades 550442, region label 39.25N 27.75E)</t>
  </si>
  <si>
    <t xml:space="preserve">Classical/Hellenistic place known only as a regional label; polis status not shown</t>
  </si>
  <si>
    <t xml:space="preserve">Hierolophos (Pleiades 550868, Sarıçam)</t>
  </si>
  <si>
    <t xml:space="preserve">fort or village, not a city</t>
  </si>
  <si>
    <t xml:space="preserve">Mysomakedones</t>
  </si>
  <si>
    <t xml:space="preserve">Hellenistic Macedonian–Mysian community (demos, 1st-c. coins) but unlocated; Pliny puts it in the conventus of Ephesus, so probably İzmir or Aydın, not Manisa</t>
  </si>
  <si>
    <t xml:space="preserve">Kibyra Mikra (Cibyra Minor)</t>
  </si>
  <si>
    <t xml:space="preserve">not a city on the evidence: only Strabo's 'coast of the Little Kibyratai' and Ptolemy; no coins, no see; site near Okurcalar (Alanya) uncertain</t>
  </si>
  <si>
    <t xml:space="preserve">PAM</t>
  </si>
  <si>
    <t xml:space="preserve">[Praetoria] (Burdur)</t>
  </si>
  <si>
    <t xml:space="preserve">not a city: late-antique place-name (Pleiades brackets it) at modern Burdur, with no civic status or see</t>
  </si>
  <si>
    <t xml:space="preserve">*Perminounda</t>
  </si>
  <si>
    <t xml:space="preserve">village (Roman-period rural community known from inscriptions), not a city</t>
  </si>
  <si>
    <t xml:space="preserve">Unnamed council rows ('region only': 36.85/31.75; 36.95/31.6; 37.0/31.0; 37.0/31.2; 37.05/31.05; 37.1/30.6; 37.25/30.65; 37.9/31.3; 37.9/31.0; 38.0/30.95)</t>
  </si>
  <si>
    <t xml:space="preserve">Isinda (Lycian, Belenli/Kaş)</t>
  </si>
  <si>
    <t xml:space="preserve">different city from Pisidian Isinda; outside this batch (LYC)</t>
  </si>
  <si>
    <t xml:space="preserve">Hadrianopolis/Hadriani (Pleiades 638852, near Burdur)</t>
  </si>
  <si>
    <t xml:space="preserve">not included: Roman-period name of uncertain status (Hall 1986); no evidence that it was a polis or see. Not Hadrianopolis in Pisidia (GAL batch)</t>
  </si>
  <si>
    <t xml:space="preserve">Sibidounda (Pleiades 639104)</t>
  </si>
  <si>
    <t xml:space="preserve">not included: Roman/late-antique community near Pogla; I could not confirm city status (coins, Hierocles or a see)</t>
  </si>
  <si>
    <t xml:space="preserve">[Agrai] (Pleiades 638735)</t>
  </si>
  <si>
    <t xml:space="preserve">not included: late-antique name of uncertain status (Robert 1977, TIB 7)</t>
  </si>
  <si>
    <t xml:space="preserve">Beudos (Palaion)</t>
  </si>
  <si>
    <t xml:space="preserve">village ('Beudos vetus', Livy 38.15) on the road near Synnada; no civic status attested</t>
  </si>
  <si>
    <t xml:space="preserve">PHR</t>
  </si>
  <si>
    <t xml:space="preserve">Soa (*Soa, Altıntaş)</t>
  </si>
  <si>
    <t xml:space="preserve">village/rural community of the Altıntaş plain known from inscriptions; no evidence of civic status or see found</t>
  </si>
  <si>
    <t xml:space="preserve">Yazılıkaya / Midas City</t>
  </si>
  <si>
    <t xml:space="preserve">Phrygian (non-Greek) fortress and cult site, 8th–4th c. BC; at most a village in Hellenistic-Roman times (nearby Metropolis at Oyneş is listed separately)</t>
  </si>
  <si>
    <t xml:space="preserve">Akören (Eskişehir)</t>
  </si>
  <si>
    <t xml:space="preserve">unnamed archaeological site/village, not a city</t>
  </si>
  <si>
    <t xml:space="preserve">Unnamed council row (38.2, 29.4; Phrygia Pacatiana; Ephesus 431)</t>
  </si>
  <si>
    <t xml:space="preserve">Unnamed council rows (39.05, 30.6 and 39.05, 30.55; Phrygia Salutaris)</t>
  </si>
  <si>
    <t xml:space="preserve">Unnamed council row (39.25, 31.55; Galatia II; Chalcedon 451)</t>
  </si>
  <si>
    <t xml:space="preserve">Kelainai</t>
  </si>
  <si>
    <t xml:space="preserve">duplicate of Apamea Cibotus (Phrygian/Achaemenid predecessor, recorded in other_names)</t>
  </si>
  <si>
    <t xml:space="preserve">Diospolis / Rhoas</t>
  </si>
  <si>
    <t xml:space="preserve">duplicate: earlier names of Laodicea on the Lycus (Pliny)</t>
  </si>
  <si>
    <t xml:space="preserve">Pulcherianopolis</t>
  </si>
  <si>
    <t xml:space="preserve">duplicate of Motella (Hierocles' name for it, per Ramsay)</t>
  </si>
  <si>
    <t xml:space="preserve">Iulia / Julia (Iulienses)</t>
  </si>
  <si>
    <t xml:space="preserve">merged with Ipsus (Ramsay's identification); BAtlas keeps it separate and unlocated near Polybotos</t>
  </si>
  <si>
    <t xml:space="preserve">Ancyra Sidera</t>
  </si>
  <si>
    <t xml:space="preserve">duplicate of Ancyra (Phrygia) at Boğazköy, Simav</t>
  </si>
  <si>
    <t xml:space="preserve">village (kome) with hot springs on the Caria-Phrygia border (Strabo 12.8.17); not a city</t>
  </si>
  <si>
    <t xml:space="preserve">Kleros Politike</t>
  </si>
  <si>
    <t xml:space="preserve">land allotment/estate district, not a city</t>
  </si>
  <si>
    <t xml:space="preserve">Moxeanoi</t>
  </si>
  <si>
    <t xml:space="preserve">ethnic/district name (people of the Moxeane), not a city</t>
  </si>
  <si>
    <t xml:space="preserve">Thiounta</t>
  </si>
  <si>
    <t xml:space="preserve">village community in the Lykos-Maeander area; no civic status</t>
  </si>
  <si>
    <t xml:space="preserve">Spaleia (Sivrihisar)</t>
  </si>
  <si>
    <t xml:space="preserve">Byzantine fortress/settlement; not attested as polis or see</t>
  </si>
  <si>
    <t xml:space="preserve">Lamounia, Mokolda, Kilaraza, Trikomia, Aragokome and other komai</t>
  </si>
  <si>
    <t xml:space="preserve">villages (komai) or estates, not cities</t>
  </si>
  <si>
    <t xml:space="preserve">Philomelion</t>
  </si>
  <si>
    <t xml:space="preserve">outside batch provinces: Akşehir, Konya (GAL/Lycaonia batch)</t>
  </si>
  <si>
    <t xml:space="preserve">Apollonia / Sozopolis</t>
  </si>
  <si>
    <t xml:space="preserve">outside batch provinces: Uluborlu, Isparta</t>
  </si>
  <si>
    <t xml:space="preserve">Keretapa / Diokaisareia, Lysinoe, Kibyra, Lagbe, Olbasa</t>
  </si>
  <si>
    <t xml:space="preserve">outside batch provinces: Burdur</t>
  </si>
  <si>
    <t xml:space="preserve">Gordion, Juliopolis (Gordioukome)</t>
  </si>
  <si>
    <t xml:space="preserve">outside batch provinces: Ankara</t>
  </si>
  <si>
    <t xml:space="preserve">Stephane (İstefan, Ayancık, Sinop)</t>
  </si>
  <si>
    <t xml:space="preserve">harbour (Ps.-Scylax 90 'Stephane harbour'; Strabo, Arrian), not called a city</t>
  </si>
  <si>
    <t xml:space="preserve">PON</t>
  </si>
  <si>
    <t xml:space="preserve">Aigialos (Cide, Kastamonu)</t>
  </si>
  <si>
    <t xml:space="preserve">Homeric Paphlagonian place; in Strabo 12.3.10 a long beach with a village (kome) of the same name; not a polis</t>
  </si>
  <si>
    <t xml:space="preserve">Eryth(r)inoi (near Amasra)</t>
  </si>
  <si>
    <t xml:space="preserve">Homeric headland/locality; not a city</t>
  </si>
  <si>
    <t xml:space="preserve">Klimax (Cide)</t>
  </si>
  <si>
    <t xml:space="preserve">anchorage/road station; not a city</t>
  </si>
  <si>
    <t xml:space="preserve">Timolaion (Doğanyurt)</t>
  </si>
  <si>
    <t xml:space="preserve">fort/station (Arrian); not a city</t>
  </si>
  <si>
    <t xml:space="preserve">Zephyrion (Doğanyurt, Kastamonu)</t>
  </si>
  <si>
    <t xml:space="preserve">An anchorage and station, not a city. (eastern review, Oct 2026)</t>
  </si>
  <si>
    <t xml:space="preserve">Antikinolis (Çatalzeytin)</t>
  </si>
  <si>
    <t xml:space="preserve">anchorage/village; not a city</t>
  </si>
  <si>
    <t xml:space="preserve">Garios, Aiginetes, Potamoi, Marsylla/Kallistratia?, Thymena/Teuthrania? (Kastamonu coast)</t>
  </si>
  <si>
    <t xml:space="preserve">coastal villages/anchorages in the periploi; not cities</t>
  </si>
  <si>
    <t xml:space="preserve">Psylla, Krenides, Sandarake, Oxinas, Metroon/Aulia (Zonguldak coast)</t>
  </si>
  <si>
    <t xml:space="preserve">Herakleot coastal places, villages or stations; not cities</t>
  </si>
  <si>
    <t xml:space="preserve">Kastamon/Kastamonu (Pleiades 844974)</t>
  </si>
  <si>
    <t xml:space="preserve">Byzantine fortress (kastron), the ancestral seat of the Komnenoi; not attested as a polis or see before 1461 (a city only under the Turkish emirates). The proposed link with Hittite Kaštama is unproven.</t>
  </si>
  <si>
    <t xml:space="preserve">Bonita, Ziporea, Horma, Aday, Kurtoğlu, Akçasu, Gökçeağaç, Domanitis, Kalekapı (inland Kastamonu)</t>
  </si>
  <si>
    <t xml:space="preserve">villages, rural sites, districts or rock tombs; not cities</t>
  </si>
  <si>
    <t xml:space="preserve">Endeira, Karza, Kimista, Zeita, Çavuşlar, İlbarut, Karakoyunlu (Karabük/Çankırı)</t>
  </si>
  <si>
    <t xml:space="preserve">villages/rural sites; not cities</t>
  </si>
  <si>
    <t xml:space="preserve">Antoniopolis (near Çerkeş, Çankırı)</t>
  </si>
  <si>
    <t xml:space="preserve">minor Roman/late antique place (Barrington 86 C3); no evidence of civic status or a see found. Recheck TIB 9 if wanted.</t>
  </si>
  <si>
    <t xml:space="preserve">Kimiata, Kandara? (Çankırı)</t>
  </si>
  <si>
    <t xml:space="preserve">Hellenistic royal fortresses; not cities</t>
  </si>
  <si>
    <t xml:space="preserve">Hattusa (Boğazkale, Çorum)</t>
  </si>
  <si>
    <t xml:space="preserve">Hittite capital; later a Phrygian town and a Roman/Byzantine village; never a Greek city</t>
  </si>
  <si>
    <t xml:space="preserve">Carissa/Garsi, Tekke, Hamamözü, Diakopa (Çorum)</t>
  </si>
  <si>
    <t xml:space="preserve">villages or stations; not cities</t>
  </si>
  <si>
    <t xml:space="preserve">Kyptasia, Zagora, Gadilon/Helega (Bafra), Sagylion, Kizari, Eğrikale (Sinop/Samsun)</t>
  </si>
  <si>
    <t xml:space="preserve">stations, forts or villages; Gadilon was a district/village; not cities</t>
  </si>
  <si>
    <t xml:space="preserve">Thermai Phazemoniton (Havza, Samsun)</t>
  </si>
  <si>
    <t xml:space="preserve">spa in the territory of Neapolis/Neoklaudiopolis; not a city</t>
  </si>
  <si>
    <t xml:space="preserve">Eupatoria (by Amisos)</t>
  </si>
  <si>
    <t xml:space="preserve">Mithridates VI's foundation beside Amisos, merged with it; treated under Amisos</t>
  </si>
  <si>
    <t xml:space="preserve">Ameletos/Camila, Phabda/Phadisane (Fatsa), Boon (Perşembe), Iasonion (Cape Yasun), Genetes</t>
  </si>
  <si>
    <t xml:space="preserve">A road station or anchorage, not a city. (eastern review, Oct 2026)</t>
  </si>
  <si>
    <t xml:space="preserve">Ischopolis (Bulancak?, Giresun)</t>
  </si>
  <si>
    <t xml:space="preserve">Known only as a ruined place in Strabo; no positive evidence of a Greek polis. An 'uncertain' entry is possible only if the editor wants every '-polis' name. (eastern review, Oct 2026)</t>
  </si>
  <si>
    <t xml:space="preserve">Zephyrion (Espiye, Giresun)</t>
  </si>
  <si>
    <t xml:space="preserve">Kordyle, Hieron Oros, Libiopolis (Trabzon)</t>
  </si>
  <si>
    <t xml:space="preserve">anchorages and stations; not cities</t>
  </si>
  <si>
    <t xml:space="preserve">Hermonassa (Akçaabat, Trabzon)</t>
  </si>
  <si>
    <t xml:space="preserve">Strabo's 'moderate settlement' falls short of a polis, and the medieval Platana had no see. It is borderline, since Strabo pairs it with Kerasous, but C535 Kerasous rests on Xenophon's 'Greek city'. (eastern review, Oct 2026)</t>
  </si>
  <si>
    <t xml:space="preserve">Hyssou Limen/Sourmaina (Sürmene) and Ophis (Of), Trabzon</t>
  </si>
  <si>
    <t xml:space="preserve">A harbour fort, then a district and castle; not attested as a city or see. (eastern review, Oct 2026)</t>
  </si>
  <si>
    <t xml:space="preserve">Kaine Parembole (Trabzon)</t>
  </si>
  <si>
    <t xml:space="preserve">administrative: A camp or station, not a city. (eastern review, Oct 2026)</t>
  </si>
  <si>
    <t xml:space="preserve">Athenai (Pazar, Rize)</t>
  </si>
  <si>
    <t xml:space="preserve">administrative: A village and fort in Laz country. (eastern review, Oct 2026)</t>
  </si>
  <si>
    <t xml:space="preserve">Arkabis/Archabis (Arhavi), Kissa, Morthoula (Artvin)</t>
  </si>
  <si>
    <t xml:space="preserve">Roman forts/stations in Lazike; no Greek city is known in Artvin province</t>
  </si>
  <si>
    <t xml:space="preserve">Pityous</t>
  </si>
  <si>
    <t xml:space="preserve">Apsaros</t>
  </si>
  <si>
    <t xml:space="preserve">Chrysa (Pleiades 550500)</t>
  </si>
  <si>
    <t xml:space="preserve">Outside THR (Asian Troad, Ayvacık). A small town or village near the Smintheion in the territory of Hamaxitos/Alexandria Troas, not an independent city. Leave to TRO.</t>
  </si>
  <si>
    <t xml:space="preserve">THR</t>
  </si>
  <si>
    <t xml:space="preserve">Smintheion (Pleiades 550892)</t>
  </si>
  <si>
    <t xml:space="preserve">Sanctuary of Apollo Smintheus in the territory of Hamaxitos/Alexandria Troas, not a city; outside THR (Asian Troad).</t>
  </si>
  <si>
    <t xml:space="preserve">Hexamilion (council see, Nicaea 787)</t>
  </si>
  <si>
    <t xml:space="preserve">Duplicate of Lysimacheia: the Justinianic fortress and see on the site of Lysimacheia, merged into that entry.</t>
  </si>
  <si>
    <t xml:space="preserve">Constantinople (council) / Constantinopolis (Pleiades 520998)</t>
  </si>
  <si>
    <t xml:space="preserve">Duplicate of Byzantium (refoundation of 330), merged into that entry.</t>
  </si>
  <si>
    <t xml:space="preserve">Salmydessos (settlement, Pleiades 511404)</t>
  </si>
  <si>
    <t xml:space="preserve">Duplicate: merged into Medeia (Kıyıköy).</t>
  </si>
  <si>
    <t xml:space="preserve">Plotinopolis (council see and Pleiades 501572)</t>
  </si>
  <si>
    <t xml:space="preserve">Outside Turkey: the site is beside Didymoteicho, Greece (W bank of the Evros).</t>
  </si>
  <si>
    <t xml:space="preserve">Unnamed see, Rhodope, Nicaea 787 (seed point near Keşan, 'region only')</t>
  </si>
  <si>
    <t xml:space="preserve">Unnamed see, Europa, Nicaea 787 (seed point near Büyükkarıştıran, 'region only')</t>
  </si>
  <si>
    <t xml:space="preserve">Unnamed see, Haemimontus, Nicaea 787 (seed point near Tatarlar, 'region only')</t>
  </si>
  <si>
    <t xml:space="preserve">Chrysopolis (Pleiades 520995)</t>
  </si>
  <si>
    <t xml:space="preserve">Village and port of Chalcedon (later Skoutarion/Üsküdar). Never a polis or see; a suburb, not a city.</t>
  </si>
  <si>
    <t xml:space="preserve">Rouphinianai / Drys (Pleiades 521141)</t>
  </si>
  <si>
    <t xml:space="preserve">Suburban estate, palace and monastery on the Asian shore, not a city.</t>
  </si>
  <si>
    <t xml:space="preserve">Archeion, Kikonion, Parabolos, Kalamos, Bythias, Anaplous/Promotou, Chelai/Philemporos, Potamonion, Pyrrhias Cyon, Phidalia Petra, Boradion, Kyparodes, Neapolis/Comarodes, Pitheci Portus, Pharmakia/Therapeia, Kalos Agros, Argyronion, Chalcaea, Phosphorus, Myrileion</t>
  </si>
  <si>
    <t xml:space="preserve">Bosporus landmarks, harbours, villages and suburbs (mostly from Dionysius of Byzantium), not cities.</t>
  </si>
  <si>
    <t xml:space="preserve">Artanes (Pleiades 511161)</t>
  </si>
  <si>
    <t xml:space="preserve">River mouth and village near Şile on the Bithynian Black Sea coast, not a city.</t>
  </si>
  <si>
    <t xml:space="preserve">Thynias (Pleiades 511443)</t>
  </si>
  <si>
    <t xml:space="preserve">Cape and coastal district near İğneada (a possession of Apollonia, Strabo 7.6.1), not a city.</t>
  </si>
  <si>
    <t xml:space="preserve">Daskyleion (Ergili / Hisartepe, Bandırma; council see 'Dascylium')</t>
  </si>
  <si>
    <t xml:space="preserve">Not a Greek city: Achaemenid satrapal capital of Hellespontine Phrygia (Phrygian/Lydian/Persian, Bronze Age occupation), never attested as a polis. The Byzantine see Daskylion (bishops 680, 692, 787) was a suffragan of Nicomedia (mid-7th c. Notitia), so it is more likely the coastal Daskyleion on the Propontis (IACP polis; Eşkel Limanı area, Bursa) -&gt; BIT batch.</t>
  </si>
  <si>
    <t xml:space="preserve">TRO</t>
  </si>
  <si>
    <t xml:space="preserve">Astyra (above Abydos; Pleiades 501364)</t>
  </si>
  <si>
    <t xml:space="preserve">Gold-mining place in the Abydene. Strabo 13.1.23 says it was once an independent city, but no coins, tribute or decrees can be securely assigned to it; the coin-issuing Astyra is the one in the Adramyttene (included).</t>
  </si>
  <si>
    <t xml:space="preserve">Astyra?/Andeira? (Pleiades 550467, near Havran)</t>
  </si>
  <si>
    <t xml:space="preserve">Duplicate/alternative: Barrington's second possible site for Astyra or the village of Andeira (sanctuary of the Mother of Andeira). Astyra is included once at 550468.</t>
  </si>
  <si>
    <t xml:space="preserve">Palaia Gargara</t>
  </si>
  <si>
    <t xml:space="preserve">Duplicate of Gargara (its earlier upland site).</t>
  </si>
  <si>
    <t xml:space="preserve">Kolonai (Lampsakene; Pleiades 501474, near Beyçayırı)</t>
  </si>
  <si>
    <t xml:space="preserve">Called a Milesian colony by Strabo (13.1.19), but no independent evidence of polis status found; the tribute-paying Kolonai is usually the Troad one (included). Possible addition if IACP lists it.</t>
  </si>
  <si>
    <t xml:space="preserve">Thebe (Hypoplakie)</t>
  </si>
  <si>
    <t xml:space="preserve">Homeric town; the 'plain of Thebe' in historical times; no evidence of a classical polis.</t>
  </si>
  <si>
    <t xml:space="preserve">Lyrnessos</t>
  </si>
  <si>
    <t xml:space="preserve">Homeric town; no evidence of a historical polis.</t>
  </si>
  <si>
    <t xml:space="preserve">Aspaneus</t>
  </si>
  <si>
    <t xml:space="preserve">Timber depot on Mount Ida (Strabo 13.1.51); not a city.</t>
  </si>
  <si>
    <t xml:space="preserve">Tragasai</t>
  </si>
  <si>
    <t xml:space="preserve">Salt-works near Hamaxitos; not a city.</t>
  </si>
  <si>
    <t xml:space="preserve">Polymedion / Palamedium</t>
  </si>
  <si>
    <t xml:space="preserve">A chorion (place) per Strabo 13.1.51; Pliny's 'Palamedium' is a bare name; no civic evidence.</t>
  </si>
  <si>
    <t xml:space="preserve">Koryphas</t>
  </si>
  <si>
    <t xml:space="preserve">Small Mytilenaean peraia settlement (Pliny's oppidum); no evidence of civic status.</t>
  </si>
  <si>
    <t xml:space="preserve">Herakleia / Elateia? (Ayvalık)</t>
  </si>
  <si>
    <t xml:space="preserve">Minor coastal place and road station (Itale/Idale); no evidence of civic status.</t>
  </si>
  <si>
    <t xml:space="preserve">Kale Peuke</t>
  </si>
  <si>
    <t xml:space="preserve">Landmark/locality on Ida (a famous pine, Strabo 13.1.44); not a city.</t>
  </si>
  <si>
    <t xml:space="preserve">Argyria?</t>
  </si>
  <si>
    <t xml:space="preserve">Mining locality (silver mines); not a city.</t>
  </si>
  <si>
    <t xml:space="preserve">Pericharaxis</t>
  </si>
  <si>
    <t xml:space="preserve">Rural community near Balya known only from inscriptions; no evidence of civic status or a see.</t>
  </si>
  <si>
    <t xml:space="preserve">Marpessos</t>
  </si>
  <si>
    <t xml:space="preserve">Village of the Gergithians, home of the Sibyl; not a polis.</t>
  </si>
  <si>
    <t xml:space="preserve">Kenchreai (Troad)</t>
  </si>
  <si>
    <t xml:space="preserve">Roman-period hilltop site known only from Stephanus; no civic evidence.</t>
  </si>
  <si>
    <t xml:space="preserve">Kremaste</t>
  </si>
  <si>
    <t xml:space="preserve">Gold-mining locality near Abydos; not a city.</t>
  </si>
  <si>
    <t xml:space="preserve">Achaiion</t>
  </si>
  <si>
    <t xml:space="preserve">Settlement in the Tenedian peraia; dependent on Tenedos, no independent polis status.</t>
  </si>
  <si>
    <t xml:space="preserve">Ilieon Kome</t>
  </si>
  <si>
    <t xml:space="preserve">Village ('village of the Ilians').</t>
  </si>
  <si>
    <t xml:space="preserve">Aianteion</t>
  </si>
  <si>
    <t xml:space="preserve">Tomb/sanctuary of Ajax in the territory of Rhoiteion/Ilion; Pliny's Rhodian 'Aeantion' is otherwise unattested as a polis.</t>
  </si>
  <si>
    <t xml:space="preserve">Abarnis</t>
  </si>
  <si>
    <t xml:space="preserve">Promontory/locality in the territory of Lampsakos; not a city.</t>
  </si>
  <si>
    <t xml:space="preserve">On the European side (Gallipoli peninsula); belongs to the Thrace/Gallipoli batch.</t>
  </si>
  <si>
    <t xml:space="preserve">Kallipolis (Gelibolu)</t>
  </si>
  <si>
    <t xml:space="preserve">On the European side (Gallipoli); other batch.</t>
  </si>
  <si>
    <t xml:space="preserve">Aphrodisias in Thrace (council see)</t>
  </si>
  <si>
    <t xml:space="preserve">Aigospotamos</t>
  </si>
  <si>
    <t xml:space="preserve">On the Thracian Chersonese (European side); the Pleiades point on the Asian shore is only approximate. Other batch.</t>
  </si>
  <si>
    <t xml:space="preserve">Unnamed council see (Hellespont, Nicaea 787, 'region only', near Gönen)</t>
  </si>
  <si>
    <t xml:space="preserve">Tigranocerta</t>
  </si>
  <si>
    <t xml:space="preserve">Armenian royal capital with deported Greeks who were sent home in 69 BC; not a Greek city; site disputed</t>
  </si>
  <si>
    <t xml:space="preserve">editor</t>
  </si>
  <si>
    <t xml:space="preserve">Thyessus</t>
  </si>
  <si>
    <t xml:space="preserve">probably the earlier name of Hermocapelia (same Barrington point); coin attribution tentative</t>
  </si>
  <si>
    <t xml:space="preserve">Plakia</t>
  </si>
  <si>
    <t xml:space="preserve">removed in fact-check</t>
  </si>
  <si>
    <t xml:space="preserve">Skylake</t>
  </si>
  <si>
    <t xml:space="preserve">Pegai</t>
  </si>
  <si>
    <t xml:space="preserve">Telandrus</t>
  </si>
  <si>
    <t xml:space="preserve">Limnia (Samsun)</t>
  </si>
  <si>
    <t xml:space="preserve">A castle and lordship, not attested as a polis or see; the exclusion stands. (eastern review, Oct 2026)</t>
  </si>
  <si>
    <t xml:space="preserve">EAST2</t>
  </si>
  <si>
    <t xml:space="preserve">Chadisia (Samsun)</t>
  </si>
  <si>
    <t xml:space="preserve">non-greek: A native Leukosyrian town known only from Hecataeus; no evidence that it became Greek. (eastern review, Oct 2026)</t>
  </si>
  <si>
    <t xml:space="preserve">Phabda / Phadisane (Fatsa)</t>
  </si>
  <si>
    <t xml:space="preserve">A duplicate of Polemonium (C531), whose site Barrington puts at Fatsa. (eastern review, Oct 2026)</t>
  </si>
  <si>
    <t xml:space="preserve">Iasonion (Yason Burnu)</t>
  </si>
  <si>
    <t xml:space="preserve">A headland sanctuary and fort, not a city. (eastern review, Oct 2026)</t>
  </si>
  <si>
    <t xml:space="preserve">Genetes (Ordu)</t>
  </si>
  <si>
    <t xml:space="preserve">A harbour name, not a city. (eastern review, Oct 2026)</t>
  </si>
  <si>
    <t xml:space="preserve">Boon (Perşembe (Çaka/Vona))</t>
  </si>
  <si>
    <t xml:space="preserve">An anchorage and village, not a city. (eastern review, Oct 2026)</t>
  </si>
  <si>
    <t xml:space="preserve">Choirades (Giresun (probably))</t>
  </si>
  <si>
    <t xml:space="preserve">Ps.-Scylax's order (Zephyrion harbour, Choirades, Ares Island, west-bound) puts it at Giresun. Merge it with Pharnacia/Kerasous (C534) rather than adding a point, but move C534's greek_from from c. 183 BC to c. 340 BC: a Greek city stood on or by the site before Pharnakes' synoikism. (eastern review, Oct 2026)</t>
  </si>
  <si>
    <t xml:space="preserve">Argyria (Giresun)</t>
  </si>
  <si>
    <t xml:space="preserve">A station or mining place, not a city. (eastern review, Oct 2026)</t>
  </si>
  <si>
    <t xml:space="preserve">Libiopolis / Liviopolis (Trabzon)</t>
  </si>
  <si>
    <t xml:space="preserve">The '-polis' dynastic name is suggestive, but Pliny lists it among forts and nothing shows civic status. (eastern review, Oct 2026)</t>
  </si>
  <si>
    <t xml:space="preserve">Hieron Oros (Trabzon)</t>
  </si>
  <si>
    <t xml:space="preserve">A headland and anchorage, not a city. (eastern review, Oct 2026)</t>
  </si>
  <si>
    <t xml:space="preserve">Kordyle (Akçakale)</t>
  </si>
  <si>
    <t xml:space="preserve">A castle and monastery, not a town. (eastern review, Oct 2026)</t>
  </si>
  <si>
    <t xml:space="preserve">Ophis (Of)</t>
  </si>
  <si>
    <t xml:space="preserve">A Greek valley district with no attested town before 1461; its see is post-1461. (eastern review, Oct 2026)</t>
  </si>
  <si>
    <t xml:space="preserve">Archabis / Arkabis (Arhavi)</t>
  </si>
  <si>
    <t xml:space="preserve">non-greek: A Roman fort or station in Laz country. (eastern review, Oct 2026)</t>
  </si>
  <si>
    <t xml:space="preserve">Kissa (Artvin)</t>
  </si>
  <si>
    <t xml:space="preserve">non-greek: A station, not a city. (eastern review, Oct 2026)</t>
  </si>
  <si>
    <t xml:space="preserve">Morthoula (Artvin)</t>
  </si>
  <si>
    <t xml:space="preserve">Petra (Lazike) ((Georgia))</t>
  </si>
  <si>
    <t xml:space="preserve">Sinoria (Bayburt (Pleiades identification))</t>
  </si>
  <si>
    <t xml:space="preserve">non-greek: A Hellenistic royal fortress, not a town; no Trapezuntine place of this name found. (eastern review, Oct 2026)</t>
  </si>
  <si>
    <t xml:space="preserve">Barchon (Bayburt/Gümüşhane)</t>
  </si>
  <si>
    <t xml:space="preserve">administrative: A fort or road station, not a city. (eastern review, Oct 2026)</t>
  </si>
  <si>
    <t xml:space="preserve">Charton (Bayburt)</t>
  </si>
  <si>
    <t xml:space="preserve">Schamalinichon (Gümüşhane)</t>
  </si>
  <si>
    <t xml:space="preserve">Tzanzakon / Tzanicha (Gümüşhane)</t>
  </si>
  <si>
    <t xml:space="preserve">Longini Fossatum / Bourgousnoes (Gümüşhane)</t>
  </si>
  <si>
    <t xml:space="preserve">'Bylae' (Gümüşhane)</t>
  </si>
  <si>
    <t xml:space="preserve">Arauraka (two Pleiades points) (Gümüşhane (Şiran–Kelkit))</t>
  </si>
  <si>
    <t xml:space="preserve">Gizenenica / Chaszanenica (Trabzon (Maçka))</t>
  </si>
  <si>
    <t xml:space="preserve">Ad Vincesimum / Magnana (Trabzon (Maçka))</t>
  </si>
  <si>
    <t xml:space="preserve">Yurtlar Dere (Gümüşhane/Bayburt)</t>
  </si>
  <si>
    <t xml:space="preserve">Sauronisena / Saurania? (Ordu (Gölköy))</t>
  </si>
  <si>
    <t xml:space="preserve">Pharangion (Erzurum (İspir), outside area A)</t>
  </si>
  <si>
    <t xml:space="preserve">Kaballa (Erzurum/Bayburt border)</t>
  </si>
  <si>
    <t xml:space="preserve">non-greek: A fort or road station, not a city. (eastern review, Oct 2026)</t>
  </si>
  <si>
    <t xml:space="preserve">Bolon (Erzurum, outside area A)</t>
  </si>
  <si>
    <t xml:space="preserve">Ardanoutzin (Artanuji) (Ardanuç)</t>
  </si>
  <si>
    <t xml:space="preserve">non-greek: A Georgian town; Greek was at most administrative. (eastern review, Oct 2026)</t>
  </si>
  <si>
    <t xml:space="preserve">Ishkhani and the Tao-Klarjeti sees (İşhan, Tbeti/Şavşat, Opiza) (İşhan (Yusufeli); Şavşat)</t>
  </si>
  <si>
    <t xml:space="preserve">non-greek: Georgian sees; not Greek-speaking. (eastern review, Oct 2026)</t>
  </si>
  <si>
    <t xml:space="preserve">Lykandos (with Lapara) (Kahramanmaraş)</t>
  </si>
  <si>
    <t xml:space="preserve">administrative: A military theme-fortress settled with Armenians, with no see and no evidence of a resident Greek community. (eastern review, Oct 2026)</t>
  </si>
  <si>
    <t xml:space="preserve">Mithridatic fortresses: Kainon Chorion, Dasteira, Sinoria, Basgoidariza, Hydara, Dadasa (Tokat / Sivas / Giresun / Bayburt)</t>
  </si>
  <si>
    <t xml:space="preserve">administrative: Fortresses, not cities. Nicopolis, founded near Dasteira, is already included. (eastern review, Oct 2026)</t>
  </si>
  <si>
    <t xml:space="preserve">Taranta (Darende)</t>
  </si>
  <si>
    <t xml:space="preserve">administrative: Only a late Notitia listing; no evidence of a Greek-speaking community. (eastern review, Oct 2026)</t>
  </si>
  <si>
    <t xml:space="preserve">Sozopetra / Zapetra (Doğanşehir)</t>
  </si>
  <si>
    <t xml:space="preserve">non-greek: Frontier fortress with no civic or Greek evidence. (eastern review, Oct 2026)</t>
  </si>
  <si>
    <t xml:space="preserve">Ablastha / Elbistan (Elbistan)</t>
  </si>
  <si>
    <t xml:space="preserve">administrative: No civic status or see. (eastern review, Oct 2026)</t>
  </si>
  <si>
    <t xml:space="preserve">Abara / Amara (Sivas)</t>
  </si>
  <si>
    <t xml:space="preserve">administrative: Fortress district, not a city. (eastern review, Oct 2026)</t>
  </si>
  <si>
    <t xml:space="preserve">Larissa (Middle Byzantine tourma/theme) (Sivas)</t>
  </si>
  <si>
    <t xml:space="preserve">administrative: Frontier fortress district, not a city. (eastern review, Oct 2026)</t>
  </si>
  <si>
    <t xml:space="preserve">Argaoun / Argaous (Arguvan)</t>
  </si>
  <si>
    <t xml:space="preserve">non-greek: Fortress, not a city; no Greek evidence. (eastern review, Oct 2026)</t>
  </si>
  <si>
    <t xml:space="preserve">Arabkir (Arapgir (Eski Arabkir))</t>
  </si>
  <si>
    <t xml:space="preserve">non-greek: No civic status in Roman sources; Armenian. (eastern review, Oct 2026)</t>
  </si>
  <si>
    <t xml:space="preserve">Claudias / Klaudia (Malatya)</t>
  </si>
  <si>
    <t xml:space="preserve">non-greek: Fortress with a Syriac, not a Greek, see. (eastern review, Oct 2026)</t>
  </si>
  <si>
    <t xml:space="preserve">Symposion (Kaleköy) (Kayseri / Sivas)</t>
  </si>
  <si>
    <t xml:space="preserve">administrative: Fortress, not a city. (eastern review, Oct 2026)</t>
  </si>
  <si>
    <t xml:space="preserve">Herpa (Kayseri)</t>
  </si>
  <si>
    <t xml:space="preserve">non-greek: A small town without civic institutions (Strabo: Cappadocia outside Tyanitis and Kilikia had no cities). (eastern review, Oct 2026)</t>
  </si>
  <si>
    <t xml:space="preserve">Kamisa / Comassa (Sivas)</t>
  </si>
  <si>
    <t xml:space="preserve">administrative: Fortress. (eastern review, Oct 2026)</t>
  </si>
  <si>
    <t xml:space="preserve">Tomisa (Malatya / Elazığ)</t>
  </si>
  <si>
    <t xml:space="preserve">Dasmenda (Kayseri)</t>
  </si>
  <si>
    <t xml:space="preserve">Road stations of the Sebasteia–Melitene–Satala–Caesarea roads (grouped) (Sivas / Malatya / Kayseri / Kahramanmaraş / Erzincan / Tokat)</t>
  </si>
  <si>
    <t xml:space="preserve">administrative: Road stations or villages. (eastern review, Oct 2026)</t>
  </si>
  <si>
    <t xml:space="preserve">Sophene: unnamed see (Chalcedon 451) (Elazığ)</t>
  </si>
  <si>
    <t xml:space="preserve">non-greek: Unlocated regional Armenian see. (eastern review, Oct 2026)</t>
  </si>
  <si>
    <t xml:space="preserve">Anzitene: unnamed see (Chalcedon 451) and the district of Anzitene/Chanzit (Elazığ)</t>
  </si>
  <si>
    <t xml:space="preserve">non-greek: A region, not a city; no Greek community evidence. (eastern review, Oct 2026)</t>
  </si>
  <si>
    <t xml:space="preserve">Romanopolis (Bingöl or Elazığ)</t>
  </si>
  <si>
    <t xml:space="preserve">administrative: Military theme seat; no evidence of a Greek civic community. (eastern review, Oct 2026)</t>
  </si>
  <si>
    <t xml:space="preserve">Chozanon (Tunceli)</t>
  </si>
  <si>
    <t xml:space="preserve">administrative: Military district, not a Greek city. (eastern review, Oct 2026)</t>
  </si>
  <si>
    <t xml:space="preserve">Charpete (Harput) (Harput)</t>
  </si>
  <si>
    <t xml:space="preserve">administrative: No Greek-speaking community; Greek only in the garrison and administration. (eastern review, Oct 2026)</t>
  </si>
  <si>
    <t xml:space="preserve">Tzantzakon / Tzanicha (Gümüşhane)</t>
  </si>
  <si>
    <t xml:space="preserve">A fort or military district, not a city; the site is in Gümüşhane (area A). (eastern review, Oct 2026)</t>
  </si>
  <si>
    <t xml:space="preserve">Greater Armenia: unnamed see (Nicaea 325) (Ağrı)</t>
  </si>
  <si>
    <t xml:space="preserve">non-greek: Regional Armenian see, not a city. (eastern review, Oct 2026)</t>
  </si>
  <si>
    <t xml:space="preserve">Acilisene: council row (Constantinople 680-81) (Erzincan)</t>
  </si>
  <si>
    <t xml:space="preserve">administrative: Duplicate of Keltzene/Eriza (Erzincan). (eastern review, Oct 2026)</t>
  </si>
  <si>
    <t xml:space="preserve">Daranalis: council row (Constantinople 680-81) (Erzincan)</t>
  </si>
  <si>
    <t xml:space="preserve">non-greek: Regional Armenian see; see Kamacha. (eastern review, Oct 2026)</t>
  </si>
  <si>
    <t xml:space="preserve">Armenia I: council row (Constantinople 553) (Erzincan)</t>
  </si>
  <si>
    <t xml:space="preserve">administrative: Duplicate of Bizana/Leontopolis (or of Acilisene). (eastern review, Oct 2026)</t>
  </si>
  <si>
    <t xml:space="preserve">Artze (Arzan) (Erzurum)</t>
  </si>
  <si>
    <t xml:space="preserve">non-greek: An unwalled merchant town with an Armenian and Syrian population; not a Greek city. (eastern review, Oct 2026)</t>
  </si>
  <si>
    <t xml:space="preserve">Taron (Mush) and the theme of Taron (Muş)</t>
  </si>
  <si>
    <t xml:space="preserve">administrative: Armenian district under Roman administration; no Greek community evidence. (eastern review, Oct 2026)</t>
  </si>
  <si>
    <t xml:space="preserve">Ashtishat (Muş)</t>
  </si>
  <si>
    <t xml:space="preserve">non-greek: Armenian sanctuary and patriarchal seat, not a Greek city. (eastern review, Oct 2026)</t>
  </si>
  <si>
    <t xml:space="preserve">Chliat (Ahlat) (Ahlat)</t>
  </si>
  <si>
    <t xml:space="preserve">non-greek: No Roman rule or Greek community. (eastern review, Oct 2026)</t>
  </si>
  <si>
    <t xml:space="preserve">Oltisi (Oltu) (Oltu)</t>
  </si>
  <si>
    <t xml:space="preserve">non-greek: Georgian and Armenian town; Greek only in the 11th-c. administration. (eastern review, Oct 2026)</t>
  </si>
  <si>
    <t xml:space="preserve">Sper (İspir) (İspir)</t>
  </si>
  <si>
    <t xml:space="preserve">non-greek: No Greek community before 1461 and no civic status. (eastern review, Oct 2026)</t>
  </si>
  <si>
    <t xml:space="preserve">Zernaki Tepe (Van)</t>
  </si>
  <si>
    <t xml:space="preserve">non-greek: A Parthian-period planned town with Aramaic inscriptions; no Greek evidence. (eastern review, Oct 2026)</t>
  </si>
  <si>
    <t xml:space="preserve">Elegoana / Arjesh (Erciş) (Erciş)</t>
  </si>
  <si>
    <t xml:space="preserve">non-greek: Armenian and Arab town. (eastern review, Oct 2026)</t>
  </si>
  <si>
    <t xml:space="preserve">Aghtamar (Akdamar Adası)</t>
  </si>
  <si>
    <t xml:space="preserve">non-greek: Armenian royal and church site. (eastern review, Oct 2026)</t>
  </si>
  <si>
    <t xml:space="preserve">Vastauna (Ostan, Gevaş) (Gevaş)</t>
  </si>
  <si>
    <t xml:space="preserve">non-greek: Armenian town. (eastern review, Oct 2026)</t>
  </si>
  <si>
    <t xml:space="preserve">*Ioustiniane (Erzincan (border with Tunceli))</t>
  </si>
  <si>
    <t xml:space="preserve">administrative: Justinianic fort or renaming; no Greek community. (eastern review, Oct 2026)</t>
  </si>
  <si>
    <t xml:space="preserve">Elegeia (Erzincan)</t>
  </si>
  <si>
    <t xml:space="preserve">non-greek: Road station and fort. (eastern review, Oct 2026)</t>
  </si>
  <si>
    <t xml:space="preserve">*Artales / *Arda? (Artaleson) (Kiğı (vicinity))</t>
  </si>
  <si>
    <t xml:space="preserve">Balisbiga / Baioulous (Palu) (Palu)</t>
  </si>
  <si>
    <t xml:space="preserve">administrative: Fortress in an Armenian satrapy. (eastern review, Oct 2026)</t>
  </si>
  <si>
    <t xml:space="preserve">Mertikerton (Mazgirt) (Mazgirt)</t>
  </si>
  <si>
    <t xml:space="preserve">Chosomachon (Çemişgezek) (Çemişgezek)</t>
  </si>
  <si>
    <t xml:space="preserve">Darucinte / Tareina? / Horonon? (Erzincan)</t>
  </si>
  <si>
    <t xml:space="preserve">non-greek: Road station / fort. (eastern review, Oct 2026)</t>
  </si>
  <si>
    <t xml:space="preserve">Haza / Hassis (Erzincan)</t>
  </si>
  <si>
    <t xml:space="preserve">Salmalasso (Erzincan)</t>
  </si>
  <si>
    <t xml:space="preserve">Chorsabia / Carsa(g)is (Erzincan)</t>
  </si>
  <si>
    <t xml:space="preserve">Tordan (Erzincan)</t>
  </si>
  <si>
    <t xml:space="preserve">non-greek: Village. (eastern review, Oct 2026)</t>
  </si>
  <si>
    <t xml:space="preserve">Til / Thiloson Kome (Erzincan)</t>
  </si>
  <si>
    <t xml:space="preserve">Khakh (Erzincan)</t>
  </si>
  <si>
    <t xml:space="preserve">Palios (Tunceli)</t>
  </si>
  <si>
    <t xml:space="preserve">non-greek: No civic status attested. (eastern review, Oct 2026)</t>
  </si>
  <si>
    <t xml:space="preserve">Hüşükani (Elazığ / Malatya border)</t>
  </si>
  <si>
    <t xml:space="preserve">Korne (Elazığ / Malatya border)</t>
  </si>
  <si>
    <t xml:space="preserve">non-greek: Station / fort. (eastern review, Oct 2026)</t>
  </si>
  <si>
    <t xml:space="preserve">Kerefto (Elazığ / Malatya border)</t>
  </si>
  <si>
    <t xml:space="preserve">non-greek: Not a city. (eastern review, Oct 2026)</t>
  </si>
  <si>
    <t xml:space="preserve">Colchis (Elazığ)</t>
  </si>
  <si>
    <t xml:space="preserve">Anzita (Tunceli)</t>
  </si>
  <si>
    <t xml:space="preserve">non-greek: No civic status or Greek evidence. (eastern review, Oct 2026)</t>
  </si>
  <si>
    <t xml:space="preserve">Arsinia (Diyarbakır)</t>
  </si>
  <si>
    <t xml:space="preserve">non-greek: No Greek evidence; Diyarbakır (area D). (eastern review, Oct 2026)</t>
  </si>
  <si>
    <t xml:space="preserve">(E)Legerda / Illyrisos (Diyarbakır / Bingöl border)</t>
  </si>
  <si>
    <t xml:space="preserve">Saphchai (Diyarbakır)</t>
  </si>
  <si>
    <t xml:space="preserve">non-greek: Fort; Diyarbakır (area D). (eastern review, Oct 2026)</t>
  </si>
  <si>
    <t xml:space="preserve">Pheison (Diyarbakır)</t>
  </si>
  <si>
    <t xml:space="preserve">Attachas (Diyarbakır)</t>
  </si>
  <si>
    <t xml:space="preserve">Ziata / *Inzieta? (Diyarbakır)</t>
  </si>
  <si>
    <t xml:space="preserve">Dabanas (Diyarbakır)</t>
  </si>
  <si>
    <t xml:space="preserve">Mambre? (Diyarbakır)</t>
  </si>
  <si>
    <t xml:space="preserve">non-greek: Not a city; Diyarbakır (area D). (eastern review, Oct 2026)</t>
  </si>
  <si>
    <t xml:space="preserve">Akbas (Diyarbakır)</t>
  </si>
  <si>
    <t xml:space="preserve">Dauduana / Dyzanas (Bitlis)</t>
  </si>
  <si>
    <t xml:space="preserve">Zoaranda (Bitlis)</t>
  </si>
  <si>
    <t xml:space="preserve">Phora / 'Phlorianon'? (Bitlis)</t>
  </si>
  <si>
    <t xml:space="preserve">non-greek: Fort. (eastern review, Oct 2026)</t>
  </si>
  <si>
    <t xml:space="preserve">Nymphaeum (Van / Bitlis border)</t>
  </si>
  <si>
    <t xml:space="preserve">Molchia (Van)</t>
  </si>
  <si>
    <t xml:space="preserve">Arest / Dagnevana (Van)</t>
  </si>
  <si>
    <t xml:space="preserve">Alouaka (Van)</t>
  </si>
  <si>
    <t xml:space="preserve">Bagauna / 'Sagouana' (Ağrı)</t>
  </si>
  <si>
    <t xml:space="preserve">non-greek: Sanctuary and station. (eastern review, Oct 2026)</t>
  </si>
  <si>
    <t xml:space="preserve">Teroua? (Ağrı)</t>
  </si>
  <si>
    <t xml:space="preserve">Başbulak / Paracata (Iğdır)</t>
  </si>
  <si>
    <t xml:space="preserve">*Zolocerta / 'Coloceia' (Iğdır)</t>
  </si>
  <si>
    <t xml:space="preserve">Shirakavan (Yerazgavors) (outside Turkey (Armenia))</t>
  </si>
  <si>
    <t xml:space="preserve">Dzhrapi (outside Turkey (Armenia))</t>
  </si>
  <si>
    <t xml:space="preserve">Eruandashat (outside Turkey (Armenia, on the border))</t>
  </si>
  <si>
    <t xml:space="preserve">Eruandakert (outside Turkey (Armenia, on the border))</t>
  </si>
  <si>
    <t xml:space="preserve">Dabana / Tharrana / Mannouorra ((outside Turkey))</t>
  </si>
  <si>
    <t xml:space="preserve">Menasobion / Banasymeon (*Thibitha / Thilbisine) (Mardin)</t>
  </si>
  <si>
    <t xml:space="preserve">non-greek: Syriac rural see. (eastern review, Oct 2026)</t>
  </si>
  <si>
    <t xml:space="preserve">Tur Abdin see (Hah / Qartmin) (Anıtlı (Hah), Midyat district)</t>
  </si>
  <si>
    <t xml:space="preserve">non-greek: Rural Syriac see, not a city. (eastern review, Oct 2026)</t>
  </si>
  <si>
    <t xml:space="preserve">Himeria (see of Osrhoene) (Şanlıurfa?)</t>
  </si>
  <si>
    <t xml:space="preserve">Markopolis (see of Osrhoene) (Şanlıurfa?)</t>
  </si>
  <si>
    <t xml:space="preserve">Iouliopolis? (Heba) (Adıyaman / Diyarbakır border)</t>
  </si>
  <si>
    <t xml:space="preserve">non-greek: Name only; nothing to show a city or Greek speakers. (eastern review, Oct 2026)</t>
  </si>
  <si>
    <t xml:space="preserve">Rhabaine / Raʿbān (Araban (castle near the town))</t>
  </si>
  <si>
    <t xml:space="preserve">non-greek: Castle and village. (eastern review, Oct 2026)</t>
  </si>
  <si>
    <t xml:space="preserve">Adata / al-Ḥadath (Kahramanmaraş/Adıyaman border)</t>
  </si>
  <si>
    <t xml:space="preserve">administrative: Frontier fortress. (eastern review, Oct 2026)</t>
  </si>
  <si>
    <t xml:space="preserve">Hromkla / Rumkale (Rumkale (Halfeti/Yavuzeli))</t>
  </si>
  <si>
    <t xml:space="preserve">non-greek: Armenian castle-seat, not a Greek city. (eastern review, Oct 2026)</t>
  </si>
  <si>
    <t xml:space="preserve">Hisn Mansur / Kaisun / Behesni (medieval towns of northern Commagene) (Adıyaman; Çakırhüyük; Besni)</t>
  </si>
  <si>
    <t xml:space="preserve">non-greek: Medieval non-Greek towns. (eastern review, Oct 2026)</t>
  </si>
  <si>
    <t xml:space="preserve">Sardeoua / Zerzevan Kalesi (Zerzevan Kalesi (Çınar))</t>
  </si>
  <si>
    <t xml:space="preserve">administrative: Fort. (eastern review, Oct 2026)</t>
  </si>
  <si>
    <t xml:space="preserve">Rhabdion (Mardin)</t>
  </si>
  <si>
    <t xml:space="preserve">Pinaka / Phaenica (Finik (Eski Finik), Cizre district)</t>
  </si>
  <si>
    <t xml:space="preserve">non-greek: Native fortress-town. (eastern review, Oct 2026)</t>
  </si>
  <si>
    <t xml:space="preserve">Satalka / Thamanon (Şırnak)</t>
  </si>
  <si>
    <t xml:space="preserve">Arzan (Arzanene) (Siirt / Batman)</t>
  </si>
  <si>
    <t xml:space="preserve">non-greek: Treated under Tigranocerta; no later Greek community. (eastern review, Oct 2026)</t>
  </si>
  <si>
    <t xml:space="preserve">Unlocated Hellenistic names of Commagene and Cyrrhestice (Chaonia, Oropos, Serre, Nikatoris, Ainos, Stratonikeia near the Tauros) (Gaziantep / Adıyaman / Kilis?)</t>
  </si>
  <si>
    <t xml:space="preserve">Unlocatable; add only if a site in Turkey is established. (eastern review, Oct 2026)</t>
  </si>
  <si>
    <t xml:space="preserve">Other Pleiades settlements in area D: road stations, forts, villages and monasteries (Gaziantep / Adıyaman / Şanlıurfa / Mardin / Diyarbakır / Batman / Siirt / Şırnak)</t>
  </si>
  <si>
    <t xml:space="preserve">non-greek: Not cities. (eastern review, Oct 2026)</t>
  </si>
  <si>
    <t xml:space="preserve">Chalybia (Ordu)</t>
  </si>
  <si>
    <t xml:space="preserve">A district and Turkmen emirate with no town of that name. (eastern review, Oct 2026)</t>
  </si>
  <si>
    <t xml:space="preserve">Kotyora (medieval Ordu) (Ordu (Altınordu))</t>
  </si>
  <si>
    <t xml:space="preserve">Already covered by C533 Cotyora (ancient), and no separate medieval Greek town is attested; no change needed. (eastern review, Oct 2026)</t>
  </si>
  <si>
    <t xml:space="preserve">Bona / Vona (Perşembe)</t>
  </si>
  <si>
    <t xml:space="preserve">An anchorage and village, not a town; out_A's verdict stands. (eastern review, Oct 2026)</t>
  </si>
  <si>
    <t xml:space="preserve">Platana (Hermonassa) (Akçaabat)</t>
  </si>
  <si>
    <t xml:space="preserve">An anchorage and village before 1461; it grew into a town only under the Ottomans. (eastern review, Oct 2026)</t>
  </si>
  <si>
    <t xml:space="preserve">Trikomia (Trabzon)</t>
  </si>
  <si>
    <t xml:space="preserve">A district name with no town. (eastern review, Oct 2026)</t>
  </si>
  <si>
    <t xml:space="preserve">Gemora (Yomra)</t>
  </si>
  <si>
    <t xml:space="preserve">Sourmaina (Hyssou Limen) (Sürmene)</t>
  </si>
  <si>
    <t xml:space="preserve">A bandon and castle; no evidence found of a civic town before 1461. (eastern review, Oct 2026)</t>
  </si>
  <si>
    <t xml:space="preserve">Gonia ((Georgia))</t>
  </si>
  <si>
    <t xml:space="preserve">Tzanicha (forerunner of Argyroupolis) (Gümüşhane (area))</t>
  </si>
  <si>
    <t xml:space="preserve">A Justinianic fort and later a district name; the town of Argyroupolis is post-1461 (out_A). (eastern review, Oct 2026)</t>
  </si>
  <si>
    <t xml:space="preserve">Mesochaldia (Gümüşhane)</t>
  </si>
  <si>
    <t xml:space="preserve">Kyrin (unidentified) ()</t>
  </si>
  <si>
    <t xml:space="preserve">Not identified; no evidence of a town. (eastern review, Oct 2026)</t>
  </si>
  <si>
    <t xml:space="preserve">Tripolis (Tirebolu, Giresun)</t>
  </si>
  <si>
    <t xml:space="preserve">A Roman fort and a walled town of the Empire of Trebizond with a Greek population, but it had no see and no source calls it a polis. It had counted under a special rule for the Pontus, dropped so that one method applies everywhere. (second look, Oct 2026)</t>
  </si>
  <si>
    <t xml:space="preserve">EAST3</t>
  </si>
  <si>
    <t xml:space="preserve">Koralla (Görele, Giresun)</t>
  </si>
  <si>
    <t xml:space="preserve">A walled Trapezuntine town ('Sinope, Kerasous, Tripolis, Koralla, Trebizond and Rhizaion were walled towns', Bryer, DOP 29 p. 120) that stayed Greek after 1461 (134 Christian families c. 1520), but with no see and no polis title. (second look, Oct 2026)</t>
  </si>
  <si>
    <t xml:space="preserve">Philokaleia (Görele), Argyria (Giresun)</t>
  </si>
  <si>
    <t xml:space="preserve">An anchorage or fort, not a city. (second look, Oct 2026)</t>
  </si>
  <si>
    <t xml:space="preserve">Kenchrina (Giresun)</t>
  </si>
  <si>
    <t xml:space="preserve">An imperial castle with a 'polichnion' (small town) in Panaretos and Libadenos, 1345–55, known only as a prison and rebel refuge; no see, and the likeliest site is a small harbour fort (Bryer &amp; Winfield pp. 135–37). (second look, Oct 2026)</t>
  </si>
  <si>
    <t xml:space="preserve">Sorogaina (Yalınkavak, Torul, Gümüşhane)</t>
  </si>
  <si>
    <t xml:space="preserve">A 'polichnion and castle' to an early 14th-c. hagiographer, 'an archetypal Chaldian village castle with its vicus' to Bryer &amp; Winfield (p. 308); no see. (second look, Oct 2026)</t>
  </si>
  <si>
    <t xml:space="preserve">Golacha (Gümüşhane)</t>
  </si>
  <si>
    <t xml:space="preserve">The castle seat of the Kabazites, dukes of Chaldia (Clavijo's 'Dorileh'), with a church nearby; no town or see recorded. (second look, Oct 2026)</t>
  </si>
  <si>
    <t xml:space="preserve">Dikaisimon / Matzouka (Maçka, Trabzon)</t>
  </si>
  <si>
    <t xml:space="preserve">The Greek heartland of the empire, but 'not even Dikaisimon could be called a town' (Bryer &amp; Winfield p. 251); c. 1520 Matzouka had 57 villages and no town. (second look, Oct 2026)</t>
  </si>
  <si>
    <t xml:space="preserve">Palaiomatzouka (Hamsiköy area, Trabzon)</t>
  </si>
  <si>
    <t xml:space="preserve">A castle guarding the Zigana pass with 'some few houses' at its foot (Clavijo 1404); no town or see. (second look, Oct 2026)</t>
  </si>
  <si>
    <t xml:space="preserve">Ardasa (Torul, Gümüşhane)</t>
  </si>
  <si>
    <t xml:space="preserve">A road castle; the town is post-1461. (second look, Oct 2026)</t>
  </si>
  <si>
    <t xml:space="preserve">Chalaiou (Kelkit?, Gümüşhane)</t>
  </si>
  <si>
    <t xml:space="preserve">A 10th-c. see of Trebizond on paper (Bryer &amp; Winfield p. 167), unlocated, in the Lykos valley that was 'probably more Armenian'; no Greek-speaking community attested before 1461. (second look, Oct 2026)</t>
  </si>
  <si>
    <t xml:space="preserve">Paipert / Baiberdon (Bayburt)</t>
  </si>
  <si>
    <t xml:space="preserve">A see of Trebizond from c. 900 to the 13th c. (seal of bishop David), but no evidence of Greek-speaking townspeople: its name and earlier population were Armenian, and from c. 1100 its Christian majority was 'largely Armenian' (Bryer, DOP 29 p. 125). A see alone does not count, as for Tzamandos. (second look, Oct 2026)</t>
  </si>
  <si>
    <t xml:space="preserve">Kamacha / Ani-Kamakh (Kemah, Erzincan)</t>
  </si>
  <si>
    <t xml:space="preserve">A Greek metropolis c. 900–1071 (seals), but its people were Armenian (Charanis; ODB) and no Greek-speaking lay community is attested. A see alone does not count, as for Tzamandos. (second look, Oct 2026)</t>
  </si>
  <si>
    <t xml:space="preserve">Arsamosata (Haraba, Elazığ; under the Keban lake)</t>
  </si>
  <si>
    <t xml:space="preserve">A theme seat and Greek metropolis c. 939–1050 (seals; ODB) beside a Syriac Orthodox see, with no evidence of Greek-speaking residents. A see alone does not count, as for Tzamandos. (second look, Oct 2026)</t>
  </si>
  <si>
    <t xml:space="preserve">Scope</t>
  </si>
  <si>
    <t xml:space="preserve">Cities whose site lies in present-day Turkey (Anatolia, Eastern Thrace, Imbros, Tenedos, Hatay), from Mycenaean times to the fall of Trebizond (1461).</t>
  </si>
  <si>
    <t xml:space="preserve">Greek city</t>
  </si>
  <si>
    <t xml:space="preserve">A self-governing city or urban centre with civic status (not a village, fort, sanctuary or estate) whose people spoke Greek, or came to. Evidence: polis in the Inventory of Archaic and Classical Poleis or the Athenian tribute lists; Hellenistic foundation; Greek civic decrees or coins; city in Hierocles (c. 527); bishop’s see. The same test applies in every region, with no special rule for any area (Iosif, 11 Oct 2026); a castle or fort with a lay settlement but no see and no polis title (Tripolis/Tirebolu, Koralla) does not count.</t>
  </si>
  <si>
    <t xml:space="preserve">Included</t>
  </si>
  <si>
    <t xml:space="preserve">Greek foundations of every age (Mycenaean, migration-era, colonies, royal and Roman foundations) and native Anatolian towns that became Greek-speaking cities. Roman coloniae count, since they became Greek-speaking.</t>
  </si>
  <si>
    <t xml:space="preserve">Language rule</t>
  </si>
  <si>
    <t xml:space="preserve">Revised 11 Oct 2026 (Iosif: do not discount Greek or heterogeneous cities because of where they are). A city where Greek was one of two main languages, beside Aramaic (Syriac) or Armenian, is included and marked mixed (†), given positive evidence of a Greek-speaking community: civic Greek coins or inscriptions, Greek writers or clergy from the city, Greek settlers. Mixed: Edessa, Carrhae, Nisibis, Zeugma and neighbours; Samosata, Germanikeia, Perrhe, Amida, Satala; Theodosiopolis (Erzurum) 949–c. 1071; Keltzene (Erzincan), where Clavijo (1404) found Greeks beside Armenians. Left out where Greek was only the language of the garrison, court or officials (Dara, Constantia, the Arsameias, Ani, Mantzikert, Kars), or where a Greek see stood in a town with no evidence of Greek speakers (Tzamandos, Kamacha, Arsamosata, Paipert; Tigranocerta by Iosif's choice).</t>
  </si>
  <si>
    <t xml:space="preserve">Date (Greek from)</t>
  </si>
  <si>
    <t xml:space="preserve">When the place became a Greek city: the foundation date for Greek foundations (ancient date, or archaeological where they differ); for native towns the first Greek civic evidence (decrees, coins, polis attestation, a bishop). Renamings and refoundations do not change the date.</t>
  </si>
  <si>
    <t xml:space="preserve">Periods</t>
  </si>
  <si>
    <t xml:space="preserve">By the date: 1 to c. 760 BC; 2 c. 760–481 BC; 3 480–335 BC; 4 334–31 BC; 5 30 BC – AD 329; 6 AD 330–1461.</t>
  </si>
  <si>
    <t xml:space="preserve">"yes" = positive evidence of a non-Greek settlement on the site or the same mound (within c. 1–2 km) before the Greek city: excavated or surveyed levels, an attested pre-Greek name, a good ancient historian, or a native town that turned Greek. "no known" = new ground, also on positive evidence (excavation or survey finding nothing earlier, or a reliable account of a foundation on an empty site). "unknown" = no evidence either way. Legends, press reports, tourism and municipal pages and the LuwianSiteAtlas do not count; claims found only in Turkish sources were checked against international scholarship (Oct 2026).</t>
  </si>
  <si>
    <t xml:space="preserve">Only names attested in pre-Greek sources (Hittite, Luwian, Lydian, Lycian, Carian, Assyrian, Babylonian, Aramaic, Old Persian, Armenian). "?" = doubtful identification.</t>
  </si>
  <si>
    <t xml:space="preserve">Turkish name</t>
  </si>
  <si>
    <t xml:space="preserve">The present-day town or village whose built-up area covers the ancient city; ruins near a town are "ruins only". District centres and provincial capitals refer to that town. Only cities that were Greek by 1461 count (Argyroupolis/Gümüşhane and Kydonies/Ayvalık, Greek only under the Ottomans, do not). "Comes from" judges the ultimate origin of the name; "reached Turkish through" the route: all but five came through the Greek form (Konya &lt; Ikonion); Urfa, Harran, Nusaybin, Suruç and Maraş came through Syriac and Arabic.</t>
  </si>
  <si>
    <t xml:space="preserve">Research</t>
  </si>
  <si>
    <t xml:space="preserve">14 research agents by groups of provinces (seeded from the council sees of earlier sets and the Pleiades gazetteer), then 5 fact-check agents (pre-Greek names; modern names, west and east; dates and origins, two halves). Second round, 11 Oct 2026: earlier settlement for all 256 foundations then marked unknown or new ground (6 agents, then 2 source-critical verifiers); a review of the north-east, east and south-east (4 agents) and of Trapezuntine towns (1 agent), which added 10 cities; a second look at the inland Pontus and the east (2 agents, with Bryer &amp; Winfield 1985 and Clavijo opened), which added Keltzene (Erzincan, mixed) and the Chaldian sees Leri and Cheriana, and dropped Tripolis when the special Pontus rule was withdrawn.</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</si>
</sst>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2"/>
      <name val="Arial"/>
      <family val="0"/>
      <charset val="1"/>
    </font>
    <font>
      <b val="true"/>
      <sz val="10"/>
      <name val="Arial"/>
      <family val="0"/>
      <charset val="1"/>
    </font>
    <font>
      <i val="true"/>
      <sz val="9"/>
      <name val="Arial"/>
      <family val="0"/>
      <charset val="1"/>
    </font>
    <font>
      <sz val="10"/>
      <color rgb="FF0000FF"/>
      <name val="Arial"/>
      <family val="0"/>
      <charset val="1"/>
    </font>
  </fonts>
  <fills count="3">
    <fill>
      <patternFill patternType="none"/>
    </fill>
    <fill>
      <patternFill patternType="gray125"/>
    </fill>
    <fill>
      <patternFill patternType="solid">
        <fgColor rgb="FF1B2230"/>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B223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2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22"/>
    <col collapsed="false" customWidth="true" hidden="false" outlineLevel="0" max="4" min="4" style="0" width="14"/>
    <col collapsed="false" customWidth="true" hidden="false" outlineLevel="0" max="6" min="5" style="0" width="26"/>
    <col collapsed="false" customWidth="true" hidden="false" outlineLevel="0" max="7" min="7" style="0" width="34"/>
    <col collapsed="false" customWidth="true" hidden="false" outlineLevel="0" max="8" min="8" style="0" width="20"/>
    <col collapsed="false" customWidth="true" hidden="false" outlineLevel="0" max="9" min="9" style="0" width="16"/>
    <col collapsed="false" customWidth="true" hidden="false" outlineLevel="0" max="10" min="10" style="0" width="32"/>
    <col collapsed="false" customWidth="true" hidden="false" outlineLevel="0" max="11" min="11" style="0" width="14"/>
    <col collapsed="false" customWidth="true" hidden="false" outlineLevel="0" max="12" min="12" style="0" width="18"/>
    <col collapsed="false" customWidth="true" hidden="false" outlineLevel="0" max="13" min="13" style="0" width="16"/>
    <col collapsed="false" customWidth="true" hidden="false" outlineLevel="0" max="14" min="14" style="0" width="10"/>
    <col collapsed="false" customWidth="true" hidden="false" outlineLevel="0" max="15" min="15" style="0" width="18"/>
    <col collapsed="false" customWidth="true" hidden="false" outlineLevel="0" max="17" min="16" style="0" width="9"/>
    <col collapsed="false" customWidth="true" hidden="false" outlineLevel="0" max="19" min="18" style="0" width="12"/>
    <col collapsed="false" customWidth="true" hidden="false" outlineLevel="0" max="20" min="20" style="0" width="13"/>
    <col collapsed="false" customWidth="true" hidden="false" outlineLevel="0" max="21" min="21" style="0" width="24"/>
    <col collapsed="false" customWidth="true" hidden="false" outlineLevel="0" max="22" min="22" style="0" width="10"/>
    <col collapsed="false" customWidth="true" hidden="false" outlineLevel="0" max="23" min="23" style="0" width="30"/>
    <col collapsed="false" customWidth="true" hidden="false" outlineLevel="0" max="24" min="24" style="0" width="24"/>
    <col collapsed="false" customWidth="true" hidden="false" outlineLevel="0" max="25" min="25" style="0" width="30"/>
    <col collapsed="false" customWidth="true" hidden="false" outlineLevel="0" max="26" min="26" style="0" width="24"/>
    <col collapsed="false" customWidth="true" hidden="false" outlineLevel="0" max="27" min="27" style="0" width="18"/>
    <col collapsed="false" customWidth="true" hidden="false" outlineLevel="0" max="28" min="28" style="0" width="12"/>
    <col collapsed="false" customWidth="true" hidden="false" outlineLevel="0" max="29" min="29" style="0" width="14"/>
    <col collapsed="false" customWidth="true" hidden="false" outlineLevel="0" max="30" min="30" style="0" width="28"/>
    <col collapsed="false" customWidth="true" hidden="false" outlineLevel="0" max="32" min="31" style="0" width="40"/>
    <col collapsed="false" customWidth="true" hidden="false" outlineLevel="0" max="33" min="33" style="0" width="34"/>
    <col collapsed="false" customWidth="true" hidden="false" outlineLevel="0" max="34" min="34" style="0" width="10"/>
    <col collapsed="false" customWidth="true" hidden="false" outlineLevel="0" max="36" min="35" style="0" width="50"/>
    <col collapsed="false" customWidth="true" hidden="false" outlineLevel="0" max="37" min="37" style="0" width="10"/>
    <col collapsed="false" customWidth="true" hidden="false" outlineLevel="0" max="38" min="38" style="0" width="50"/>
    <col collapsed="false" customWidth="true" hidden="false" outlineLevel="0" max="39" min="39" style="0" width="9"/>
    <col collapsed="false" customWidth="true" hidden="false" outlineLevel="0" max="40" min="40" style="0" width="14"/>
    <col collapsed="false" customWidth="true" hidden="false" outlineLevel="0" max="41" min="41" style="0" width="50"/>
    <col collapsed="false" customWidth="true" hidden="false" outlineLevel="0" max="42" min="42" style="0" width="40"/>
    <col collapsed="false" customWidth="true" hidden="false" outlineLevel="0" max="43" min="43" style="0" width="10"/>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ustomFormat="false" ht="46.25" hidden="false" customHeight="false" outlineLevel="0" collapsed="false">
      <c r="A2" s="2" t="n">
        <v>1</v>
      </c>
      <c r="B2" s="2" t="s">
        <v>43</v>
      </c>
      <c r="C2" s="2" t="s">
        <v>44</v>
      </c>
      <c r="D2" s="2" t="s">
        <v>44</v>
      </c>
      <c r="E2" s="2" t="s">
        <v>45</v>
      </c>
      <c r="F2" s="2" t="s">
        <v>46</v>
      </c>
      <c r="G2" s="3" t="s">
        <v>47</v>
      </c>
      <c r="H2" s="2" t="s">
        <v>48</v>
      </c>
      <c r="I2" s="2" t="s">
        <v>49</v>
      </c>
      <c r="J2" s="3" t="s">
        <v>50</v>
      </c>
      <c r="K2" s="2" t="s">
        <v>51</v>
      </c>
      <c r="L2" s="2" t="s">
        <v>52</v>
      </c>
      <c r="M2" s="2"/>
      <c r="N2" s="2"/>
      <c r="O2" s="2" t="s">
        <v>53</v>
      </c>
      <c r="P2" s="2" t="n">
        <v>40.2333</v>
      </c>
      <c r="Q2" s="2" t="n">
        <v>25.9008</v>
      </c>
      <c r="R2" s="2" t="s">
        <v>54</v>
      </c>
      <c r="S2" s="2" t="n">
        <v>-500</v>
      </c>
      <c r="T2" s="2" t="s">
        <v>55</v>
      </c>
      <c r="U2" s="2" t="s">
        <v>56</v>
      </c>
      <c r="V2" s="2" t="s">
        <v>57</v>
      </c>
      <c r="W2" s="2" t="s">
        <v>58</v>
      </c>
      <c r="X2" s="2" t="s">
        <v>59</v>
      </c>
      <c r="Y2" s="2" t="s">
        <v>60</v>
      </c>
      <c r="Z2" s="2" t="s">
        <v>61</v>
      </c>
      <c r="AA2" s="2" t="s">
        <v>62</v>
      </c>
      <c r="AB2" s="2" t="s">
        <v>63</v>
      </c>
      <c r="AC2" s="2" t="s">
        <v>64</v>
      </c>
      <c r="AD2" s="2"/>
      <c r="AE2" s="3" t="s">
        <v>65</v>
      </c>
      <c r="AF2" s="3" t="s">
        <v>66</v>
      </c>
      <c r="AG2" s="2"/>
      <c r="AH2" s="2" t="s">
        <v>54</v>
      </c>
      <c r="AI2" s="3" t="s">
        <v>67</v>
      </c>
      <c r="AJ2" s="3" t="s">
        <v>68</v>
      </c>
      <c r="AK2" s="2" t="n">
        <v>501438</v>
      </c>
      <c r="AL2" s="3" t="s">
        <v>69</v>
      </c>
      <c r="AM2" s="2"/>
      <c r="AN2" s="2"/>
      <c r="AO2" s="3"/>
      <c r="AP2" s="3"/>
      <c r="AQ2" s="2"/>
    </row>
    <row r="3" customFormat="false" ht="68.65" hidden="false" customHeight="false" outlineLevel="0" collapsed="false">
      <c r="A3" s="2" t="n">
        <v>2</v>
      </c>
      <c r="B3" s="2" t="s">
        <v>70</v>
      </c>
      <c r="C3" s="2" t="s">
        <v>44</v>
      </c>
      <c r="D3" s="2" t="s">
        <v>44</v>
      </c>
      <c r="E3" s="2" t="s">
        <v>71</v>
      </c>
      <c r="F3" s="2" t="s">
        <v>72</v>
      </c>
      <c r="G3" s="3" t="s">
        <v>73</v>
      </c>
      <c r="H3" s="2"/>
      <c r="I3" s="2" t="s">
        <v>74</v>
      </c>
      <c r="J3" s="3" t="s">
        <v>75</v>
      </c>
      <c r="K3" s="2" t="s">
        <v>51</v>
      </c>
      <c r="L3" s="2" t="s">
        <v>52</v>
      </c>
      <c r="M3" s="2"/>
      <c r="N3" s="2"/>
      <c r="O3" s="2"/>
      <c r="P3" s="2" t="n">
        <v>40.0545</v>
      </c>
      <c r="Q3" s="2" t="n">
        <v>26.2233</v>
      </c>
      <c r="R3" s="2" t="s">
        <v>54</v>
      </c>
      <c r="S3" s="2" t="n">
        <v>-600</v>
      </c>
      <c r="T3" s="2" t="s">
        <v>76</v>
      </c>
      <c r="U3" s="2" t="s">
        <v>77</v>
      </c>
      <c r="V3" s="2" t="s">
        <v>78</v>
      </c>
      <c r="W3" s="2" t="s">
        <v>58</v>
      </c>
      <c r="X3" s="2" t="s">
        <v>59</v>
      </c>
      <c r="Y3" s="2" t="s">
        <v>79</v>
      </c>
      <c r="Z3" s="2" t="s">
        <v>61</v>
      </c>
      <c r="AA3" s="2" t="s">
        <v>80</v>
      </c>
      <c r="AB3" s="2" t="s">
        <v>81</v>
      </c>
      <c r="AC3" s="2"/>
      <c r="AD3" s="2"/>
      <c r="AE3" s="3" t="s">
        <v>82</v>
      </c>
      <c r="AF3" s="3" t="s">
        <v>83</v>
      </c>
      <c r="AG3" s="2"/>
      <c r="AH3" s="2" t="s">
        <v>54</v>
      </c>
      <c r="AI3" s="3" t="s">
        <v>84</v>
      </c>
      <c r="AJ3" s="3" t="s">
        <v>85</v>
      </c>
      <c r="AK3" s="2" t="n">
        <v>501411</v>
      </c>
      <c r="AL3" s="3" t="s">
        <v>86</v>
      </c>
      <c r="AM3" s="2"/>
      <c r="AN3" s="2"/>
      <c r="AO3" s="3" t="s">
        <v>87</v>
      </c>
      <c r="AP3" s="3" t="s">
        <v>88</v>
      </c>
      <c r="AQ3" s="2" t="s">
        <v>89</v>
      </c>
    </row>
    <row r="4" customFormat="false" ht="35.05" hidden="false" customHeight="false" outlineLevel="0" collapsed="false">
      <c r="A4" s="2" t="n">
        <v>3</v>
      </c>
      <c r="B4" s="2" t="s">
        <v>90</v>
      </c>
      <c r="C4" s="2" t="s">
        <v>44</v>
      </c>
      <c r="D4" s="2" t="s">
        <v>44</v>
      </c>
      <c r="E4" s="2" t="s">
        <v>91</v>
      </c>
      <c r="F4" s="2" t="s">
        <v>92</v>
      </c>
      <c r="G4" s="3"/>
      <c r="H4" s="2"/>
      <c r="I4" s="2" t="s">
        <v>93</v>
      </c>
      <c r="J4" s="3" t="s">
        <v>94</v>
      </c>
      <c r="K4" s="2" t="s">
        <v>51</v>
      </c>
      <c r="L4" s="2" t="s">
        <v>52</v>
      </c>
      <c r="M4" s="2"/>
      <c r="N4" s="2"/>
      <c r="O4" s="2"/>
      <c r="P4" s="2" t="n">
        <v>40.3139</v>
      </c>
      <c r="Q4" s="2" t="n">
        <v>26.2495</v>
      </c>
      <c r="R4" s="2" t="s">
        <v>95</v>
      </c>
      <c r="S4" s="2" t="n">
        <v>-600</v>
      </c>
      <c r="T4" s="2" t="s">
        <v>76</v>
      </c>
      <c r="U4" s="2" t="s">
        <v>96</v>
      </c>
      <c r="V4" s="2" t="s">
        <v>97</v>
      </c>
      <c r="W4" s="2" t="s">
        <v>58</v>
      </c>
      <c r="X4" s="2" t="s">
        <v>59</v>
      </c>
      <c r="Y4" s="2" t="s">
        <v>98</v>
      </c>
      <c r="Z4" s="2" t="s">
        <v>61</v>
      </c>
      <c r="AA4" s="2" t="s">
        <v>99</v>
      </c>
      <c r="AB4" s="2" t="s">
        <v>81</v>
      </c>
      <c r="AC4" s="2"/>
      <c r="AD4" s="2"/>
      <c r="AE4" s="3"/>
      <c r="AF4" s="3" t="s">
        <v>100</v>
      </c>
      <c r="AG4" s="2"/>
      <c r="AH4" s="2" t="s">
        <v>54</v>
      </c>
      <c r="AI4" s="3" t="s">
        <v>101</v>
      </c>
      <c r="AJ4" s="3" t="s">
        <v>102</v>
      </c>
      <c r="AK4" s="2" t="n">
        <v>501345</v>
      </c>
      <c r="AL4" s="3" t="s">
        <v>103</v>
      </c>
      <c r="AM4" s="2"/>
      <c r="AN4" s="2"/>
      <c r="AO4" s="3" t="s">
        <v>104</v>
      </c>
      <c r="AP4" s="3" t="s">
        <v>105</v>
      </c>
      <c r="AQ4" s="2" t="s">
        <v>106</v>
      </c>
    </row>
    <row r="5" customFormat="false" ht="23.85" hidden="false" customHeight="false" outlineLevel="0" collapsed="false">
      <c r="A5" s="2" t="n">
        <v>4</v>
      </c>
      <c r="B5" s="2" t="s">
        <v>107</v>
      </c>
      <c r="C5" s="2" t="s">
        <v>44</v>
      </c>
      <c r="D5" s="2" t="s">
        <v>44</v>
      </c>
      <c r="E5" s="2" t="s">
        <v>108</v>
      </c>
      <c r="F5" s="2" t="s">
        <v>109</v>
      </c>
      <c r="G5" s="3"/>
      <c r="H5" s="2"/>
      <c r="I5" s="2" t="s">
        <v>93</v>
      </c>
      <c r="J5" s="3" t="s">
        <v>110</v>
      </c>
      <c r="K5" s="2" t="s">
        <v>51</v>
      </c>
      <c r="L5" s="2" t="s">
        <v>52</v>
      </c>
      <c r="M5" s="2"/>
      <c r="N5" s="2"/>
      <c r="O5" s="2"/>
      <c r="P5" s="2" t="n">
        <v>40.2706</v>
      </c>
      <c r="Q5" s="2" t="n">
        <v>26.2727</v>
      </c>
      <c r="R5" s="2" t="s">
        <v>95</v>
      </c>
      <c r="S5" s="2" t="n">
        <v>-600</v>
      </c>
      <c r="T5" s="2" t="s">
        <v>76</v>
      </c>
      <c r="U5" s="2" t="s">
        <v>96</v>
      </c>
      <c r="V5" s="2" t="s">
        <v>97</v>
      </c>
      <c r="W5" s="2" t="s">
        <v>58</v>
      </c>
      <c r="X5" s="2" t="s">
        <v>59</v>
      </c>
      <c r="Y5" s="2" t="s">
        <v>111</v>
      </c>
      <c r="Z5" s="2" t="s">
        <v>61</v>
      </c>
      <c r="AA5" s="2" t="s">
        <v>111</v>
      </c>
      <c r="AB5" s="2" t="s">
        <v>81</v>
      </c>
      <c r="AC5" s="2"/>
      <c r="AD5" s="2"/>
      <c r="AE5" s="3"/>
      <c r="AF5" s="3" t="s">
        <v>112</v>
      </c>
      <c r="AG5" s="2"/>
      <c r="AH5" s="2" t="s">
        <v>113</v>
      </c>
      <c r="AI5" s="3" t="s">
        <v>114</v>
      </c>
      <c r="AJ5" s="3" t="s">
        <v>115</v>
      </c>
      <c r="AK5" s="2" t="n">
        <v>501497</v>
      </c>
      <c r="AL5" s="3" t="s">
        <v>116</v>
      </c>
      <c r="AM5" s="2"/>
      <c r="AN5" s="2"/>
      <c r="AO5" s="3" t="s">
        <v>104</v>
      </c>
      <c r="AP5" s="3" t="s">
        <v>117</v>
      </c>
      <c r="AQ5" s="2" t="s">
        <v>106</v>
      </c>
    </row>
    <row r="6" customFormat="false" ht="46.25" hidden="false" customHeight="false" outlineLevel="0" collapsed="false">
      <c r="A6" s="2" t="n">
        <v>5</v>
      </c>
      <c r="B6" s="2" t="s">
        <v>118</v>
      </c>
      <c r="C6" s="2" t="s">
        <v>44</v>
      </c>
      <c r="D6" s="2" t="s">
        <v>44</v>
      </c>
      <c r="E6" s="2" t="s">
        <v>119</v>
      </c>
      <c r="F6" s="2" t="s">
        <v>120</v>
      </c>
      <c r="G6" s="3" t="s">
        <v>121</v>
      </c>
      <c r="H6" s="2" t="s">
        <v>122</v>
      </c>
      <c r="I6" s="2" t="s">
        <v>123</v>
      </c>
      <c r="J6" s="3" t="s">
        <v>124</v>
      </c>
      <c r="K6" s="2" t="s">
        <v>51</v>
      </c>
      <c r="L6" s="2" t="s">
        <v>52</v>
      </c>
      <c r="M6" s="2" t="s">
        <v>122</v>
      </c>
      <c r="N6" s="2"/>
      <c r="O6" s="2" t="s">
        <v>53</v>
      </c>
      <c r="P6" s="2" t="n">
        <v>40.1847</v>
      </c>
      <c r="Q6" s="2" t="n">
        <v>26.3561</v>
      </c>
      <c r="R6" s="2" t="s">
        <v>54</v>
      </c>
      <c r="S6" s="2" t="n">
        <v>-650</v>
      </c>
      <c r="T6" s="2" t="s">
        <v>125</v>
      </c>
      <c r="U6" s="2" t="s">
        <v>96</v>
      </c>
      <c r="V6" s="2" t="s">
        <v>78</v>
      </c>
      <c r="W6" s="2" t="s">
        <v>58</v>
      </c>
      <c r="X6" s="2" t="s">
        <v>59</v>
      </c>
      <c r="Y6" s="2" t="s">
        <v>126</v>
      </c>
      <c r="Z6" s="2" t="s">
        <v>61</v>
      </c>
      <c r="AA6" s="2" t="s">
        <v>127</v>
      </c>
      <c r="AB6" s="2" t="s">
        <v>63</v>
      </c>
      <c r="AC6" s="2" t="s">
        <v>77</v>
      </c>
      <c r="AD6" s="2"/>
      <c r="AE6" s="3" t="s">
        <v>128</v>
      </c>
      <c r="AF6" s="3" t="s">
        <v>129</v>
      </c>
      <c r="AG6" s="2"/>
      <c r="AH6" s="2" t="s">
        <v>54</v>
      </c>
      <c r="AI6" s="3" t="s">
        <v>130</v>
      </c>
      <c r="AJ6" s="3" t="s">
        <v>131</v>
      </c>
      <c r="AK6" s="2" t="n">
        <v>501503</v>
      </c>
      <c r="AL6" s="3" t="s">
        <v>132</v>
      </c>
      <c r="AM6" s="2"/>
      <c r="AN6" s="2"/>
      <c r="AO6" s="3"/>
      <c r="AP6" s="3"/>
      <c r="AQ6" s="2"/>
    </row>
    <row r="7" customFormat="false" ht="35.05" hidden="false" customHeight="false" outlineLevel="0" collapsed="false">
      <c r="A7" s="2" t="n">
        <v>6</v>
      </c>
      <c r="B7" s="2" t="s">
        <v>133</v>
      </c>
      <c r="C7" s="2" t="s">
        <v>44</v>
      </c>
      <c r="D7" s="2" t="s">
        <v>44</v>
      </c>
      <c r="E7" s="2" t="s">
        <v>134</v>
      </c>
      <c r="F7" s="2" t="s">
        <v>135</v>
      </c>
      <c r="G7" s="3" t="s">
        <v>136</v>
      </c>
      <c r="H7" s="2"/>
      <c r="I7" s="2" t="s">
        <v>93</v>
      </c>
      <c r="J7" s="3" t="s">
        <v>137</v>
      </c>
      <c r="K7" s="2" t="s">
        <v>51</v>
      </c>
      <c r="L7" s="2" t="s">
        <v>52</v>
      </c>
      <c r="M7" s="2"/>
      <c r="N7" s="2"/>
      <c r="O7" s="2"/>
      <c r="P7" s="2" t="n">
        <v>40.2071</v>
      </c>
      <c r="Q7" s="2" t="n">
        <v>26.3676</v>
      </c>
      <c r="R7" s="2" t="s">
        <v>95</v>
      </c>
      <c r="S7" s="2" t="n">
        <v>125</v>
      </c>
      <c r="T7" s="2" t="s">
        <v>138</v>
      </c>
      <c r="U7" s="2" t="s">
        <v>139</v>
      </c>
      <c r="V7" s="2" t="s">
        <v>97</v>
      </c>
      <c r="W7" s="2" t="s">
        <v>140</v>
      </c>
      <c r="X7" s="2" t="s">
        <v>141</v>
      </c>
      <c r="Y7" s="2" t="s">
        <v>142</v>
      </c>
      <c r="Z7" s="2" t="s">
        <v>143</v>
      </c>
      <c r="AA7" s="2"/>
      <c r="AB7" s="2" t="s">
        <v>81</v>
      </c>
      <c r="AC7" s="2"/>
      <c r="AD7" s="2"/>
      <c r="AE7" s="3"/>
      <c r="AF7" s="3" t="s">
        <v>144</v>
      </c>
      <c r="AG7" s="2" t="s">
        <v>145</v>
      </c>
      <c r="AH7" s="2" t="s">
        <v>113</v>
      </c>
      <c r="AI7" s="3" t="s">
        <v>146</v>
      </c>
      <c r="AJ7" s="3" t="s">
        <v>147</v>
      </c>
      <c r="AK7" s="2" t="n">
        <v>501471</v>
      </c>
      <c r="AL7" s="3" t="s">
        <v>148</v>
      </c>
      <c r="AM7" s="2"/>
      <c r="AN7" s="2"/>
      <c r="AO7" s="3" t="s">
        <v>149</v>
      </c>
      <c r="AP7" s="3" t="s">
        <v>150</v>
      </c>
      <c r="AQ7" s="2" t="s">
        <v>151</v>
      </c>
    </row>
    <row r="8" customFormat="false" ht="113.4" hidden="false" customHeight="false" outlineLevel="0" collapsed="false">
      <c r="A8" s="2" t="n">
        <v>7</v>
      </c>
      <c r="B8" s="2" t="s">
        <v>152</v>
      </c>
      <c r="C8" s="2" t="s">
        <v>44</v>
      </c>
      <c r="D8" s="2" t="s">
        <v>44</v>
      </c>
      <c r="E8" s="2" t="s">
        <v>153</v>
      </c>
      <c r="F8" s="2" t="s">
        <v>154</v>
      </c>
      <c r="G8" s="3" t="s">
        <v>155</v>
      </c>
      <c r="H8" s="2"/>
      <c r="I8" s="2" t="s">
        <v>74</v>
      </c>
      <c r="J8" s="3" t="s">
        <v>156</v>
      </c>
      <c r="K8" s="2" t="s">
        <v>51</v>
      </c>
      <c r="L8" s="2" t="s">
        <v>52</v>
      </c>
      <c r="M8" s="2"/>
      <c r="N8" s="2"/>
      <c r="O8" s="2"/>
      <c r="P8" s="2" t="n">
        <v>40.2134</v>
      </c>
      <c r="Q8" s="2" t="n">
        <v>26.3893</v>
      </c>
      <c r="R8" s="2" t="s">
        <v>54</v>
      </c>
      <c r="S8" s="2" t="n">
        <v>-650</v>
      </c>
      <c r="T8" s="2" t="s">
        <v>125</v>
      </c>
      <c r="U8" s="2" t="s">
        <v>96</v>
      </c>
      <c r="V8" s="2" t="s">
        <v>78</v>
      </c>
      <c r="W8" s="2" t="s">
        <v>58</v>
      </c>
      <c r="X8" s="2" t="s">
        <v>59</v>
      </c>
      <c r="Y8" s="2" t="s">
        <v>126</v>
      </c>
      <c r="Z8" s="2" t="s">
        <v>61</v>
      </c>
      <c r="AA8" s="2" t="s">
        <v>127</v>
      </c>
      <c r="AB8" s="2" t="s">
        <v>81</v>
      </c>
      <c r="AC8" s="2"/>
      <c r="AD8" s="2"/>
      <c r="AE8" s="3"/>
      <c r="AF8" s="3" t="s">
        <v>157</v>
      </c>
      <c r="AG8" s="2"/>
      <c r="AH8" s="2" t="s">
        <v>54</v>
      </c>
      <c r="AI8" s="3" t="s">
        <v>158</v>
      </c>
      <c r="AJ8" s="3" t="s">
        <v>159</v>
      </c>
      <c r="AK8" s="2" t="n">
        <v>501609</v>
      </c>
      <c r="AL8" s="3" t="s">
        <v>132</v>
      </c>
      <c r="AM8" s="2"/>
      <c r="AN8" s="2"/>
      <c r="AO8" s="3" t="s">
        <v>160</v>
      </c>
      <c r="AP8" s="3" t="s">
        <v>161</v>
      </c>
      <c r="AQ8" s="2" t="s">
        <v>151</v>
      </c>
    </row>
    <row r="9" customFormat="false" ht="35.05" hidden="false" customHeight="false" outlineLevel="0" collapsed="false">
      <c r="A9" s="2" t="n">
        <v>8</v>
      </c>
      <c r="B9" s="2" t="s">
        <v>162</v>
      </c>
      <c r="C9" s="2" t="s">
        <v>44</v>
      </c>
      <c r="D9" s="2" t="s">
        <v>44</v>
      </c>
      <c r="E9" s="2" t="s">
        <v>163</v>
      </c>
      <c r="F9" s="2" t="s">
        <v>164</v>
      </c>
      <c r="G9" s="3" t="s">
        <v>165</v>
      </c>
      <c r="H9" s="2"/>
      <c r="I9" s="2" t="s">
        <v>93</v>
      </c>
      <c r="J9" s="3" t="s">
        <v>166</v>
      </c>
      <c r="K9" s="2" t="s">
        <v>51</v>
      </c>
      <c r="L9" s="2" t="s">
        <v>52</v>
      </c>
      <c r="M9" s="2"/>
      <c r="N9" s="2"/>
      <c r="O9" s="2"/>
      <c r="P9" s="2" t="n">
        <v>40.3315</v>
      </c>
      <c r="Q9" s="2" t="n">
        <v>26.5994</v>
      </c>
      <c r="R9" s="2" t="s">
        <v>95</v>
      </c>
      <c r="S9" s="2" t="n">
        <v>-405</v>
      </c>
      <c r="T9" s="2" t="s">
        <v>167</v>
      </c>
      <c r="U9" s="2" t="s">
        <v>56</v>
      </c>
      <c r="V9" s="2" t="s">
        <v>57</v>
      </c>
      <c r="W9" s="2" t="s">
        <v>168</v>
      </c>
      <c r="X9" s="2" t="s">
        <v>169</v>
      </c>
      <c r="Y9" s="2" t="s">
        <v>81</v>
      </c>
      <c r="Z9" s="2" t="s">
        <v>170</v>
      </c>
      <c r="AA9" s="2"/>
      <c r="AB9" s="2" t="s">
        <v>81</v>
      </c>
      <c r="AC9" s="2"/>
      <c r="AD9" s="2"/>
      <c r="AE9" s="3"/>
      <c r="AF9" s="3" t="s">
        <v>171</v>
      </c>
      <c r="AG9" s="2"/>
      <c r="AH9" s="2" t="s">
        <v>113</v>
      </c>
      <c r="AI9" s="3" t="s">
        <v>172</v>
      </c>
      <c r="AJ9" s="3" t="s">
        <v>173</v>
      </c>
      <c r="AK9" s="2" t="n">
        <v>501336</v>
      </c>
      <c r="AL9" s="3" t="s">
        <v>174</v>
      </c>
      <c r="AM9" s="2"/>
      <c r="AN9" s="2"/>
      <c r="AO9" s="3" t="s">
        <v>104</v>
      </c>
      <c r="AP9" s="3" t="s">
        <v>175</v>
      </c>
      <c r="AQ9" s="2" t="s">
        <v>106</v>
      </c>
    </row>
    <row r="10" customFormat="false" ht="23.85" hidden="false" customHeight="false" outlineLevel="0" collapsed="false">
      <c r="A10" s="2" t="n">
        <v>9</v>
      </c>
      <c r="B10" s="2" t="s">
        <v>176</v>
      </c>
      <c r="C10" s="2" t="s">
        <v>44</v>
      </c>
      <c r="D10" s="2" t="s">
        <v>44</v>
      </c>
      <c r="E10" s="2" t="s">
        <v>177</v>
      </c>
      <c r="F10" s="2" t="s">
        <v>178</v>
      </c>
      <c r="G10" s="3" t="s">
        <v>179</v>
      </c>
      <c r="H10" s="2"/>
      <c r="I10" s="2" t="s">
        <v>93</v>
      </c>
      <c r="J10" s="3" t="s">
        <v>180</v>
      </c>
      <c r="K10" s="2" t="s">
        <v>51</v>
      </c>
      <c r="L10" s="2" t="s">
        <v>52</v>
      </c>
      <c r="M10" s="2"/>
      <c r="N10" s="2"/>
      <c r="O10" s="2"/>
      <c r="P10" s="2" t="n">
        <v>40.4067</v>
      </c>
      <c r="Q10" s="2" t="n">
        <v>26.6517</v>
      </c>
      <c r="R10" s="2" t="s">
        <v>95</v>
      </c>
      <c r="S10" s="2" t="n">
        <v>-555</v>
      </c>
      <c r="T10" s="2" t="s">
        <v>181</v>
      </c>
      <c r="U10" s="2" t="s">
        <v>96</v>
      </c>
      <c r="V10" s="2" t="s">
        <v>57</v>
      </c>
      <c r="W10" s="2" t="s">
        <v>58</v>
      </c>
      <c r="X10" s="2" t="s">
        <v>59</v>
      </c>
      <c r="Y10" s="2" t="s">
        <v>182</v>
      </c>
      <c r="Z10" s="2" t="s">
        <v>61</v>
      </c>
      <c r="AA10" s="2" t="s">
        <v>62</v>
      </c>
      <c r="AB10" s="2" t="s">
        <v>81</v>
      </c>
      <c r="AC10" s="2"/>
      <c r="AD10" s="2"/>
      <c r="AE10" s="3"/>
      <c r="AF10" s="3" t="s">
        <v>183</v>
      </c>
      <c r="AG10" s="2"/>
      <c r="AH10" s="2" t="s">
        <v>113</v>
      </c>
      <c r="AI10" s="3" t="s">
        <v>184</v>
      </c>
      <c r="AJ10" s="3" t="s">
        <v>185</v>
      </c>
      <c r="AK10" s="2" t="n">
        <v>501485</v>
      </c>
      <c r="AL10" s="3" t="s">
        <v>186</v>
      </c>
      <c r="AM10" s="2"/>
      <c r="AN10" s="2"/>
      <c r="AO10" s="3" t="s">
        <v>104</v>
      </c>
      <c r="AP10" s="3" t="s">
        <v>187</v>
      </c>
      <c r="AQ10" s="2" t="s">
        <v>106</v>
      </c>
    </row>
    <row r="11" customFormat="false" ht="35.05" hidden="false" customHeight="false" outlineLevel="0" collapsed="false">
      <c r="A11" s="2" t="n">
        <v>10</v>
      </c>
      <c r="B11" s="2" t="s">
        <v>188</v>
      </c>
      <c r="C11" s="2" t="s">
        <v>44</v>
      </c>
      <c r="D11" s="2" t="s">
        <v>44</v>
      </c>
      <c r="E11" s="2" t="s">
        <v>189</v>
      </c>
      <c r="F11" s="2" t="s">
        <v>190</v>
      </c>
      <c r="G11" s="3" t="s">
        <v>191</v>
      </c>
      <c r="H11" s="2" t="s">
        <v>192</v>
      </c>
      <c r="I11" s="2" t="s">
        <v>123</v>
      </c>
      <c r="J11" s="3" t="s">
        <v>193</v>
      </c>
      <c r="K11" s="2" t="s">
        <v>51</v>
      </c>
      <c r="L11" s="2" t="s">
        <v>52</v>
      </c>
      <c r="M11" s="2" t="s">
        <v>192</v>
      </c>
      <c r="N11" s="2"/>
      <c r="O11" s="2" t="s">
        <v>5</v>
      </c>
      <c r="P11" s="2" t="n">
        <v>40.4139</v>
      </c>
      <c r="Q11" s="2" t="n">
        <v>26.6808</v>
      </c>
      <c r="R11" s="2" t="s">
        <v>54</v>
      </c>
      <c r="S11" s="2" t="n">
        <v>-200</v>
      </c>
      <c r="T11" s="2" t="s">
        <v>194</v>
      </c>
      <c r="U11" s="2" t="s">
        <v>56</v>
      </c>
      <c r="V11" s="2" t="s">
        <v>57</v>
      </c>
      <c r="W11" s="2" t="s">
        <v>195</v>
      </c>
      <c r="X11" s="2" t="s">
        <v>169</v>
      </c>
      <c r="Y11" s="2" t="s">
        <v>81</v>
      </c>
      <c r="Z11" s="2" t="s">
        <v>170</v>
      </c>
      <c r="AA11" s="2"/>
      <c r="AB11" s="2" t="s">
        <v>81</v>
      </c>
      <c r="AC11" s="2"/>
      <c r="AD11" s="2"/>
      <c r="AE11" s="3"/>
      <c r="AF11" s="3" t="s">
        <v>196</v>
      </c>
      <c r="AG11" s="2"/>
      <c r="AH11" s="2" t="s">
        <v>54</v>
      </c>
      <c r="AI11" s="3" t="s">
        <v>197</v>
      </c>
      <c r="AJ11" s="3" t="s">
        <v>198</v>
      </c>
      <c r="AK11" s="2" t="n">
        <v>501450</v>
      </c>
      <c r="AL11" s="3" t="s">
        <v>199</v>
      </c>
      <c r="AM11" s="2"/>
      <c r="AN11" s="2" t="s">
        <v>200</v>
      </c>
      <c r="AO11" s="3" t="s">
        <v>201</v>
      </c>
      <c r="AP11" s="3" t="s">
        <v>202</v>
      </c>
      <c r="AQ11" s="2" t="s">
        <v>151</v>
      </c>
    </row>
    <row r="12" customFormat="false" ht="35.05" hidden="false" customHeight="false" outlineLevel="0" collapsed="false">
      <c r="A12" s="2" t="n">
        <v>11</v>
      </c>
      <c r="B12" s="2" t="s">
        <v>203</v>
      </c>
      <c r="C12" s="2" t="s">
        <v>44</v>
      </c>
      <c r="D12" s="2" t="s">
        <v>44</v>
      </c>
      <c r="E12" s="2" t="s">
        <v>204</v>
      </c>
      <c r="F12" s="2" t="s">
        <v>205</v>
      </c>
      <c r="G12" s="3" t="s">
        <v>206</v>
      </c>
      <c r="H12" s="2"/>
      <c r="I12" s="2" t="s">
        <v>93</v>
      </c>
      <c r="J12" s="3" t="s">
        <v>207</v>
      </c>
      <c r="K12" s="2" t="s">
        <v>51</v>
      </c>
      <c r="L12" s="2" t="s">
        <v>52</v>
      </c>
      <c r="M12" s="2"/>
      <c r="N12" s="2"/>
      <c r="O12" s="2"/>
      <c r="P12" s="2" t="n">
        <v>40.4854</v>
      </c>
      <c r="Q12" s="2" t="n">
        <v>26.7807</v>
      </c>
      <c r="R12" s="2" t="s">
        <v>95</v>
      </c>
      <c r="S12" s="2" t="n">
        <v>-555</v>
      </c>
      <c r="T12" s="2" t="s">
        <v>181</v>
      </c>
      <c r="U12" s="2" t="s">
        <v>96</v>
      </c>
      <c r="V12" s="2" t="s">
        <v>57</v>
      </c>
      <c r="W12" s="2" t="s">
        <v>58</v>
      </c>
      <c r="X12" s="2" t="s">
        <v>59</v>
      </c>
      <c r="Y12" s="2" t="s">
        <v>182</v>
      </c>
      <c r="Z12" s="2" t="s">
        <v>61</v>
      </c>
      <c r="AA12" s="2" t="s">
        <v>62</v>
      </c>
      <c r="AB12" s="2" t="s">
        <v>81</v>
      </c>
      <c r="AC12" s="2"/>
      <c r="AD12" s="2"/>
      <c r="AE12" s="3"/>
      <c r="AF12" s="3" t="s">
        <v>208</v>
      </c>
      <c r="AG12" s="2"/>
      <c r="AH12" s="2" t="s">
        <v>54</v>
      </c>
      <c r="AI12" s="3" t="s">
        <v>209</v>
      </c>
      <c r="AJ12" s="3" t="s">
        <v>210</v>
      </c>
      <c r="AK12" s="2" t="n">
        <v>501546</v>
      </c>
      <c r="AL12" s="3" t="s">
        <v>211</v>
      </c>
      <c r="AM12" s="2"/>
      <c r="AN12" s="2"/>
      <c r="AO12" s="3" t="s">
        <v>212</v>
      </c>
      <c r="AP12" s="3" t="s">
        <v>213</v>
      </c>
      <c r="AQ12" s="2" t="s">
        <v>89</v>
      </c>
    </row>
    <row r="13" customFormat="false" ht="46.25" hidden="false" customHeight="false" outlineLevel="0" collapsed="false">
      <c r="A13" s="2" t="n">
        <v>12</v>
      </c>
      <c r="B13" s="2" t="s">
        <v>214</v>
      </c>
      <c r="C13" s="2" t="s">
        <v>44</v>
      </c>
      <c r="D13" s="2" t="s">
        <v>44</v>
      </c>
      <c r="E13" s="2" t="s">
        <v>215</v>
      </c>
      <c r="F13" s="2" t="s">
        <v>216</v>
      </c>
      <c r="G13" s="3" t="s">
        <v>217</v>
      </c>
      <c r="H13" s="2"/>
      <c r="I13" s="2" t="s">
        <v>93</v>
      </c>
      <c r="J13" s="3" t="s">
        <v>218</v>
      </c>
      <c r="K13" s="2" t="s">
        <v>51</v>
      </c>
      <c r="L13" s="2" t="s">
        <v>52</v>
      </c>
      <c r="M13" s="2"/>
      <c r="N13" s="2"/>
      <c r="O13" s="2"/>
      <c r="P13" s="2" t="n">
        <v>40.5135</v>
      </c>
      <c r="Q13" s="2" t="n">
        <v>26.7864</v>
      </c>
      <c r="R13" s="2" t="s">
        <v>95</v>
      </c>
      <c r="S13" s="2" t="n">
        <v>-560</v>
      </c>
      <c r="T13" s="2" t="s">
        <v>219</v>
      </c>
      <c r="U13" s="2" t="s">
        <v>96</v>
      </c>
      <c r="V13" s="2" t="s">
        <v>57</v>
      </c>
      <c r="W13" s="2" t="s">
        <v>58</v>
      </c>
      <c r="X13" s="2" t="s">
        <v>59</v>
      </c>
      <c r="Y13" s="2" t="s">
        <v>182</v>
      </c>
      <c r="Z13" s="2" t="s">
        <v>61</v>
      </c>
      <c r="AA13" s="2" t="s">
        <v>62</v>
      </c>
      <c r="AB13" s="2" t="s">
        <v>81</v>
      </c>
      <c r="AC13" s="2"/>
      <c r="AD13" s="2"/>
      <c r="AE13" s="3"/>
      <c r="AF13" s="3" t="s">
        <v>220</v>
      </c>
      <c r="AG13" s="2"/>
      <c r="AH13" s="2" t="s">
        <v>113</v>
      </c>
      <c r="AI13" s="3" t="s">
        <v>221</v>
      </c>
      <c r="AJ13" s="3" t="s">
        <v>222</v>
      </c>
      <c r="AK13" s="2" t="n">
        <v>501332</v>
      </c>
      <c r="AL13" s="3" t="s">
        <v>223</v>
      </c>
      <c r="AM13" s="2"/>
      <c r="AN13" s="2"/>
      <c r="AO13" s="3" t="s">
        <v>224</v>
      </c>
      <c r="AP13" s="3" t="s">
        <v>225</v>
      </c>
      <c r="AQ13" s="2" t="s">
        <v>89</v>
      </c>
    </row>
    <row r="14" customFormat="false" ht="46.25" hidden="false" customHeight="false" outlineLevel="0" collapsed="false">
      <c r="A14" s="2" t="n">
        <v>13</v>
      </c>
      <c r="B14" s="2" t="s">
        <v>226</v>
      </c>
      <c r="C14" s="2" t="s">
        <v>44</v>
      </c>
      <c r="D14" s="2" t="s">
        <v>44</v>
      </c>
      <c r="E14" s="2" t="s">
        <v>227</v>
      </c>
      <c r="F14" s="2" t="s">
        <v>228</v>
      </c>
      <c r="G14" s="3" t="s">
        <v>229</v>
      </c>
      <c r="H14" s="2"/>
      <c r="I14" s="2" t="s">
        <v>93</v>
      </c>
      <c r="J14" s="3" t="s">
        <v>230</v>
      </c>
      <c r="K14" s="2" t="s">
        <v>51</v>
      </c>
      <c r="L14" s="2" t="s">
        <v>52</v>
      </c>
      <c r="M14" s="2"/>
      <c r="N14" s="2"/>
      <c r="O14" s="2"/>
      <c r="P14" s="2" t="n">
        <v>40.5482</v>
      </c>
      <c r="Q14" s="2" t="n">
        <v>26.7508</v>
      </c>
      <c r="R14" s="2" t="s">
        <v>95</v>
      </c>
      <c r="S14" s="2" t="n">
        <v>-650</v>
      </c>
      <c r="T14" s="2" t="s">
        <v>125</v>
      </c>
      <c r="U14" s="2" t="s">
        <v>96</v>
      </c>
      <c r="V14" s="2" t="s">
        <v>78</v>
      </c>
      <c r="W14" s="2" t="s">
        <v>58</v>
      </c>
      <c r="X14" s="2" t="s">
        <v>59</v>
      </c>
      <c r="Y14" s="2" t="s">
        <v>231</v>
      </c>
      <c r="Z14" s="2" t="s">
        <v>61</v>
      </c>
      <c r="AA14" s="2" t="s">
        <v>232</v>
      </c>
      <c r="AB14" s="2" t="s">
        <v>81</v>
      </c>
      <c r="AC14" s="2"/>
      <c r="AD14" s="2"/>
      <c r="AE14" s="3"/>
      <c r="AF14" s="3" t="s">
        <v>233</v>
      </c>
      <c r="AG14" s="2"/>
      <c r="AH14" s="2" t="s">
        <v>54</v>
      </c>
      <c r="AI14" s="3" t="s">
        <v>234</v>
      </c>
      <c r="AJ14" s="3" t="s">
        <v>235</v>
      </c>
      <c r="AK14" s="2" t="n">
        <v>501458</v>
      </c>
      <c r="AL14" s="3" t="s">
        <v>236</v>
      </c>
      <c r="AM14" s="2"/>
      <c r="AN14" s="2"/>
      <c r="AO14" s="3" t="s">
        <v>237</v>
      </c>
      <c r="AP14" s="3" t="s">
        <v>238</v>
      </c>
      <c r="AQ14" s="2" t="s">
        <v>89</v>
      </c>
    </row>
    <row r="15" customFormat="false" ht="113.4" hidden="false" customHeight="false" outlineLevel="0" collapsed="false">
      <c r="A15" s="2" t="n">
        <v>14</v>
      </c>
      <c r="B15" s="2" t="s">
        <v>239</v>
      </c>
      <c r="C15" s="2" t="s">
        <v>44</v>
      </c>
      <c r="D15" s="2" t="s">
        <v>44</v>
      </c>
      <c r="E15" s="2" t="s">
        <v>240</v>
      </c>
      <c r="F15" s="2" t="s">
        <v>241</v>
      </c>
      <c r="G15" s="3" t="s">
        <v>242</v>
      </c>
      <c r="H15" s="2"/>
      <c r="I15" s="2" t="s">
        <v>74</v>
      </c>
      <c r="J15" s="3" t="s">
        <v>243</v>
      </c>
      <c r="K15" s="2" t="s">
        <v>51</v>
      </c>
      <c r="L15" s="2" t="s">
        <v>52</v>
      </c>
      <c r="M15" s="2"/>
      <c r="N15" s="2"/>
      <c r="O15" s="2"/>
      <c r="P15" s="2" t="n">
        <v>40.583</v>
      </c>
      <c r="Q15" s="2" t="n">
        <v>26.883</v>
      </c>
      <c r="R15" s="2" t="s">
        <v>95</v>
      </c>
      <c r="S15" s="2" t="n">
        <v>-309</v>
      </c>
      <c r="T15" s="2" t="s">
        <v>244</v>
      </c>
      <c r="U15" s="2" t="s">
        <v>139</v>
      </c>
      <c r="V15" s="2" t="s">
        <v>245</v>
      </c>
      <c r="W15" s="2" t="s">
        <v>195</v>
      </c>
      <c r="X15" s="2" t="s">
        <v>246</v>
      </c>
      <c r="Y15" s="2" t="s">
        <v>247</v>
      </c>
      <c r="Z15" s="2" t="s">
        <v>248</v>
      </c>
      <c r="AA15" s="2"/>
      <c r="AB15" s="2" t="s">
        <v>81</v>
      </c>
      <c r="AC15" s="2"/>
      <c r="AD15" s="2"/>
      <c r="AE15" s="3"/>
      <c r="AF15" s="3" t="s">
        <v>249</v>
      </c>
      <c r="AG15" s="2"/>
      <c r="AH15" s="2" t="s">
        <v>54</v>
      </c>
      <c r="AI15" s="3" t="s">
        <v>250</v>
      </c>
      <c r="AJ15" s="3" t="s">
        <v>251</v>
      </c>
      <c r="AK15" s="2" t="n">
        <v>501458</v>
      </c>
      <c r="AL15" s="3" t="s">
        <v>252</v>
      </c>
      <c r="AM15" s="2"/>
      <c r="AN15" s="2"/>
      <c r="AO15" s="3" t="s">
        <v>253</v>
      </c>
      <c r="AP15" s="3" t="s">
        <v>254</v>
      </c>
      <c r="AQ15" s="2" t="s">
        <v>89</v>
      </c>
    </row>
    <row r="16" customFormat="false" ht="23.85" hidden="false" customHeight="false" outlineLevel="0" collapsed="false">
      <c r="A16" s="2" t="n">
        <v>15</v>
      </c>
      <c r="B16" s="2" t="s">
        <v>255</v>
      </c>
      <c r="C16" s="2" t="s">
        <v>44</v>
      </c>
      <c r="D16" s="2" t="s">
        <v>44</v>
      </c>
      <c r="E16" s="2" t="s">
        <v>256</v>
      </c>
      <c r="F16" s="2" t="s">
        <v>257</v>
      </c>
      <c r="G16" s="3" t="s">
        <v>258</v>
      </c>
      <c r="H16" s="2"/>
      <c r="I16" s="2" t="s">
        <v>93</v>
      </c>
      <c r="J16" s="3" t="s">
        <v>218</v>
      </c>
      <c r="K16" s="2" t="s">
        <v>51</v>
      </c>
      <c r="L16" s="2" t="s">
        <v>52</v>
      </c>
      <c r="M16" s="2"/>
      <c r="N16" s="2"/>
      <c r="O16" s="2"/>
      <c r="P16" s="2" t="n">
        <v>40.5387</v>
      </c>
      <c r="Q16" s="2" t="n">
        <v>26.8346</v>
      </c>
      <c r="R16" s="2" t="s">
        <v>95</v>
      </c>
      <c r="S16" s="2" t="n">
        <v>75</v>
      </c>
      <c r="T16" s="2" t="s">
        <v>259</v>
      </c>
      <c r="U16" s="2" t="s">
        <v>139</v>
      </c>
      <c r="V16" s="2" t="s">
        <v>97</v>
      </c>
      <c r="W16" s="2" t="s">
        <v>140</v>
      </c>
      <c r="X16" s="2" t="s">
        <v>141</v>
      </c>
      <c r="Y16" s="2" t="s">
        <v>260</v>
      </c>
      <c r="Z16" s="2" t="s">
        <v>143</v>
      </c>
      <c r="AA16" s="2"/>
      <c r="AB16" s="2" t="s">
        <v>81</v>
      </c>
      <c r="AC16" s="2"/>
      <c r="AD16" s="2"/>
      <c r="AE16" s="3"/>
      <c r="AF16" s="3" t="s">
        <v>261</v>
      </c>
      <c r="AG16" s="2" t="s">
        <v>262</v>
      </c>
      <c r="AH16" s="2" t="s">
        <v>263</v>
      </c>
      <c r="AI16" s="3" t="s">
        <v>264</v>
      </c>
      <c r="AJ16" s="3" t="s">
        <v>265</v>
      </c>
      <c r="AK16" s="2" t="n">
        <v>501352</v>
      </c>
      <c r="AL16" s="3" t="s">
        <v>266</v>
      </c>
      <c r="AM16" s="2"/>
      <c r="AN16" s="2"/>
      <c r="AO16" s="3" t="s">
        <v>104</v>
      </c>
      <c r="AP16" s="3" t="s">
        <v>267</v>
      </c>
      <c r="AQ16" s="2" t="s">
        <v>106</v>
      </c>
    </row>
    <row r="17" customFormat="false" ht="46.25" hidden="false" customHeight="false" outlineLevel="0" collapsed="false">
      <c r="A17" s="2" t="n">
        <v>16</v>
      </c>
      <c r="B17" s="2" t="s">
        <v>268</v>
      </c>
      <c r="C17" s="2" t="s">
        <v>44</v>
      </c>
      <c r="D17" s="2" t="s">
        <v>44</v>
      </c>
      <c r="E17" s="2" t="s">
        <v>269</v>
      </c>
      <c r="F17" s="2" t="s">
        <v>270</v>
      </c>
      <c r="G17" s="3" t="s">
        <v>271</v>
      </c>
      <c r="H17" s="2" t="s">
        <v>272</v>
      </c>
      <c r="I17" s="2" t="s">
        <v>123</v>
      </c>
      <c r="J17" s="3" t="s">
        <v>273</v>
      </c>
      <c r="K17" s="2" t="s">
        <v>274</v>
      </c>
      <c r="L17" s="2" t="s">
        <v>52</v>
      </c>
      <c r="M17" s="2" t="s">
        <v>272</v>
      </c>
      <c r="N17" s="2"/>
      <c r="O17" s="2" t="s">
        <v>5</v>
      </c>
      <c r="P17" s="2" t="n">
        <v>40.7249</v>
      </c>
      <c r="Q17" s="2" t="n">
        <v>26.0857</v>
      </c>
      <c r="R17" s="2" t="s">
        <v>54</v>
      </c>
      <c r="S17" s="2" t="n">
        <v>-650</v>
      </c>
      <c r="T17" s="2" t="s">
        <v>125</v>
      </c>
      <c r="U17" s="2" t="s">
        <v>96</v>
      </c>
      <c r="V17" s="2" t="s">
        <v>78</v>
      </c>
      <c r="W17" s="2" t="s">
        <v>58</v>
      </c>
      <c r="X17" s="2" t="s">
        <v>59</v>
      </c>
      <c r="Y17" s="2" t="s">
        <v>275</v>
      </c>
      <c r="Z17" s="2" t="s">
        <v>61</v>
      </c>
      <c r="AA17" s="2" t="s">
        <v>276</v>
      </c>
      <c r="AB17" s="2" t="s">
        <v>63</v>
      </c>
      <c r="AC17" s="2" t="s">
        <v>64</v>
      </c>
      <c r="AD17" s="2"/>
      <c r="AE17" s="3" t="s">
        <v>277</v>
      </c>
      <c r="AF17" s="3" t="s">
        <v>278</v>
      </c>
      <c r="AG17" s="2"/>
      <c r="AH17" s="2" t="s">
        <v>54</v>
      </c>
      <c r="AI17" s="3" t="s">
        <v>279</v>
      </c>
      <c r="AJ17" s="3" t="s">
        <v>280</v>
      </c>
      <c r="AK17" s="2" t="n">
        <v>501337</v>
      </c>
      <c r="AL17" s="3" t="s">
        <v>281</v>
      </c>
      <c r="AM17" s="2"/>
      <c r="AN17" s="2" t="s">
        <v>200</v>
      </c>
      <c r="AO17" s="3"/>
      <c r="AP17" s="3"/>
      <c r="AQ17" s="2"/>
    </row>
    <row r="18" customFormat="false" ht="35.05" hidden="false" customHeight="false" outlineLevel="0" collapsed="false">
      <c r="A18" s="2" t="n">
        <v>17</v>
      </c>
      <c r="B18" s="2" t="s">
        <v>282</v>
      </c>
      <c r="C18" s="2" t="s">
        <v>44</v>
      </c>
      <c r="D18" s="2" t="s">
        <v>44</v>
      </c>
      <c r="E18" s="2" t="s">
        <v>283</v>
      </c>
      <c r="F18" s="2" t="s">
        <v>284</v>
      </c>
      <c r="G18" s="3" t="s">
        <v>285</v>
      </c>
      <c r="H18" s="2" t="s">
        <v>286</v>
      </c>
      <c r="I18" s="2" t="s">
        <v>123</v>
      </c>
      <c r="J18" s="3" t="s">
        <v>287</v>
      </c>
      <c r="K18" s="2" t="s">
        <v>274</v>
      </c>
      <c r="L18" s="2" t="s">
        <v>52</v>
      </c>
      <c r="M18" s="2" t="s">
        <v>286</v>
      </c>
      <c r="N18" s="2"/>
      <c r="O18" s="2" t="s">
        <v>5</v>
      </c>
      <c r="P18" s="2" t="n">
        <v>40.9245</v>
      </c>
      <c r="Q18" s="2" t="n">
        <v>26.3921</v>
      </c>
      <c r="R18" s="2" t="s">
        <v>54</v>
      </c>
      <c r="S18" s="2" t="n">
        <v>-400</v>
      </c>
      <c r="T18" s="2" t="s">
        <v>288</v>
      </c>
      <c r="U18" s="2" t="s">
        <v>56</v>
      </c>
      <c r="V18" s="2" t="s">
        <v>78</v>
      </c>
      <c r="W18" s="2" t="s">
        <v>168</v>
      </c>
      <c r="X18" s="2" t="s">
        <v>289</v>
      </c>
      <c r="Y18" s="2"/>
      <c r="Z18" s="2" t="s">
        <v>170</v>
      </c>
      <c r="AA18" s="2"/>
      <c r="AB18" s="2" t="s">
        <v>63</v>
      </c>
      <c r="AC18" s="2" t="s">
        <v>64</v>
      </c>
      <c r="AD18" s="2"/>
      <c r="AE18" s="3" t="s">
        <v>290</v>
      </c>
      <c r="AF18" s="3" t="s">
        <v>291</v>
      </c>
      <c r="AG18" s="2" t="s">
        <v>292</v>
      </c>
      <c r="AH18" s="2" t="s">
        <v>113</v>
      </c>
      <c r="AI18" s="3" t="s">
        <v>293</v>
      </c>
      <c r="AJ18" s="3" t="s">
        <v>294</v>
      </c>
      <c r="AK18" s="2" t="n">
        <v>501489</v>
      </c>
      <c r="AL18" s="3" t="s">
        <v>295</v>
      </c>
      <c r="AM18" s="2"/>
      <c r="AN18" s="2" t="s">
        <v>200</v>
      </c>
      <c r="AO18" s="3"/>
      <c r="AP18" s="3"/>
      <c r="AQ18" s="2"/>
    </row>
    <row r="19" customFormat="false" ht="35.05" hidden="false" customHeight="false" outlineLevel="0" collapsed="false">
      <c r="A19" s="2" t="n">
        <v>18</v>
      </c>
      <c r="B19" s="2" t="s">
        <v>296</v>
      </c>
      <c r="C19" s="2" t="s">
        <v>44</v>
      </c>
      <c r="D19" s="2" t="s">
        <v>44</v>
      </c>
      <c r="E19" s="2" t="s">
        <v>297</v>
      </c>
      <c r="F19" s="2" t="s">
        <v>298</v>
      </c>
      <c r="G19" s="3" t="s">
        <v>299</v>
      </c>
      <c r="H19" s="2" t="s">
        <v>300</v>
      </c>
      <c r="I19" s="2" t="s">
        <v>123</v>
      </c>
      <c r="J19" s="3" t="s">
        <v>301</v>
      </c>
      <c r="K19" s="2" t="s">
        <v>302</v>
      </c>
      <c r="L19" s="2" t="s">
        <v>52</v>
      </c>
      <c r="M19" s="2" t="s">
        <v>300</v>
      </c>
      <c r="N19" s="2"/>
      <c r="O19" s="2" t="s">
        <v>53</v>
      </c>
      <c r="P19" s="2" t="n">
        <v>40.6177</v>
      </c>
      <c r="Q19" s="2" t="n">
        <v>27.1141</v>
      </c>
      <c r="R19" s="2" t="s">
        <v>54</v>
      </c>
      <c r="S19" s="2" t="n">
        <v>1170</v>
      </c>
      <c r="T19" s="2" t="s">
        <v>303</v>
      </c>
      <c r="U19" s="2" t="s">
        <v>56</v>
      </c>
      <c r="V19" s="2" t="s">
        <v>57</v>
      </c>
      <c r="W19" s="2" t="s">
        <v>304</v>
      </c>
      <c r="X19" s="2" t="s">
        <v>169</v>
      </c>
      <c r="Y19" s="2"/>
      <c r="Z19" s="2" t="s">
        <v>170</v>
      </c>
      <c r="AA19" s="2"/>
      <c r="AB19" s="2" t="s">
        <v>81</v>
      </c>
      <c r="AC19" s="2"/>
      <c r="AD19" s="2"/>
      <c r="AE19" s="3"/>
      <c r="AF19" s="3" t="s">
        <v>305</v>
      </c>
      <c r="AG19" s="2"/>
      <c r="AH19" s="2" t="s">
        <v>113</v>
      </c>
      <c r="AI19" s="3" t="s">
        <v>306</v>
      </c>
      <c r="AJ19" s="3" t="s">
        <v>307</v>
      </c>
      <c r="AK19" s="2" t="n">
        <v>511449</v>
      </c>
      <c r="AL19" s="3" t="s">
        <v>308</v>
      </c>
      <c r="AM19" s="2"/>
      <c r="AN19" s="2"/>
      <c r="AO19" s="3" t="s">
        <v>309</v>
      </c>
      <c r="AP19" s="3" t="s">
        <v>310</v>
      </c>
      <c r="AQ19" s="2" t="s">
        <v>151</v>
      </c>
    </row>
    <row r="20" customFormat="false" ht="79.85" hidden="false" customHeight="false" outlineLevel="0" collapsed="false">
      <c r="A20" s="2" t="n">
        <v>19</v>
      </c>
      <c r="B20" s="2" t="s">
        <v>311</v>
      </c>
      <c r="C20" s="2" t="s">
        <v>44</v>
      </c>
      <c r="D20" s="2" t="s">
        <v>44</v>
      </c>
      <c r="E20" s="2" t="s">
        <v>312</v>
      </c>
      <c r="F20" s="2" t="s">
        <v>313</v>
      </c>
      <c r="G20" s="3" t="s">
        <v>314</v>
      </c>
      <c r="H20" s="2" t="s">
        <v>315</v>
      </c>
      <c r="I20" s="2" t="s">
        <v>49</v>
      </c>
      <c r="J20" s="3" t="s">
        <v>316</v>
      </c>
      <c r="K20" s="2" t="s">
        <v>302</v>
      </c>
      <c r="L20" s="2" t="s">
        <v>52</v>
      </c>
      <c r="M20" s="2"/>
      <c r="N20" s="2"/>
      <c r="O20" s="2" t="s">
        <v>53</v>
      </c>
      <c r="P20" s="2" t="n">
        <v>40.7505</v>
      </c>
      <c r="Q20" s="2" t="n">
        <v>27.3244</v>
      </c>
      <c r="R20" s="2" t="s">
        <v>54</v>
      </c>
      <c r="S20" s="2" t="n">
        <v>-428</v>
      </c>
      <c r="T20" s="2" t="s">
        <v>317</v>
      </c>
      <c r="U20" s="2" t="s">
        <v>56</v>
      </c>
      <c r="V20" s="2" t="s">
        <v>57</v>
      </c>
      <c r="W20" s="2" t="s">
        <v>168</v>
      </c>
      <c r="X20" s="2" t="s">
        <v>59</v>
      </c>
      <c r="Y20" s="2" t="s">
        <v>318</v>
      </c>
      <c r="Z20" s="2" t="s">
        <v>61</v>
      </c>
      <c r="AA20" s="2"/>
      <c r="AB20" s="2" t="s">
        <v>81</v>
      </c>
      <c r="AC20" s="2"/>
      <c r="AD20" s="2"/>
      <c r="AE20" s="3"/>
      <c r="AF20" s="3" t="s">
        <v>319</v>
      </c>
      <c r="AG20" s="2"/>
      <c r="AH20" s="2" t="s">
        <v>113</v>
      </c>
      <c r="AI20" s="3" t="s">
        <v>320</v>
      </c>
      <c r="AJ20" s="3" t="s">
        <v>321</v>
      </c>
      <c r="AK20" s="2" t="n">
        <v>511415</v>
      </c>
      <c r="AL20" s="3" t="s">
        <v>322</v>
      </c>
      <c r="AM20" s="2"/>
      <c r="AN20" s="2"/>
      <c r="AO20" s="3" t="s">
        <v>323</v>
      </c>
      <c r="AP20" s="3" t="s">
        <v>324</v>
      </c>
      <c r="AQ20" s="2" t="s">
        <v>89</v>
      </c>
    </row>
    <row r="21" customFormat="false" ht="23.85" hidden="false" customHeight="false" outlineLevel="0" collapsed="false">
      <c r="A21" s="2" t="n">
        <v>20</v>
      </c>
      <c r="B21" s="2" t="s">
        <v>325</v>
      </c>
      <c r="C21" s="2" t="s">
        <v>44</v>
      </c>
      <c r="D21" s="2" t="s">
        <v>44</v>
      </c>
      <c r="E21" s="2" t="s">
        <v>326</v>
      </c>
      <c r="F21" s="2" t="s">
        <v>327</v>
      </c>
      <c r="G21" s="3" t="s">
        <v>328</v>
      </c>
      <c r="H21" s="2"/>
      <c r="I21" s="2" t="s">
        <v>93</v>
      </c>
      <c r="J21" s="3" t="s">
        <v>329</v>
      </c>
      <c r="K21" s="2" t="s">
        <v>302</v>
      </c>
      <c r="L21" s="2" t="s">
        <v>52</v>
      </c>
      <c r="M21" s="2"/>
      <c r="N21" s="2"/>
      <c r="O21" s="2"/>
      <c r="P21" s="2" t="n">
        <v>40.9143</v>
      </c>
      <c r="Q21" s="2" t="n">
        <v>27.2803</v>
      </c>
      <c r="R21" s="2" t="s">
        <v>95</v>
      </c>
      <c r="S21" s="2" t="n">
        <v>527</v>
      </c>
      <c r="T21" s="2" t="s">
        <v>330</v>
      </c>
      <c r="U21" s="2" t="s">
        <v>56</v>
      </c>
      <c r="V21" s="2" t="s">
        <v>78</v>
      </c>
      <c r="W21" s="2" t="s">
        <v>304</v>
      </c>
      <c r="X21" s="2" t="s">
        <v>169</v>
      </c>
      <c r="Y21" s="2"/>
      <c r="Z21" s="2" t="s">
        <v>170</v>
      </c>
      <c r="AA21" s="2"/>
      <c r="AB21" s="2" t="s">
        <v>81</v>
      </c>
      <c r="AC21" s="2"/>
      <c r="AD21" s="2"/>
      <c r="AE21" s="3"/>
      <c r="AF21" s="3" t="s">
        <v>331</v>
      </c>
      <c r="AG21" s="2"/>
      <c r="AH21" s="2" t="s">
        <v>113</v>
      </c>
      <c r="AI21" s="3" t="s">
        <v>332</v>
      </c>
      <c r="AJ21" s="3" t="s">
        <v>333</v>
      </c>
      <c r="AK21" s="2" t="n">
        <v>511347</v>
      </c>
      <c r="AL21" s="3" t="s">
        <v>334</v>
      </c>
      <c r="AM21" s="2"/>
      <c r="AN21" s="2"/>
      <c r="AO21" s="3" t="s">
        <v>104</v>
      </c>
      <c r="AP21" s="3" t="s">
        <v>335</v>
      </c>
      <c r="AQ21" s="2" t="s">
        <v>106</v>
      </c>
    </row>
    <row r="22" customFormat="false" ht="68.65" hidden="false" customHeight="false" outlineLevel="0" collapsed="false">
      <c r="A22" s="2" t="n">
        <v>21</v>
      </c>
      <c r="B22" s="2" t="s">
        <v>336</v>
      </c>
      <c r="C22" s="2" t="s">
        <v>44</v>
      </c>
      <c r="D22" s="2" t="s">
        <v>44</v>
      </c>
      <c r="E22" s="2" t="s">
        <v>337</v>
      </c>
      <c r="F22" s="2" t="s">
        <v>338</v>
      </c>
      <c r="G22" s="3" t="s">
        <v>339</v>
      </c>
      <c r="H22" s="2" t="s">
        <v>340</v>
      </c>
      <c r="I22" s="2" t="s">
        <v>49</v>
      </c>
      <c r="J22" s="3" t="s">
        <v>341</v>
      </c>
      <c r="K22" s="2" t="s">
        <v>302</v>
      </c>
      <c r="L22" s="2" t="s">
        <v>52</v>
      </c>
      <c r="M22" s="2"/>
      <c r="N22" s="2"/>
      <c r="O22" s="2" t="s">
        <v>53</v>
      </c>
      <c r="P22" s="2" t="n">
        <v>40.9269</v>
      </c>
      <c r="Q22" s="2" t="n">
        <v>27.1074</v>
      </c>
      <c r="R22" s="2" t="s">
        <v>95</v>
      </c>
      <c r="S22" s="2" t="n">
        <v>46</v>
      </c>
      <c r="T22" s="2" t="s">
        <v>342</v>
      </c>
      <c r="U22" s="2" t="s">
        <v>139</v>
      </c>
      <c r="V22" s="2" t="s">
        <v>57</v>
      </c>
      <c r="W22" s="2" t="s">
        <v>140</v>
      </c>
      <c r="X22" s="2" t="s">
        <v>141</v>
      </c>
      <c r="Y22" s="2" t="s">
        <v>343</v>
      </c>
      <c r="Z22" s="2" t="s">
        <v>143</v>
      </c>
      <c r="AA22" s="2"/>
      <c r="AB22" s="2" t="s">
        <v>63</v>
      </c>
      <c r="AC22" s="2" t="s">
        <v>77</v>
      </c>
      <c r="AD22" s="2"/>
      <c r="AE22" s="3"/>
      <c r="AF22" s="3" t="s">
        <v>344</v>
      </c>
      <c r="AG22" s="2" t="s">
        <v>345</v>
      </c>
      <c r="AH22" s="2" t="s">
        <v>54</v>
      </c>
      <c r="AI22" s="3" t="s">
        <v>346</v>
      </c>
      <c r="AJ22" s="3" t="s">
        <v>347</v>
      </c>
      <c r="AK22" s="2" t="n">
        <v>511153</v>
      </c>
      <c r="AL22" s="3" t="s">
        <v>348</v>
      </c>
      <c r="AM22" s="2"/>
      <c r="AN22" s="2"/>
      <c r="AO22" s="3" t="s">
        <v>349</v>
      </c>
      <c r="AP22" s="3" t="s">
        <v>350</v>
      </c>
      <c r="AQ22" s="2" t="s">
        <v>89</v>
      </c>
    </row>
    <row r="23" customFormat="false" ht="35.05" hidden="false" customHeight="false" outlineLevel="0" collapsed="false">
      <c r="A23" s="2" t="n">
        <v>22</v>
      </c>
      <c r="B23" s="2" t="s">
        <v>351</v>
      </c>
      <c r="C23" s="2" t="s">
        <v>44</v>
      </c>
      <c r="D23" s="2" t="s">
        <v>44</v>
      </c>
      <c r="E23" s="2" t="s">
        <v>352</v>
      </c>
      <c r="F23" s="2" t="s">
        <v>353</v>
      </c>
      <c r="G23" s="3" t="s">
        <v>354</v>
      </c>
      <c r="H23" s="2" t="s">
        <v>355</v>
      </c>
      <c r="I23" s="2" t="s">
        <v>49</v>
      </c>
      <c r="J23" s="3" t="s">
        <v>356</v>
      </c>
      <c r="K23" s="2" t="s">
        <v>302</v>
      </c>
      <c r="L23" s="2" t="s">
        <v>52</v>
      </c>
      <c r="M23" s="2"/>
      <c r="N23" s="2"/>
      <c r="O23" s="2" t="s">
        <v>53</v>
      </c>
      <c r="P23" s="2" t="n">
        <v>40.9071</v>
      </c>
      <c r="Q23" s="2" t="n">
        <v>27.467</v>
      </c>
      <c r="R23" s="2" t="s">
        <v>54</v>
      </c>
      <c r="S23" s="2" t="n">
        <v>400</v>
      </c>
      <c r="T23" s="2" t="s">
        <v>357</v>
      </c>
      <c r="U23" s="2" t="s">
        <v>56</v>
      </c>
      <c r="V23" s="2" t="s">
        <v>97</v>
      </c>
      <c r="W23" s="2" t="s">
        <v>304</v>
      </c>
      <c r="X23" s="2" t="s">
        <v>169</v>
      </c>
      <c r="Y23" s="2"/>
      <c r="Z23" s="2" t="s">
        <v>170</v>
      </c>
      <c r="AA23" s="2"/>
      <c r="AB23" s="2" t="s">
        <v>81</v>
      </c>
      <c r="AC23" s="2"/>
      <c r="AD23" s="2"/>
      <c r="AE23" s="3"/>
      <c r="AF23" s="3" t="s">
        <v>358</v>
      </c>
      <c r="AG23" s="2"/>
      <c r="AH23" s="2" t="s">
        <v>54</v>
      </c>
      <c r="AI23" s="3" t="s">
        <v>359</v>
      </c>
      <c r="AJ23" s="3" t="s">
        <v>360</v>
      </c>
      <c r="AK23" s="2" t="n">
        <v>511351</v>
      </c>
      <c r="AL23" s="3" t="s">
        <v>361</v>
      </c>
      <c r="AM23" s="2"/>
      <c r="AN23" s="2"/>
      <c r="AO23" s="3" t="s">
        <v>362</v>
      </c>
      <c r="AP23" s="3" t="s">
        <v>363</v>
      </c>
      <c r="AQ23" s="2" t="s">
        <v>151</v>
      </c>
    </row>
    <row r="24" customFormat="false" ht="46.25" hidden="false" customHeight="false" outlineLevel="0" collapsed="false">
      <c r="A24" s="2" t="n">
        <v>23</v>
      </c>
      <c r="B24" s="2" t="s">
        <v>364</v>
      </c>
      <c r="C24" s="2" t="s">
        <v>44</v>
      </c>
      <c r="D24" s="2" t="s">
        <v>44</v>
      </c>
      <c r="E24" s="2" t="s">
        <v>365</v>
      </c>
      <c r="F24" s="2" t="s">
        <v>366</v>
      </c>
      <c r="G24" s="3" t="s">
        <v>367</v>
      </c>
      <c r="H24" s="2" t="s">
        <v>302</v>
      </c>
      <c r="I24" s="2" t="s">
        <v>123</v>
      </c>
      <c r="J24" s="3" t="s">
        <v>368</v>
      </c>
      <c r="K24" s="2" t="s">
        <v>302</v>
      </c>
      <c r="L24" s="2" t="s">
        <v>52</v>
      </c>
      <c r="M24" s="2" t="s">
        <v>369</v>
      </c>
      <c r="N24" s="2" t="s">
        <v>63</v>
      </c>
      <c r="O24" s="2" t="s">
        <v>53</v>
      </c>
      <c r="P24" s="2" t="n">
        <v>40.9784</v>
      </c>
      <c r="Q24" s="2" t="n">
        <v>27.508</v>
      </c>
      <c r="R24" s="2" t="s">
        <v>95</v>
      </c>
      <c r="S24" s="2" t="n">
        <v>-600</v>
      </c>
      <c r="T24" s="2" t="s">
        <v>76</v>
      </c>
      <c r="U24" s="2" t="s">
        <v>96</v>
      </c>
      <c r="V24" s="2" t="s">
        <v>78</v>
      </c>
      <c r="W24" s="2" t="s">
        <v>58</v>
      </c>
      <c r="X24" s="2" t="s">
        <v>59</v>
      </c>
      <c r="Y24" s="2" t="s">
        <v>370</v>
      </c>
      <c r="Z24" s="2" t="s">
        <v>61</v>
      </c>
      <c r="AA24" s="2" t="s">
        <v>371</v>
      </c>
      <c r="AB24" s="2" t="s">
        <v>81</v>
      </c>
      <c r="AC24" s="2"/>
      <c r="AD24" s="2"/>
      <c r="AE24" s="3"/>
      <c r="AF24" s="3" t="s">
        <v>372</v>
      </c>
      <c r="AG24" s="2"/>
      <c r="AH24" s="2" t="s">
        <v>113</v>
      </c>
      <c r="AI24" s="3" t="s">
        <v>373</v>
      </c>
      <c r="AJ24" s="3" t="s">
        <v>374</v>
      </c>
      <c r="AK24" s="2" t="n">
        <v>511187</v>
      </c>
      <c r="AL24" s="3" t="s">
        <v>375</v>
      </c>
      <c r="AM24" s="2"/>
      <c r="AN24" s="2"/>
      <c r="AO24" s="3" t="s">
        <v>376</v>
      </c>
      <c r="AP24" s="3" t="s">
        <v>377</v>
      </c>
      <c r="AQ24" s="2" t="s">
        <v>89</v>
      </c>
    </row>
    <row r="25" customFormat="false" ht="124.6" hidden="false" customHeight="false" outlineLevel="0" collapsed="false">
      <c r="A25" s="2" t="n">
        <v>24</v>
      </c>
      <c r="B25" s="2" t="s">
        <v>378</v>
      </c>
      <c r="C25" s="2" t="s">
        <v>44</v>
      </c>
      <c r="D25" s="2" t="s">
        <v>44</v>
      </c>
      <c r="E25" s="2" t="s">
        <v>379</v>
      </c>
      <c r="F25" s="2" t="s">
        <v>380</v>
      </c>
      <c r="G25" s="3" t="s">
        <v>381</v>
      </c>
      <c r="H25" s="2"/>
      <c r="I25" s="2" t="s">
        <v>93</v>
      </c>
      <c r="J25" s="3" t="s">
        <v>382</v>
      </c>
      <c r="K25" s="2" t="s">
        <v>302</v>
      </c>
      <c r="L25" s="2" t="s">
        <v>52</v>
      </c>
      <c r="M25" s="2"/>
      <c r="N25" s="2"/>
      <c r="O25" s="2"/>
      <c r="P25" s="2" t="n">
        <v>41.0048</v>
      </c>
      <c r="Q25" s="2" t="n">
        <v>27.6896</v>
      </c>
      <c r="R25" s="2" t="s">
        <v>95</v>
      </c>
      <c r="S25" s="2" t="n">
        <v>-600</v>
      </c>
      <c r="T25" s="2" t="s">
        <v>76</v>
      </c>
      <c r="U25" s="2" t="s">
        <v>96</v>
      </c>
      <c r="V25" s="2" t="s">
        <v>78</v>
      </c>
      <c r="W25" s="2" t="s">
        <v>58</v>
      </c>
      <c r="X25" s="2" t="s">
        <v>59</v>
      </c>
      <c r="Y25" s="2" t="s">
        <v>370</v>
      </c>
      <c r="Z25" s="2" t="s">
        <v>61</v>
      </c>
      <c r="AA25" s="2" t="s">
        <v>371</v>
      </c>
      <c r="AB25" s="2" t="s">
        <v>81</v>
      </c>
      <c r="AC25" s="2"/>
      <c r="AD25" s="2"/>
      <c r="AE25" s="3"/>
      <c r="AF25" s="3" t="s">
        <v>383</v>
      </c>
      <c r="AG25" s="2"/>
      <c r="AH25" s="2" t="s">
        <v>113</v>
      </c>
      <c r="AI25" s="3" t="s">
        <v>384</v>
      </c>
      <c r="AJ25" s="3" t="s">
        <v>385</v>
      </c>
      <c r="AK25" s="2" t="n">
        <v>511271</v>
      </c>
      <c r="AL25" s="3" t="s">
        <v>386</v>
      </c>
      <c r="AM25" s="2"/>
      <c r="AN25" s="2"/>
      <c r="AO25" s="3" t="s">
        <v>387</v>
      </c>
      <c r="AP25" s="3" t="s">
        <v>388</v>
      </c>
      <c r="AQ25" s="2" t="s">
        <v>89</v>
      </c>
    </row>
    <row r="26" customFormat="false" ht="113.4" hidden="false" customHeight="false" outlineLevel="0" collapsed="false">
      <c r="A26" s="2" t="n">
        <v>25</v>
      </c>
      <c r="B26" s="2" t="s">
        <v>389</v>
      </c>
      <c r="C26" s="2" t="s">
        <v>44</v>
      </c>
      <c r="D26" s="2" t="s">
        <v>44</v>
      </c>
      <c r="E26" s="2" t="s">
        <v>390</v>
      </c>
      <c r="F26" s="2" t="s">
        <v>391</v>
      </c>
      <c r="G26" s="3" t="s">
        <v>392</v>
      </c>
      <c r="H26" s="2" t="s">
        <v>393</v>
      </c>
      <c r="I26" s="2" t="s">
        <v>123</v>
      </c>
      <c r="J26" s="3" t="s">
        <v>394</v>
      </c>
      <c r="K26" s="2" t="s">
        <v>302</v>
      </c>
      <c r="L26" s="2" t="s">
        <v>52</v>
      </c>
      <c r="M26" s="2" t="s">
        <v>393</v>
      </c>
      <c r="N26" s="2"/>
      <c r="O26" s="2" t="s">
        <v>5</v>
      </c>
      <c r="P26" s="2" t="n">
        <v>40.971</v>
      </c>
      <c r="Q26" s="2" t="n">
        <v>27.953</v>
      </c>
      <c r="R26" s="2" t="s">
        <v>54</v>
      </c>
      <c r="S26" s="2" t="n">
        <v>-602</v>
      </c>
      <c r="T26" s="2" t="s">
        <v>395</v>
      </c>
      <c r="U26" s="2" t="s">
        <v>96</v>
      </c>
      <c r="V26" s="2" t="s">
        <v>245</v>
      </c>
      <c r="W26" s="2" t="s">
        <v>58</v>
      </c>
      <c r="X26" s="2" t="s">
        <v>59</v>
      </c>
      <c r="Y26" s="2" t="s">
        <v>370</v>
      </c>
      <c r="Z26" s="2" t="s">
        <v>61</v>
      </c>
      <c r="AA26" s="2" t="s">
        <v>371</v>
      </c>
      <c r="AB26" s="2" t="s">
        <v>81</v>
      </c>
      <c r="AC26" s="2"/>
      <c r="AD26" s="2"/>
      <c r="AE26" s="3"/>
      <c r="AF26" s="3" t="s">
        <v>396</v>
      </c>
      <c r="AG26" s="2"/>
      <c r="AH26" s="2" t="s">
        <v>54</v>
      </c>
      <c r="AI26" s="3" t="s">
        <v>397</v>
      </c>
      <c r="AJ26" s="3" t="s">
        <v>398</v>
      </c>
      <c r="AK26" s="2" t="n">
        <v>511357</v>
      </c>
      <c r="AL26" s="3" t="s">
        <v>399</v>
      </c>
      <c r="AM26" s="2"/>
      <c r="AN26" s="2" t="s">
        <v>200</v>
      </c>
      <c r="AO26" s="3" t="s">
        <v>400</v>
      </c>
      <c r="AP26" s="3" t="s">
        <v>401</v>
      </c>
      <c r="AQ26" s="2" t="s">
        <v>151</v>
      </c>
    </row>
    <row r="27" customFormat="false" ht="35.05" hidden="false" customHeight="false" outlineLevel="0" collapsed="false">
      <c r="A27" s="2" t="n">
        <v>26</v>
      </c>
      <c r="B27" s="2" t="s">
        <v>402</v>
      </c>
      <c r="C27" s="2" t="s">
        <v>44</v>
      </c>
      <c r="D27" s="2" t="s">
        <v>44</v>
      </c>
      <c r="E27" s="2" t="s">
        <v>403</v>
      </c>
      <c r="F27" s="2" t="s">
        <v>404</v>
      </c>
      <c r="G27" s="3" t="s">
        <v>405</v>
      </c>
      <c r="H27" s="2"/>
      <c r="I27" s="2" t="s">
        <v>93</v>
      </c>
      <c r="J27" s="3" t="s">
        <v>406</v>
      </c>
      <c r="K27" s="2" t="s">
        <v>407</v>
      </c>
      <c r="L27" s="2" t="s">
        <v>52</v>
      </c>
      <c r="M27" s="2"/>
      <c r="N27" s="2"/>
      <c r="O27" s="2"/>
      <c r="P27" s="2" t="n">
        <v>41.0535</v>
      </c>
      <c r="Q27" s="2" t="n">
        <v>28.0384</v>
      </c>
      <c r="R27" s="2" t="s">
        <v>95</v>
      </c>
      <c r="S27" s="2" t="n">
        <v>-454</v>
      </c>
      <c r="T27" s="2" t="s">
        <v>408</v>
      </c>
      <c r="U27" s="2" t="s">
        <v>56</v>
      </c>
      <c r="V27" s="2" t="s">
        <v>57</v>
      </c>
      <c r="W27" s="2" t="s">
        <v>168</v>
      </c>
      <c r="X27" s="2" t="s">
        <v>59</v>
      </c>
      <c r="Y27" s="2" t="s">
        <v>409</v>
      </c>
      <c r="Z27" s="2" t="s">
        <v>61</v>
      </c>
      <c r="AA27" s="2"/>
      <c r="AB27" s="2" t="s">
        <v>81</v>
      </c>
      <c r="AC27" s="2"/>
      <c r="AD27" s="2"/>
      <c r="AE27" s="3"/>
      <c r="AF27" s="3" t="s">
        <v>410</v>
      </c>
      <c r="AG27" s="2"/>
      <c r="AH27" s="2" t="s">
        <v>113</v>
      </c>
      <c r="AI27" s="3" t="s">
        <v>411</v>
      </c>
      <c r="AJ27" s="3" t="s">
        <v>412</v>
      </c>
      <c r="AK27" s="2" t="n">
        <v>511227</v>
      </c>
      <c r="AL27" s="3" t="s">
        <v>413</v>
      </c>
      <c r="AM27" s="2"/>
      <c r="AN27" s="2"/>
      <c r="AO27" s="3" t="s">
        <v>414</v>
      </c>
      <c r="AP27" s="3" t="s">
        <v>415</v>
      </c>
      <c r="AQ27" s="2" t="s">
        <v>106</v>
      </c>
    </row>
    <row r="28" customFormat="false" ht="46.25" hidden="false" customHeight="false" outlineLevel="0" collapsed="false">
      <c r="A28" s="2" t="n">
        <v>27</v>
      </c>
      <c r="B28" s="2" t="s">
        <v>416</v>
      </c>
      <c r="C28" s="2" t="s">
        <v>44</v>
      </c>
      <c r="D28" s="2" t="s">
        <v>44</v>
      </c>
      <c r="E28" s="2" t="s">
        <v>417</v>
      </c>
      <c r="F28" s="2" t="s">
        <v>418</v>
      </c>
      <c r="G28" s="3" t="s">
        <v>419</v>
      </c>
      <c r="H28" s="2" t="s">
        <v>420</v>
      </c>
      <c r="I28" s="2" t="s">
        <v>123</v>
      </c>
      <c r="J28" s="3" t="s">
        <v>421</v>
      </c>
      <c r="K28" s="2" t="s">
        <v>407</v>
      </c>
      <c r="L28" s="2" t="s">
        <v>52</v>
      </c>
      <c r="M28" s="2" t="s">
        <v>420</v>
      </c>
      <c r="N28" s="2"/>
      <c r="O28" s="2" t="s">
        <v>422</v>
      </c>
      <c r="P28" s="2" t="n">
        <v>41.0785</v>
      </c>
      <c r="Q28" s="2" t="n">
        <v>28.2477</v>
      </c>
      <c r="R28" s="2" t="s">
        <v>54</v>
      </c>
      <c r="S28" s="2" t="n">
        <v>-670</v>
      </c>
      <c r="T28" s="2" t="s">
        <v>423</v>
      </c>
      <c r="U28" s="2" t="s">
        <v>96</v>
      </c>
      <c r="V28" s="2" t="s">
        <v>78</v>
      </c>
      <c r="W28" s="2" t="s">
        <v>58</v>
      </c>
      <c r="X28" s="2" t="s">
        <v>59</v>
      </c>
      <c r="Y28" s="2" t="s">
        <v>424</v>
      </c>
      <c r="Z28" s="2" t="s">
        <v>61</v>
      </c>
      <c r="AA28" s="2" t="s">
        <v>425</v>
      </c>
      <c r="AB28" s="2" t="s">
        <v>63</v>
      </c>
      <c r="AC28" s="2" t="s">
        <v>64</v>
      </c>
      <c r="AD28" s="2"/>
      <c r="AE28" s="3" t="s">
        <v>426</v>
      </c>
      <c r="AF28" s="3" t="s">
        <v>427</v>
      </c>
      <c r="AG28" s="2"/>
      <c r="AH28" s="2" t="s">
        <v>54</v>
      </c>
      <c r="AI28" s="3" t="s">
        <v>428</v>
      </c>
      <c r="AJ28" s="3" t="s">
        <v>429</v>
      </c>
      <c r="AK28" s="2" t="n">
        <v>511414</v>
      </c>
      <c r="AL28" s="3" t="s">
        <v>430</v>
      </c>
      <c r="AM28" s="2"/>
      <c r="AN28" s="2" t="s">
        <v>200</v>
      </c>
      <c r="AO28" s="3"/>
      <c r="AP28" s="3"/>
      <c r="AQ28" s="2"/>
    </row>
    <row r="29" customFormat="false" ht="23.85" hidden="false" customHeight="false" outlineLevel="0" collapsed="false">
      <c r="A29" s="2" t="n">
        <v>28</v>
      </c>
      <c r="B29" s="2" t="s">
        <v>431</v>
      </c>
      <c r="C29" s="2" t="s">
        <v>44</v>
      </c>
      <c r="D29" s="2" t="s">
        <v>44</v>
      </c>
      <c r="E29" s="2" t="s">
        <v>432</v>
      </c>
      <c r="F29" s="2" t="s">
        <v>433</v>
      </c>
      <c r="G29" s="3" t="s">
        <v>434</v>
      </c>
      <c r="H29" s="2" t="s">
        <v>435</v>
      </c>
      <c r="I29" s="2" t="s">
        <v>123</v>
      </c>
      <c r="J29" s="3" t="s">
        <v>436</v>
      </c>
      <c r="K29" s="2" t="s">
        <v>407</v>
      </c>
      <c r="L29" s="2" t="s">
        <v>52</v>
      </c>
      <c r="M29" s="2" t="s">
        <v>435</v>
      </c>
      <c r="N29" s="2"/>
      <c r="O29" s="2" t="s">
        <v>53</v>
      </c>
      <c r="P29" s="2" t="n">
        <v>41.034</v>
      </c>
      <c r="Q29" s="2" t="n">
        <v>28.59</v>
      </c>
      <c r="R29" s="2" t="s">
        <v>54</v>
      </c>
      <c r="S29" s="2" t="n">
        <v>900</v>
      </c>
      <c r="T29" s="2" t="s">
        <v>437</v>
      </c>
      <c r="U29" s="2" t="s">
        <v>56</v>
      </c>
      <c r="V29" s="2" t="s">
        <v>78</v>
      </c>
      <c r="W29" s="2" t="s">
        <v>304</v>
      </c>
      <c r="X29" s="2" t="s">
        <v>169</v>
      </c>
      <c r="Y29" s="2"/>
      <c r="Z29" s="2" t="s">
        <v>170</v>
      </c>
      <c r="AA29" s="2"/>
      <c r="AB29" s="2" t="s">
        <v>81</v>
      </c>
      <c r="AC29" s="2"/>
      <c r="AD29" s="2"/>
      <c r="AE29" s="3"/>
      <c r="AF29" s="3" t="s">
        <v>438</v>
      </c>
      <c r="AG29" s="2"/>
      <c r="AH29" s="2" t="s">
        <v>113</v>
      </c>
      <c r="AI29" s="3" t="s">
        <v>439</v>
      </c>
      <c r="AJ29" s="3" t="s">
        <v>440</v>
      </c>
      <c r="AK29" s="2" t="n">
        <v>511172</v>
      </c>
      <c r="AL29" s="3" t="s">
        <v>441</v>
      </c>
      <c r="AM29" s="2"/>
      <c r="AN29" s="2"/>
      <c r="AO29" s="3" t="s">
        <v>442</v>
      </c>
      <c r="AP29" s="3" t="s">
        <v>443</v>
      </c>
      <c r="AQ29" s="2" t="s">
        <v>151</v>
      </c>
    </row>
    <row r="30" customFormat="false" ht="57.45" hidden="false" customHeight="false" outlineLevel="0" collapsed="false">
      <c r="A30" s="2" t="n">
        <v>29</v>
      </c>
      <c r="B30" s="2" t="s">
        <v>444</v>
      </c>
      <c r="C30" s="2" t="s">
        <v>44</v>
      </c>
      <c r="D30" s="2" t="s">
        <v>44</v>
      </c>
      <c r="E30" s="2" t="s">
        <v>445</v>
      </c>
      <c r="F30" s="2" t="s">
        <v>446</v>
      </c>
      <c r="G30" s="3" t="s">
        <v>447</v>
      </c>
      <c r="H30" s="2" t="s">
        <v>407</v>
      </c>
      <c r="I30" s="2" t="s">
        <v>123</v>
      </c>
      <c r="J30" s="3" t="s">
        <v>448</v>
      </c>
      <c r="K30" s="2" t="s">
        <v>407</v>
      </c>
      <c r="L30" s="2" t="s">
        <v>52</v>
      </c>
      <c r="M30" s="2" t="s">
        <v>449</v>
      </c>
      <c r="N30" s="2" t="s">
        <v>63</v>
      </c>
      <c r="O30" s="2" t="s">
        <v>5</v>
      </c>
      <c r="P30" s="2" t="n">
        <v>41.0059</v>
      </c>
      <c r="Q30" s="2" t="n">
        <v>28.9739</v>
      </c>
      <c r="R30" s="2" t="s">
        <v>54</v>
      </c>
      <c r="S30" s="2" t="n">
        <v>-667</v>
      </c>
      <c r="T30" s="2" t="s">
        <v>450</v>
      </c>
      <c r="U30" s="2" t="s">
        <v>96</v>
      </c>
      <c r="V30" s="2" t="s">
        <v>57</v>
      </c>
      <c r="W30" s="2" t="s">
        <v>58</v>
      </c>
      <c r="X30" s="2" t="s">
        <v>59</v>
      </c>
      <c r="Y30" s="2" t="s">
        <v>451</v>
      </c>
      <c r="Z30" s="2" t="s">
        <v>61</v>
      </c>
      <c r="AA30" s="2" t="s">
        <v>425</v>
      </c>
      <c r="AB30" s="2" t="s">
        <v>63</v>
      </c>
      <c r="AC30" s="2" t="s">
        <v>452</v>
      </c>
      <c r="AD30" s="2"/>
      <c r="AE30" s="3" t="s">
        <v>453</v>
      </c>
      <c r="AF30" s="3" t="s">
        <v>454</v>
      </c>
      <c r="AG30" s="2"/>
      <c r="AH30" s="2" t="s">
        <v>54</v>
      </c>
      <c r="AI30" s="3" t="s">
        <v>455</v>
      </c>
      <c r="AJ30" s="3" t="s">
        <v>456</v>
      </c>
      <c r="AK30" s="2" t="n">
        <v>520985</v>
      </c>
      <c r="AL30" s="3" t="s">
        <v>457</v>
      </c>
      <c r="AM30" s="2"/>
      <c r="AN30" s="2" t="s">
        <v>200</v>
      </c>
      <c r="AO30" s="3"/>
      <c r="AP30" s="3"/>
      <c r="AQ30" s="2"/>
    </row>
    <row r="31" customFormat="false" ht="23.85" hidden="false" customHeight="false" outlineLevel="0" collapsed="false">
      <c r="A31" s="2" t="n">
        <v>30</v>
      </c>
      <c r="B31" s="2" t="s">
        <v>458</v>
      </c>
      <c r="C31" s="2" t="s">
        <v>44</v>
      </c>
      <c r="D31" s="2" t="s">
        <v>44</v>
      </c>
      <c r="E31" s="2" t="s">
        <v>459</v>
      </c>
      <c r="F31" s="2" t="s">
        <v>460</v>
      </c>
      <c r="G31" s="3" t="s">
        <v>461</v>
      </c>
      <c r="H31" s="2" t="s">
        <v>462</v>
      </c>
      <c r="I31" s="2" t="s">
        <v>123</v>
      </c>
      <c r="J31" s="3" t="s">
        <v>463</v>
      </c>
      <c r="K31" s="2" t="s">
        <v>407</v>
      </c>
      <c r="L31" s="2" t="s">
        <v>52</v>
      </c>
      <c r="M31" s="2" t="s">
        <v>462</v>
      </c>
      <c r="N31" s="2"/>
      <c r="O31" s="2" t="s">
        <v>53</v>
      </c>
      <c r="P31" s="2" t="n">
        <v>41.143</v>
      </c>
      <c r="Q31" s="2" t="n">
        <v>28.462</v>
      </c>
      <c r="R31" s="2" t="s">
        <v>95</v>
      </c>
      <c r="S31" s="2" t="n">
        <v>787</v>
      </c>
      <c r="T31" s="2" t="s">
        <v>464</v>
      </c>
      <c r="U31" s="2" t="s">
        <v>56</v>
      </c>
      <c r="V31" s="2" t="s">
        <v>245</v>
      </c>
      <c r="W31" s="2" t="s">
        <v>304</v>
      </c>
      <c r="X31" s="2" t="s">
        <v>169</v>
      </c>
      <c r="Y31" s="2"/>
      <c r="Z31" s="2" t="s">
        <v>170</v>
      </c>
      <c r="AA31" s="2"/>
      <c r="AB31" s="2" t="s">
        <v>81</v>
      </c>
      <c r="AC31" s="2"/>
      <c r="AD31" s="2"/>
      <c r="AE31" s="3"/>
      <c r="AF31" s="3" t="s">
        <v>465</v>
      </c>
      <c r="AG31" s="2"/>
      <c r="AH31" s="2" t="s">
        <v>113</v>
      </c>
      <c r="AI31" s="3" t="s">
        <v>466</v>
      </c>
      <c r="AJ31" s="3" t="s">
        <v>467</v>
      </c>
      <c r="AK31" s="2"/>
      <c r="AL31" s="3" t="s">
        <v>468</v>
      </c>
      <c r="AM31" s="2"/>
      <c r="AN31" s="2"/>
      <c r="AO31" s="3" t="s">
        <v>469</v>
      </c>
      <c r="AP31" s="3"/>
      <c r="AQ31" s="2" t="s">
        <v>106</v>
      </c>
    </row>
    <row r="32" customFormat="false" ht="35.05" hidden="false" customHeight="false" outlineLevel="0" collapsed="false">
      <c r="A32" s="2" t="n">
        <v>31</v>
      </c>
      <c r="B32" s="2" t="s">
        <v>470</v>
      </c>
      <c r="C32" s="2" t="s">
        <v>44</v>
      </c>
      <c r="D32" s="2" t="s">
        <v>44</v>
      </c>
      <c r="E32" s="2" t="s">
        <v>471</v>
      </c>
      <c r="F32" s="2" t="s">
        <v>472</v>
      </c>
      <c r="G32" s="3" t="s">
        <v>473</v>
      </c>
      <c r="H32" s="2" t="s">
        <v>474</v>
      </c>
      <c r="I32" s="2" t="s">
        <v>49</v>
      </c>
      <c r="J32" s="3" t="s">
        <v>475</v>
      </c>
      <c r="K32" s="2" t="s">
        <v>407</v>
      </c>
      <c r="L32" s="2" t="s">
        <v>52</v>
      </c>
      <c r="M32" s="2"/>
      <c r="N32" s="2"/>
      <c r="O32" s="2" t="s">
        <v>53</v>
      </c>
      <c r="P32" s="2" t="n">
        <v>41.2999</v>
      </c>
      <c r="Q32" s="2" t="n">
        <v>28.6784</v>
      </c>
      <c r="R32" s="2" t="s">
        <v>95</v>
      </c>
      <c r="S32" s="2" t="n">
        <v>787</v>
      </c>
      <c r="T32" s="2" t="s">
        <v>464</v>
      </c>
      <c r="U32" s="2" t="s">
        <v>56</v>
      </c>
      <c r="V32" s="2" t="s">
        <v>245</v>
      </c>
      <c r="W32" s="2" t="s">
        <v>304</v>
      </c>
      <c r="X32" s="2" t="s">
        <v>169</v>
      </c>
      <c r="Y32" s="2"/>
      <c r="Z32" s="2" t="s">
        <v>170</v>
      </c>
      <c r="AA32" s="2"/>
      <c r="AB32" s="2" t="s">
        <v>81</v>
      </c>
      <c r="AC32" s="2"/>
      <c r="AD32" s="2"/>
      <c r="AE32" s="3"/>
      <c r="AF32" s="3" t="s">
        <v>476</v>
      </c>
      <c r="AG32" s="2"/>
      <c r="AH32" s="2" t="s">
        <v>113</v>
      </c>
      <c r="AI32" s="3" t="s">
        <v>477</v>
      </c>
      <c r="AJ32" s="3" t="s">
        <v>478</v>
      </c>
      <c r="AK32" s="2" t="n">
        <v>511231</v>
      </c>
      <c r="AL32" s="3" t="s">
        <v>479</v>
      </c>
      <c r="AM32" s="2"/>
      <c r="AN32" s="2"/>
      <c r="AO32" s="3" t="s">
        <v>480</v>
      </c>
      <c r="AP32" s="3" t="s">
        <v>481</v>
      </c>
      <c r="AQ32" s="2" t="s">
        <v>151</v>
      </c>
    </row>
    <row r="33" customFormat="false" ht="35.05" hidden="false" customHeight="false" outlineLevel="0" collapsed="false">
      <c r="A33" s="2" t="n">
        <v>32</v>
      </c>
      <c r="B33" s="2" t="s">
        <v>482</v>
      </c>
      <c r="C33" s="2" t="s">
        <v>44</v>
      </c>
      <c r="D33" s="2" t="s">
        <v>44</v>
      </c>
      <c r="E33" s="2" t="s">
        <v>483</v>
      </c>
      <c r="F33" s="2" t="s">
        <v>484</v>
      </c>
      <c r="G33" s="3" t="s">
        <v>485</v>
      </c>
      <c r="H33" s="2" t="s">
        <v>486</v>
      </c>
      <c r="I33" s="2" t="s">
        <v>49</v>
      </c>
      <c r="J33" s="3" t="s">
        <v>487</v>
      </c>
      <c r="K33" s="2" t="s">
        <v>488</v>
      </c>
      <c r="L33" s="2" t="s">
        <v>52</v>
      </c>
      <c r="M33" s="2"/>
      <c r="N33" s="2"/>
      <c r="O33" s="2" t="s">
        <v>53</v>
      </c>
      <c r="P33" s="2" t="n">
        <v>41.6348</v>
      </c>
      <c r="Q33" s="2" t="n">
        <v>28.0957</v>
      </c>
      <c r="R33" s="2" t="s">
        <v>54</v>
      </c>
      <c r="S33" s="2" t="n">
        <v>900</v>
      </c>
      <c r="T33" s="2" t="s">
        <v>437</v>
      </c>
      <c r="U33" s="2" t="s">
        <v>56</v>
      </c>
      <c r="V33" s="2" t="s">
        <v>78</v>
      </c>
      <c r="W33" s="2" t="s">
        <v>304</v>
      </c>
      <c r="X33" s="2" t="s">
        <v>169</v>
      </c>
      <c r="Y33" s="2"/>
      <c r="Z33" s="2" t="s">
        <v>170</v>
      </c>
      <c r="AA33" s="2"/>
      <c r="AB33" s="2" t="s">
        <v>63</v>
      </c>
      <c r="AC33" s="2" t="s">
        <v>64</v>
      </c>
      <c r="AD33" s="2"/>
      <c r="AE33" s="3" t="s">
        <v>489</v>
      </c>
      <c r="AF33" s="3" t="s">
        <v>490</v>
      </c>
      <c r="AG33" s="2"/>
      <c r="AH33" s="2" t="s">
        <v>113</v>
      </c>
      <c r="AI33" s="3" t="s">
        <v>491</v>
      </c>
      <c r="AJ33" s="3" t="s">
        <v>492</v>
      </c>
      <c r="AK33" s="2" t="n">
        <v>511404</v>
      </c>
      <c r="AL33" s="3" t="s">
        <v>493</v>
      </c>
      <c r="AM33" s="2"/>
      <c r="AN33" s="2"/>
      <c r="AO33" s="3"/>
      <c r="AP33" s="3"/>
      <c r="AQ33" s="2"/>
    </row>
    <row r="34" customFormat="false" ht="46.25" hidden="false" customHeight="false" outlineLevel="0" collapsed="false">
      <c r="A34" s="2" t="n">
        <v>33</v>
      </c>
      <c r="B34" s="2" t="s">
        <v>494</v>
      </c>
      <c r="C34" s="2" t="s">
        <v>44</v>
      </c>
      <c r="D34" s="2" t="s">
        <v>44</v>
      </c>
      <c r="E34" s="2" t="s">
        <v>495</v>
      </c>
      <c r="F34" s="2" t="s">
        <v>496</v>
      </c>
      <c r="G34" s="3" t="s">
        <v>497</v>
      </c>
      <c r="H34" s="2" t="s">
        <v>497</v>
      </c>
      <c r="I34" s="2" t="s">
        <v>123</v>
      </c>
      <c r="J34" s="3" t="s">
        <v>498</v>
      </c>
      <c r="K34" s="2" t="s">
        <v>488</v>
      </c>
      <c r="L34" s="2" t="s">
        <v>52</v>
      </c>
      <c r="M34" s="2" t="s">
        <v>497</v>
      </c>
      <c r="N34" s="2"/>
      <c r="O34" s="2" t="s">
        <v>422</v>
      </c>
      <c r="P34" s="2" t="n">
        <v>41.5727</v>
      </c>
      <c r="Q34" s="2" t="n">
        <v>27.7653</v>
      </c>
      <c r="R34" s="2" t="s">
        <v>54</v>
      </c>
      <c r="S34" s="2" t="n">
        <v>117</v>
      </c>
      <c r="T34" s="2" t="s">
        <v>499</v>
      </c>
      <c r="U34" s="2" t="s">
        <v>56</v>
      </c>
      <c r="V34" s="2" t="s">
        <v>97</v>
      </c>
      <c r="W34" s="2" t="s">
        <v>140</v>
      </c>
      <c r="X34" s="2" t="s">
        <v>289</v>
      </c>
      <c r="Y34" s="2"/>
      <c r="Z34" s="2" t="s">
        <v>170</v>
      </c>
      <c r="AA34" s="2"/>
      <c r="AB34" s="2" t="s">
        <v>63</v>
      </c>
      <c r="AC34" s="2" t="s">
        <v>452</v>
      </c>
      <c r="AD34" s="2"/>
      <c r="AE34" s="3" t="s">
        <v>500</v>
      </c>
      <c r="AF34" s="3" t="s">
        <v>501</v>
      </c>
      <c r="AG34" s="2"/>
      <c r="AH34" s="2" t="s">
        <v>54</v>
      </c>
      <c r="AI34" s="3" t="s">
        <v>502</v>
      </c>
      <c r="AJ34" s="3" t="s">
        <v>503</v>
      </c>
      <c r="AK34" s="2" t="n">
        <v>511190</v>
      </c>
      <c r="AL34" s="3" t="s">
        <v>504</v>
      </c>
      <c r="AM34" s="2"/>
      <c r="AN34" s="2" t="s">
        <v>200</v>
      </c>
      <c r="AO34" s="3"/>
      <c r="AP34" s="3"/>
      <c r="AQ34" s="2"/>
    </row>
    <row r="35" customFormat="false" ht="35.05" hidden="false" customHeight="false" outlineLevel="0" collapsed="false">
      <c r="A35" s="2" t="n">
        <v>34</v>
      </c>
      <c r="B35" s="2" t="s">
        <v>505</v>
      </c>
      <c r="C35" s="2" t="s">
        <v>44</v>
      </c>
      <c r="D35" s="2" t="s">
        <v>44</v>
      </c>
      <c r="E35" s="2" t="s">
        <v>506</v>
      </c>
      <c r="F35" s="2" t="s">
        <v>507</v>
      </c>
      <c r="G35" s="3" t="s">
        <v>508</v>
      </c>
      <c r="H35" s="2" t="s">
        <v>509</v>
      </c>
      <c r="I35" s="2" t="s">
        <v>123</v>
      </c>
      <c r="J35" s="3" t="s">
        <v>510</v>
      </c>
      <c r="K35" s="2" t="s">
        <v>488</v>
      </c>
      <c r="L35" s="2" t="s">
        <v>52</v>
      </c>
      <c r="M35" s="2" t="s">
        <v>509</v>
      </c>
      <c r="N35" s="2"/>
      <c r="O35" s="2" t="s">
        <v>53</v>
      </c>
      <c r="P35" s="2" t="n">
        <v>41.6253</v>
      </c>
      <c r="Q35" s="2" t="n">
        <v>27.5197</v>
      </c>
      <c r="R35" s="2" t="s">
        <v>54</v>
      </c>
      <c r="S35" s="2" t="n">
        <v>787</v>
      </c>
      <c r="T35" s="2" t="s">
        <v>464</v>
      </c>
      <c r="U35" s="2" t="s">
        <v>56</v>
      </c>
      <c r="V35" s="2" t="s">
        <v>245</v>
      </c>
      <c r="W35" s="2" t="s">
        <v>304</v>
      </c>
      <c r="X35" s="2" t="s">
        <v>169</v>
      </c>
      <c r="Y35" s="2"/>
      <c r="Z35" s="2" t="s">
        <v>170</v>
      </c>
      <c r="AA35" s="2"/>
      <c r="AB35" s="2" t="s">
        <v>81</v>
      </c>
      <c r="AC35" s="2"/>
      <c r="AD35" s="2"/>
      <c r="AE35" s="3"/>
      <c r="AF35" s="3" t="s">
        <v>511</v>
      </c>
      <c r="AG35" s="2"/>
      <c r="AH35" s="2" t="s">
        <v>113</v>
      </c>
      <c r="AI35" s="3" t="s">
        <v>512</v>
      </c>
      <c r="AJ35" s="3" t="s">
        <v>513</v>
      </c>
      <c r="AK35" s="2"/>
      <c r="AL35" s="3" t="s">
        <v>514</v>
      </c>
      <c r="AM35" s="2"/>
      <c r="AN35" s="2"/>
      <c r="AO35" s="3" t="s">
        <v>515</v>
      </c>
      <c r="AP35" s="3" t="s">
        <v>516</v>
      </c>
      <c r="AQ35" s="2" t="s">
        <v>151</v>
      </c>
    </row>
    <row r="36" customFormat="false" ht="35.05" hidden="false" customHeight="false" outlineLevel="0" collapsed="false">
      <c r="A36" s="2" t="n">
        <v>35</v>
      </c>
      <c r="B36" s="2" t="s">
        <v>517</v>
      </c>
      <c r="C36" s="2" t="s">
        <v>44</v>
      </c>
      <c r="D36" s="2" t="s">
        <v>44</v>
      </c>
      <c r="E36" s="2" t="s">
        <v>518</v>
      </c>
      <c r="F36" s="2" t="s">
        <v>519</v>
      </c>
      <c r="G36" s="3" t="s">
        <v>520</v>
      </c>
      <c r="H36" s="2" t="s">
        <v>521</v>
      </c>
      <c r="I36" s="2" t="s">
        <v>123</v>
      </c>
      <c r="J36" s="3" t="s">
        <v>522</v>
      </c>
      <c r="K36" s="2" t="s">
        <v>302</v>
      </c>
      <c r="L36" s="2" t="s">
        <v>52</v>
      </c>
      <c r="M36" s="2" t="s">
        <v>521</v>
      </c>
      <c r="N36" s="2"/>
      <c r="O36" s="2" t="s">
        <v>422</v>
      </c>
      <c r="P36" s="2" t="n">
        <v>41.1667</v>
      </c>
      <c r="Q36" s="2" t="n">
        <v>27.7954</v>
      </c>
      <c r="R36" s="2" t="s">
        <v>54</v>
      </c>
      <c r="S36" s="2" t="n">
        <v>787</v>
      </c>
      <c r="T36" s="2" t="s">
        <v>464</v>
      </c>
      <c r="U36" s="2" t="s">
        <v>56</v>
      </c>
      <c r="V36" s="2" t="s">
        <v>245</v>
      </c>
      <c r="W36" s="2" t="s">
        <v>304</v>
      </c>
      <c r="X36" s="2" t="s">
        <v>289</v>
      </c>
      <c r="Y36" s="2"/>
      <c r="Z36" s="2" t="s">
        <v>170</v>
      </c>
      <c r="AA36" s="2"/>
      <c r="AB36" s="2" t="s">
        <v>63</v>
      </c>
      <c r="AC36" s="2" t="s">
        <v>64</v>
      </c>
      <c r="AD36" s="2"/>
      <c r="AE36" s="3" t="s">
        <v>523</v>
      </c>
      <c r="AF36" s="3" t="s">
        <v>524</v>
      </c>
      <c r="AG36" s="2"/>
      <c r="AH36" s="2" t="s">
        <v>113</v>
      </c>
      <c r="AI36" s="3" t="s">
        <v>525</v>
      </c>
      <c r="AJ36" s="3" t="s">
        <v>526</v>
      </c>
      <c r="AK36" s="2" t="n">
        <v>511456</v>
      </c>
      <c r="AL36" s="3" t="s">
        <v>527</v>
      </c>
      <c r="AM36" s="2"/>
      <c r="AN36" s="2" t="s">
        <v>200</v>
      </c>
      <c r="AO36" s="3"/>
      <c r="AP36" s="3"/>
      <c r="AQ36" s="2"/>
    </row>
    <row r="37" customFormat="false" ht="35.05" hidden="false" customHeight="false" outlineLevel="0" collapsed="false">
      <c r="A37" s="2" t="n">
        <v>36</v>
      </c>
      <c r="B37" s="2" t="s">
        <v>528</v>
      </c>
      <c r="C37" s="2" t="s">
        <v>44</v>
      </c>
      <c r="D37" s="2" t="s">
        <v>44</v>
      </c>
      <c r="E37" s="2" t="s">
        <v>529</v>
      </c>
      <c r="F37" s="2" t="s">
        <v>530</v>
      </c>
      <c r="G37" s="3" t="s">
        <v>531</v>
      </c>
      <c r="H37" s="2" t="s">
        <v>532</v>
      </c>
      <c r="I37" s="2" t="s">
        <v>49</v>
      </c>
      <c r="J37" s="3" t="s">
        <v>533</v>
      </c>
      <c r="K37" s="2" t="s">
        <v>488</v>
      </c>
      <c r="L37" s="2" t="s">
        <v>52</v>
      </c>
      <c r="M37" s="2"/>
      <c r="N37" s="2"/>
      <c r="O37" s="2" t="s">
        <v>5</v>
      </c>
      <c r="P37" s="2" t="n">
        <v>41.3001</v>
      </c>
      <c r="Q37" s="2" t="n">
        <v>27.544</v>
      </c>
      <c r="R37" s="2" t="s">
        <v>54</v>
      </c>
      <c r="S37" s="2" t="n">
        <v>553</v>
      </c>
      <c r="T37" s="2" t="s">
        <v>534</v>
      </c>
      <c r="U37" s="2" t="s">
        <v>56</v>
      </c>
      <c r="V37" s="2" t="s">
        <v>245</v>
      </c>
      <c r="W37" s="2" t="s">
        <v>304</v>
      </c>
      <c r="X37" s="2" t="s">
        <v>289</v>
      </c>
      <c r="Y37" s="2"/>
      <c r="Z37" s="2" t="s">
        <v>170</v>
      </c>
      <c r="AA37" s="2"/>
      <c r="AB37" s="2" t="s">
        <v>63</v>
      </c>
      <c r="AC37" s="2" t="s">
        <v>64</v>
      </c>
      <c r="AD37" s="2"/>
      <c r="AE37" s="3" t="s">
        <v>535</v>
      </c>
      <c r="AF37" s="3" t="s">
        <v>536</v>
      </c>
      <c r="AG37" s="2"/>
      <c r="AH37" s="2" t="s">
        <v>54</v>
      </c>
      <c r="AI37" s="3" t="s">
        <v>537</v>
      </c>
      <c r="AJ37" s="3" t="s">
        <v>538</v>
      </c>
      <c r="AK37" s="2" t="n">
        <v>511241</v>
      </c>
      <c r="AL37" s="3" t="s">
        <v>539</v>
      </c>
      <c r="AM37" s="2"/>
      <c r="AN37" s="2" t="s">
        <v>200</v>
      </c>
      <c r="AO37" s="3"/>
      <c r="AP37" s="3"/>
      <c r="AQ37" s="2"/>
    </row>
    <row r="38" customFormat="false" ht="35.05" hidden="false" customHeight="false" outlineLevel="0" collapsed="false">
      <c r="A38" s="2" t="n">
        <v>37</v>
      </c>
      <c r="B38" s="2" t="s">
        <v>540</v>
      </c>
      <c r="C38" s="2" t="s">
        <v>44</v>
      </c>
      <c r="D38" s="2" t="s">
        <v>44</v>
      </c>
      <c r="E38" s="2" t="s">
        <v>541</v>
      </c>
      <c r="F38" s="2" t="s">
        <v>542</v>
      </c>
      <c r="G38" s="3" t="s">
        <v>543</v>
      </c>
      <c r="H38" s="2" t="s">
        <v>544</v>
      </c>
      <c r="I38" s="2" t="s">
        <v>123</v>
      </c>
      <c r="J38" s="3" t="s">
        <v>545</v>
      </c>
      <c r="K38" s="2" t="s">
        <v>302</v>
      </c>
      <c r="L38" s="2" t="s">
        <v>52</v>
      </c>
      <c r="M38" s="2" t="s">
        <v>544</v>
      </c>
      <c r="N38" s="2"/>
      <c r="O38" s="2" t="s">
        <v>5</v>
      </c>
      <c r="P38" s="2" t="n">
        <v>41.2141</v>
      </c>
      <c r="Q38" s="2" t="n">
        <v>27.1056</v>
      </c>
      <c r="R38" s="2" t="s">
        <v>54</v>
      </c>
      <c r="S38" s="2" t="n">
        <v>787</v>
      </c>
      <c r="T38" s="2" t="s">
        <v>464</v>
      </c>
      <c r="U38" s="2" t="s">
        <v>56</v>
      </c>
      <c r="V38" s="2" t="s">
        <v>245</v>
      </c>
      <c r="W38" s="2" t="s">
        <v>304</v>
      </c>
      <c r="X38" s="2" t="s">
        <v>169</v>
      </c>
      <c r="Y38" s="2"/>
      <c r="Z38" s="2" t="s">
        <v>170</v>
      </c>
      <c r="AA38" s="2"/>
      <c r="AB38" s="2" t="s">
        <v>81</v>
      </c>
      <c r="AC38" s="2"/>
      <c r="AD38" s="2"/>
      <c r="AE38" s="3"/>
      <c r="AF38" s="3" t="s">
        <v>546</v>
      </c>
      <c r="AG38" s="2"/>
      <c r="AH38" s="2" t="s">
        <v>113</v>
      </c>
      <c r="AI38" s="3" t="s">
        <v>547</v>
      </c>
      <c r="AJ38" s="3" t="s">
        <v>548</v>
      </c>
      <c r="AK38" s="2" t="n">
        <v>511206</v>
      </c>
      <c r="AL38" s="3" t="s">
        <v>468</v>
      </c>
      <c r="AM38" s="2"/>
      <c r="AN38" s="2" t="s">
        <v>200</v>
      </c>
      <c r="AO38" s="3" t="s">
        <v>549</v>
      </c>
      <c r="AP38" s="3" t="s">
        <v>550</v>
      </c>
      <c r="AQ38" s="2" t="s">
        <v>151</v>
      </c>
    </row>
    <row r="39" customFormat="false" ht="35.05" hidden="false" customHeight="false" outlineLevel="0" collapsed="false">
      <c r="A39" s="2" t="n">
        <v>38</v>
      </c>
      <c r="B39" s="2" t="s">
        <v>551</v>
      </c>
      <c r="C39" s="2" t="s">
        <v>44</v>
      </c>
      <c r="D39" s="2" t="s">
        <v>44</v>
      </c>
      <c r="E39" s="2" t="s">
        <v>552</v>
      </c>
      <c r="F39" s="2" t="s">
        <v>553</v>
      </c>
      <c r="G39" s="3" t="s">
        <v>554</v>
      </c>
      <c r="H39" s="2" t="s">
        <v>555</v>
      </c>
      <c r="I39" s="2" t="s">
        <v>123</v>
      </c>
      <c r="J39" s="3" t="s">
        <v>556</v>
      </c>
      <c r="K39" s="2" t="s">
        <v>488</v>
      </c>
      <c r="L39" s="2" t="s">
        <v>52</v>
      </c>
      <c r="M39" s="2" t="s">
        <v>555</v>
      </c>
      <c r="N39" s="2"/>
      <c r="O39" s="2" t="s">
        <v>53</v>
      </c>
      <c r="P39" s="2" t="n">
        <v>41.4017</v>
      </c>
      <c r="Q39" s="2" t="n">
        <v>27.3527</v>
      </c>
      <c r="R39" s="2" t="s">
        <v>54</v>
      </c>
      <c r="S39" s="2" t="n">
        <v>395</v>
      </c>
      <c r="T39" s="2" t="s">
        <v>557</v>
      </c>
      <c r="U39" s="2" t="s">
        <v>139</v>
      </c>
      <c r="V39" s="2" t="s">
        <v>57</v>
      </c>
      <c r="W39" s="2" t="s">
        <v>304</v>
      </c>
      <c r="X39" s="2" t="s">
        <v>141</v>
      </c>
      <c r="Y39" s="2" t="s">
        <v>558</v>
      </c>
      <c r="Z39" s="2" t="s">
        <v>559</v>
      </c>
      <c r="AA39" s="2"/>
      <c r="AB39" s="2" t="s">
        <v>63</v>
      </c>
      <c r="AC39" s="2" t="s">
        <v>64</v>
      </c>
      <c r="AD39" s="2"/>
      <c r="AE39" s="3" t="s">
        <v>560</v>
      </c>
      <c r="AF39" s="3" t="s">
        <v>561</v>
      </c>
      <c r="AG39" s="2"/>
      <c r="AH39" s="2" t="s">
        <v>54</v>
      </c>
      <c r="AI39" s="3" t="s">
        <v>562</v>
      </c>
      <c r="AJ39" s="3" t="s">
        <v>563</v>
      </c>
      <c r="AK39" s="2" t="n">
        <v>511185</v>
      </c>
      <c r="AL39" s="3" t="s">
        <v>564</v>
      </c>
      <c r="AM39" s="2"/>
      <c r="AN39" s="2"/>
      <c r="AO39" s="3"/>
      <c r="AP39" s="3"/>
      <c r="AQ39" s="2"/>
    </row>
    <row r="40" customFormat="false" ht="23.85" hidden="false" customHeight="false" outlineLevel="0" collapsed="false">
      <c r="A40" s="2" t="n">
        <v>39</v>
      </c>
      <c r="B40" s="2" t="s">
        <v>565</v>
      </c>
      <c r="C40" s="2" t="s">
        <v>44</v>
      </c>
      <c r="D40" s="2" t="s">
        <v>44</v>
      </c>
      <c r="E40" s="2" t="s">
        <v>566</v>
      </c>
      <c r="F40" s="2" t="s">
        <v>567</v>
      </c>
      <c r="G40" s="3" t="s">
        <v>568</v>
      </c>
      <c r="H40" s="2" t="s">
        <v>569</v>
      </c>
      <c r="I40" s="2" t="s">
        <v>123</v>
      </c>
      <c r="J40" s="3" t="s">
        <v>570</v>
      </c>
      <c r="K40" s="2" t="s">
        <v>488</v>
      </c>
      <c r="L40" s="2" t="s">
        <v>52</v>
      </c>
      <c r="M40" s="2" t="s">
        <v>569</v>
      </c>
      <c r="N40" s="2"/>
      <c r="O40" s="2" t="s">
        <v>53</v>
      </c>
      <c r="P40" s="2" t="n">
        <v>41.4279</v>
      </c>
      <c r="Q40" s="2" t="n">
        <v>27.0924</v>
      </c>
      <c r="R40" s="2" t="s">
        <v>54</v>
      </c>
      <c r="S40" s="2" t="n">
        <v>787</v>
      </c>
      <c r="T40" s="2" t="s">
        <v>464</v>
      </c>
      <c r="U40" s="2" t="s">
        <v>56</v>
      </c>
      <c r="V40" s="2" t="s">
        <v>245</v>
      </c>
      <c r="W40" s="2" t="s">
        <v>304</v>
      </c>
      <c r="X40" s="2" t="s">
        <v>289</v>
      </c>
      <c r="Y40" s="2"/>
      <c r="Z40" s="2" t="s">
        <v>170</v>
      </c>
      <c r="AA40" s="2"/>
      <c r="AB40" s="2" t="s">
        <v>63</v>
      </c>
      <c r="AC40" s="2" t="s">
        <v>64</v>
      </c>
      <c r="AD40" s="2"/>
      <c r="AE40" s="3" t="s">
        <v>571</v>
      </c>
      <c r="AF40" s="3" t="s">
        <v>572</v>
      </c>
      <c r="AG40" s="2"/>
      <c r="AH40" s="2" t="s">
        <v>113</v>
      </c>
      <c r="AI40" s="3" t="s">
        <v>573</v>
      </c>
      <c r="AJ40" s="3" t="s">
        <v>574</v>
      </c>
      <c r="AK40" s="2" t="n">
        <v>511195</v>
      </c>
      <c r="AL40" s="3" t="s">
        <v>575</v>
      </c>
      <c r="AM40" s="2"/>
      <c r="AN40" s="2"/>
      <c r="AO40" s="3"/>
      <c r="AP40" s="3"/>
      <c r="AQ40" s="2"/>
    </row>
    <row r="41" customFormat="false" ht="35.05" hidden="false" customHeight="false" outlineLevel="0" collapsed="false">
      <c r="A41" s="2" t="n">
        <v>40</v>
      </c>
      <c r="B41" s="2" t="s">
        <v>576</v>
      </c>
      <c r="C41" s="2" t="s">
        <v>44</v>
      </c>
      <c r="D41" s="2" t="s">
        <v>44</v>
      </c>
      <c r="E41" s="2" t="s">
        <v>577</v>
      </c>
      <c r="F41" s="2" t="s">
        <v>578</v>
      </c>
      <c r="G41" s="3" t="s">
        <v>579</v>
      </c>
      <c r="H41" s="2" t="s">
        <v>274</v>
      </c>
      <c r="I41" s="2" t="s">
        <v>123</v>
      </c>
      <c r="J41" s="3" t="s">
        <v>580</v>
      </c>
      <c r="K41" s="2" t="s">
        <v>274</v>
      </c>
      <c r="L41" s="2" t="s">
        <v>52</v>
      </c>
      <c r="M41" s="2" t="s">
        <v>581</v>
      </c>
      <c r="N41" s="2" t="s">
        <v>63</v>
      </c>
      <c r="O41" s="2" t="s">
        <v>582</v>
      </c>
      <c r="P41" s="2" t="n">
        <v>41.6765</v>
      </c>
      <c r="Q41" s="2" t="n">
        <v>26.5629</v>
      </c>
      <c r="R41" s="2" t="s">
        <v>54</v>
      </c>
      <c r="S41" s="2" t="n">
        <v>125</v>
      </c>
      <c r="T41" s="2" t="s">
        <v>138</v>
      </c>
      <c r="U41" s="2" t="s">
        <v>139</v>
      </c>
      <c r="V41" s="2" t="s">
        <v>57</v>
      </c>
      <c r="W41" s="2" t="s">
        <v>140</v>
      </c>
      <c r="X41" s="2" t="s">
        <v>141</v>
      </c>
      <c r="Y41" s="2" t="s">
        <v>583</v>
      </c>
      <c r="Z41" s="2" t="s">
        <v>143</v>
      </c>
      <c r="AA41" s="2"/>
      <c r="AB41" s="2" t="s">
        <v>63</v>
      </c>
      <c r="AC41" s="2" t="s">
        <v>64</v>
      </c>
      <c r="AD41" s="2"/>
      <c r="AE41" s="3" t="s">
        <v>584</v>
      </c>
      <c r="AF41" s="3" t="s">
        <v>585</v>
      </c>
      <c r="AG41" s="2"/>
      <c r="AH41" s="2" t="s">
        <v>54</v>
      </c>
      <c r="AI41" s="3" t="s">
        <v>586</v>
      </c>
      <c r="AJ41" s="3" t="s">
        <v>587</v>
      </c>
      <c r="AK41" s="2" t="n">
        <v>501428</v>
      </c>
      <c r="AL41" s="3" t="s">
        <v>588</v>
      </c>
      <c r="AM41" s="2"/>
      <c r="AN41" s="2" t="s">
        <v>200</v>
      </c>
      <c r="AO41" s="3"/>
      <c r="AP41" s="3"/>
      <c r="AQ41" s="2"/>
    </row>
    <row r="42" customFormat="false" ht="68.65" hidden="false" customHeight="false" outlineLevel="0" collapsed="false">
      <c r="A42" s="2" t="n">
        <v>41</v>
      </c>
      <c r="B42" s="2" t="s">
        <v>589</v>
      </c>
      <c r="C42" s="2" t="s">
        <v>590</v>
      </c>
      <c r="D42" s="2" t="s">
        <v>590</v>
      </c>
      <c r="E42" s="2" t="s">
        <v>591</v>
      </c>
      <c r="F42" s="2" t="s">
        <v>592</v>
      </c>
      <c r="G42" s="3" t="s">
        <v>593</v>
      </c>
      <c r="H42" s="2" t="s">
        <v>594</v>
      </c>
      <c r="I42" s="2" t="s">
        <v>123</v>
      </c>
      <c r="J42" s="3" t="s">
        <v>595</v>
      </c>
      <c r="K42" s="2" t="s">
        <v>407</v>
      </c>
      <c r="L42" s="2" t="s">
        <v>52</v>
      </c>
      <c r="M42" s="2" t="s">
        <v>594</v>
      </c>
      <c r="N42" s="2" t="s">
        <v>63</v>
      </c>
      <c r="O42" s="2" t="s">
        <v>53</v>
      </c>
      <c r="P42" s="2" t="n">
        <v>40.9834</v>
      </c>
      <c r="Q42" s="2" t="n">
        <v>29.0258</v>
      </c>
      <c r="R42" s="2" t="s">
        <v>54</v>
      </c>
      <c r="S42" s="2" t="n">
        <v>-685</v>
      </c>
      <c r="T42" s="2" t="s">
        <v>596</v>
      </c>
      <c r="U42" s="2" t="s">
        <v>96</v>
      </c>
      <c r="V42" s="2" t="s">
        <v>245</v>
      </c>
      <c r="W42" s="2" t="s">
        <v>58</v>
      </c>
      <c r="X42" s="2" t="s">
        <v>59</v>
      </c>
      <c r="Y42" s="2" t="s">
        <v>424</v>
      </c>
      <c r="Z42" s="2" t="s">
        <v>61</v>
      </c>
      <c r="AA42" s="2" t="s">
        <v>425</v>
      </c>
      <c r="AB42" s="2" t="s">
        <v>81</v>
      </c>
      <c r="AC42" s="2"/>
      <c r="AD42" s="2"/>
      <c r="AE42" s="3"/>
      <c r="AF42" s="3" t="s">
        <v>597</v>
      </c>
      <c r="AG42" s="2"/>
      <c r="AH42" s="2" t="s">
        <v>54</v>
      </c>
      <c r="AI42" s="3" t="s">
        <v>598</v>
      </c>
      <c r="AJ42" s="3" t="s">
        <v>599</v>
      </c>
      <c r="AK42" s="2" t="n">
        <v>520988</v>
      </c>
      <c r="AL42" s="3" t="s">
        <v>600</v>
      </c>
      <c r="AM42" s="2"/>
      <c r="AN42" s="2"/>
      <c r="AO42" s="3" t="s">
        <v>601</v>
      </c>
      <c r="AP42" s="3" t="s">
        <v>602</v>
      </c>
      <c r="AQ42" s="2" t="s">
        <v>151</v>
      </c>
    </row>
    <row r="43" customFormat="false" ht="46.25" hidden="false" customHeight="false" outlineLevel="0" collapsed="false">
      <c r="A43" s="2" t="n">
        <v>42</v>
      </c>
      <c r="B43" s="2" t="s">
        <v>603</v>
      </c>
      <c r="C43" s="2" t="s">
        <v>590</v>
      </c>
      <c r="D43" s="2" t="s">
        <v>590</v>
      </c>
      <c r="E43" s="2" t="s">
        <v>604</v>
      </c>
      <c r="F43" s="2" t="s">
        <v>605</v>
      </c>
      <c r="G43" s="3" t="s">
        <v>606</v>
      </c>
      <c r="H43" s="2" t="s">
        <v>607</v>
      </c>
      <c r="I43" s="2" t="s">
        <v>123</v>
      </c>
      <c r="J43" s="3" t="s">
        <v>608</v>
      </c>
      <c r="K43" s="2" t="s">
        <v>609</v>
      </c>
      <c r="L43" s="2" t="s">
        <v>52</v>
      </c>
      <c r="M43" s="2" t="s">
        <v>607</v>
      </c>
      <c r="N43" s="2"/>
      <c r="O43" s="2" t="s">
        <v>53</v>
      </c>
      <c r="P43" s="2" t="n">
        <v>40.3756</v>
      </c>
      <c r="Q43" s="2" t="n">
        <v>28.8827</v>
      </c>
      <c r="R43" s="2" t="s">
        <v>54</v>
      </c>
      <c r="S43" s="2" t="n">
        <v>-400</v>
      </c>
      <c r="T43" s="2" t="s">
        <v>288</v>
      </c>
      <c r="U43" s="2" t="s">
        <v>56</v>
      </c>
      <c r="V43" s="2" t="s">
        <v>97</v>
      </c>
      <c r="W43" s="2" t="s">
        <v>168</v>
      </c>
      <c r="X43" s="2" t="s">
        <v>59</v>
      </c>
      <c r="Y43" s="2" t="s">
        <v>610</v>
      </c>
      <c r="Z43" s="2" t="s">
        <v>61</v>
      </c>
      <c r="AA43" s="2" t="s">
        <v>610</v>
      </c>
      <c r="AB43" s="2" t="s">
        <v>81</v>
      </c>
      <c r="AC43" s="2"/>
      <c r="AD43" s="2"/>
      <c r="AE43" s="3"/>
      <c r="AF43" s="3" t="s">
        <v>611</v>
      </c>
      <c r="AG43" s="2"/>
      <c r="AH43" s="2" t="s">
        <v>54</v>
      </c>
      <c r="AI43" s="3" t="s">
        <v>612</v>
      </c>
      <c r="AJ43" s="3" t="s">
        <v>613</v>
      </c>
      <c r="AK43" s="2" t="n">
        <v>511194</v>
      </c>
      <c r="AL43" s="3" t="s">
        <v>614</v>
      </c>
      <c r="AM43" s="2"/>
      <c r="AN43" s="2"/>
      <c r="AO43" s="3" t="s">
        <v>615</v>
      </c>
      <c r="AP43" s="3" t="s">
        <v>616</v>
      </c>
      <c r="AQ43" s="2" t="s">
        <v>89</v>
      </c>
    </row>
    <row r="44" customFormat="false" ht="57.45" hidden="false" customHeight="false" outlineLevel="0" collapsed="false">
      <c r="A44" s="2" t="n">
        <v>43</v>
      </c>
      <c r="B44" s="2" t="s">
        <v>617</v>
      </c>
      <c r="C44" s="2" t="s">
        <v>590</v>
      </c>
      <c r="D44" s="2" t="s">
        <v>590</v>
      </c>
      <c r="E44" s="2" t="s">
        <v>618</v>
      </c>
      <c r="F44" s="2" t="s">
        <v>619</v>
      </c>
      <c r="G44" s="3" t="s">
        <v>620</v>
      </c>
      <c r="H44" s="2" t="s">
        <v>621</v>
      </c>
      <c r="I44" s="2" t="s">
        <v>123</v>
      </c>
      <c r="J44" s="3" t="s">
        <v>622</v>
      </c>
      <c r="K44" s="2" t="s">
        <v>609</v>
      </c>
      <c r="L44" s="2" t="s">
        <v>52</v>
      </c>
      <c r="M44" s="2" t="s">
        <v>621</v>
      </c>
      <c r="N44" s="2"/>
      <c r="O44" s="2" t="s">
        <v>53</v>
      </c>
      <c r="P44" s="2" t="n">
        <v>40.4325</v>
      </c>
      <c r="Q44" s="2" t="n">
        <v>29.1564</v>
      </c>
      <c r="R44" s="2" t="s">
        <v>54</v>
      </c>
      <c r="S44" s="2" t="n">
        <v>-610</v>
      </c>
      <c r="T44" s="2" t="s">
        <v>623</v>
      </c>
      <c r="U44" s="2" t="s">
        <v>77</v>
      </c>
      <c r="V44" s="2" t="s">
        <v>78</v>
      </c>
      <c r="W44" s="2" t="s">
        <v>58</v>
      </c>
      <c r="X44" s="2" t="s">
        <v>59</v>
      </c>
      <c r="Y44" s="2" t="s">
        <v>624</v>
      </c>
      <c r="Z44" s="2" t="s">
        <v>61</v>
      </c>
      <c r="AA44" s="2" t="s">
        <v>111</v>
      </c>
      <c r="AB44" s="2" t="s">
        <v>81</v>
      </c>
      <c r="AC44" s="2"/>
      <c r="AD44" s="2"/>
      <c r="AE44" s="3"/>
      <c r="AF44" s="3" t="s">
        <v>625</v>
      </c>
      <c r="AG44" s="2"/>
      <c r="AH44" s="2" t="s">
        <v>54</v>
      </c>
      <c r="AI44" s="3" t="s">
        <v>626</v>
      </c>
      <c r="AJ44" s="3" t="s">
        <v>627</v>
      </c>
      <c r="AK44" s="2" t="n">
        <v>511385</v>
      </c>
      <c r="AL44" s="3" t="s">
        <v>628</v>
      </c>
      <c r="AM44" s="2"/>
      <c r="AN44" s="2"/>
      <c r="AO44" s="3" t="s">
        <v>629</v>
      </c>
      <c r="AP44" s="3" t="s">
        <v>630</v>
      </c>
      <c r="AQ44" s="2" t="s">
        <v>89</v>
      </c>
    </row>
    <row r="45" customFormat="false" ht="46.25" hidden="false" customHeight="false" outlineLevel="0" collapsed="false">
      <c r="A45" s="2" t="n">
        <v>44</v>
      </c>
      <c r="B45" s="2" t="s">
        <v>631</v>
      </c>
      <c r="C45" s="2" t="s">
        <v>590</v>
      </c>
      <c r="D45" s="2" t="s">
        <v>590</v>
      </c>
      <c r="E45" s="2" t="s">
        <v>632</v>
      </c>
      <c r="F45" s="2" t="s">
        <v>633</v>
      </c>
      <c r="G45" s="3" t="s">
        <v>634</v>
      </c>
      <c r="H45" s="2"/>
      <c r="I45" s="2" t="s">
        <v>93</v>
      </c>
      <c r="J45" s="3" t="s">
        <v>635</v>
      </c>
      <c r="K45" s="2" t="s">
        <v>636</v>
      </c>
      <c r="L45" s="2" t="s">
        <v>52</v>
      </c>
      <c r="M45" s="2"/>
      <c r="N45" s="2"/>
      <c r="O45" s="2"/>
      <c r="P45" s="2" t="n">
        <v>40.55</v>
      </c>
      <c r="Q45" s="2" t="n">
        <v>29</v>
      </c>
      <c r="R45" s="2" t="s">
        <v>637</v>
      </c>
      <c r="S45" s="2" t="n">
        <v>527</v>
      </c>
      <c r="T45" s="2" t="s">
        <v>330</v>
      </c>
      <c r="U45" s="2" t="s">
        <v>56</v>
      </c>
      <c r="V45" s="2" t="s">
        <v>97</v>
      </c>
      <c r="W45" s="2" t="s">
        <v>304</v>
      </c>
      <c r="X45" s="2" t="s">
        <v>141</v>
      </c>
      <c r="Y45" s="2" t="s">
        <v>638</v>
      </c>
      <c r="Z45" s="2" t="s">
        <v>143</v>
      </c>
      <c r="AA45" s="2"/>
      <c r="AB45" s="2" t="s">
        <v>81</v>
      </c>
      <c r="AC45" s="2"/>
      <c r="AD45" s="2"/>
      <c r="AE45" s="3"/>
      <c r="AF45" s="3" t="s">
        <v>639</v>
      </c>
      <c r="AG45" s="2"/>
      <c r="AH45" s="2" t="s">
        <v>113</v>
      </c>
      <c r="AI45" s="3" t="s">
        <v>640</v>
      </c>
      <c r="AJ45" s="3" t="s">
        <v>641</v>
      </c>
      <c r="AK45" s="2"/>
      <c r="AL45" s="3" t="s">
        <v>642</v>
      </c>
      <c r="AM45" s="2"/>
      <c r="AN45" s="2"/>
      <c r="AO45" s="3" t="s">
        <v>643</v>
      </c>
      <c r="AP45" s="3" t="s">
        <v>644</v>
      </c>
      <c r="AQ45" s="2" t="s">
        <v>106</v>
      </c>
    </row>
    <row r="46" customFormat="false" ht="35.05" hidden="false" customHeight="false" outlineLevel="0" collapsed="false">
      <c r="A46" s="2" t="n">
        <v>45</v>
      </c>
      <c r="B46" s="2" t="s">
        <v>645</v>
      </c>
      <c r="C46" s="2" t="s">
        <v>590</v>
      </c>
      <c r="D46" s="2" t="s">
        <v>590</v>
      </c>
      <c r="E46" s="2" t="s">
        <v>646</v>
      </c>
      <c r="F46" s="2" t="s">
        <v>647</v>
      </c>
      <c r="G46" s="3" t="s">
        <v>648</v>
      </c>
      <c r="H46" s="2" t="s">
        <v>649</v>
      </c>
      <c r="I46" s="2" t="s">
        <v>49</v>
      </c>
      <c r="J46" s="3" t="s">
        <v>650</v>
      </c>
      <c r="K46" s="2" t="s">
        <v>636</v>
      </c>
      <c r="L46" s="2" t="s">
        <v>52</v>
      </c>
      <c r="M46" s="2"/>
      <c r="N46" s="2"/>
      <c r="O46" s="2" t="s">
        <v>53</v>
      </c>
      <c r="P46" s="2" t="n">
        <v>40.7217</v>
      </c>
      <c r="Q46" s="2" t="n">
        <v>29.5021</v>
      </c>
      <c r="R46" s="2" t="s">
        <v>54</v>
      </c>
      <c r="S46" s="2" t="n">
        <v>327</v>
      </c>
      <c r="T46" s="2" t="s">
        <v>651</v>
      </c>
      <c r="U46" s="2" t="s">
        <v>139</v>
      </c>
      <c r="V46" s="2" t="s">
        <v>57</v>
      </c>
      <c r="W46" s="2" t="s">
        <v>140</v>
      </c>
      <c r="X46" s="2" t="s">
        <v>141</v>
      </c>
      <c r="Y46" s="2" t="s">
        <v>652</v>
      </c>
      <c r="Z46" s="2" t="s">
        <v>143</v>
      </c>
      <c r="AA46" s="2"/>
      <c r="AB46" s="2" t="s">
        <v>81</v>
      </c>
      <c r="AC46" s="2"/>
      <c r="AD46" s="2"/>
      <c r="AE46" s="3"/>
      <c r="AF46" s="3" t="s">
        <v>653</v>
      </c>
      <c r="AG46" s="2"/>
      <c r="AH46" s="2" t="s">
        <v>54</v>
      </c>
      <c r="AI46" s="3" t="s">
        <v>654</v>
      </c>
      <c r="AJ46" s="3" t="s">
        <v>655</v>
      </c>
      <c r="AK46" s="2" t="n">
        <v>511240</v>
      </c>
      <c r="AL46" s="3" t="s">
        <v>656</v>
      </c>
      <c r="AM46" s="2"/>
      <c r="AN46" s="2"/>
      <c r="AO46" s="3" t="s">
        <v>657</v>
      </c>
      <c r="AP46" s="3" t="s">
        <v>658</v>
      </c>
      <c r="AQ46" s="2" t="s">
        <v>151</v>
      </c>
    </row>
    <row r="47" customFormat="false" ht="23.85" hidden="false" customHeight="false" outlineLevel="0" collapsed="false">
      <c r="A47" s="2" t="n">
        <v>46</v>
      </c>
      <c r="B47" s="2" t="s">
        <v>659</v>
      </c>
      <c r="C47" s="2" t="s">
        <v>590</v>
      </c>
      <c r="D47" s="2" t="s">
        <v>590</v>
      </c>
      <c r="E47" s="2" t="s">
        <v>660</v>
      </c>
      <c r="F47" s="2" t="s">
        <v>661</v>
      </c>
      <c r="G47" s="3" t="s">
        <v>662</v>
      </c>
      <c r="H47" s="2" t="s">
        <v>663</v>
      </c>
      <c r="I47" s="2" t="s">
        <v>123</v>
      </c>
      <c r="J47" s="3" t="s">
        <v>664</v>
      </c>
      <c r="K47" s="2" t="s">
        <v>665</v>
      </c>
      <c r="L47" s="2" t="s">
        <v>52</v>
      </c>
      <c r="M47" s="2" t="s">
        <v>663</v>
      </c>
      <c r="N47" s="2"/>
      <c r="O47" s="2" t="s">
        <v>53</v>
      </c>
      <c r="P47" s="2" t="n">
        <v>40.6898</v>
      </c>
      <c r="Q47" s="2" t="n">
        <v>29.6189</v>
      </c>
      <c r="R47" s="2" t="s">
        <v>54</v>
      </c>
      <c r="S47" s="2" t="n">
        <v>527</v>
      </c>
      <c r="T47" s="2" t="s">
        <v>330</v>
      </c>
      <c r="U47" s="2" t="s">
        <v>56</v>
      </c>
      <c r="V47" s="2" t="s">
        <v>97</v>
      </c>
      <c r="W47" s="2" t="s">
        <v>304</v>
      </c>
      <c r="X47" s="2" t="s">
        <v>169</v>
      </c>
      <c r="Y47" s="2" t="s">
        <v>666</v>
      </c>
      <c r="Z47" s="2" t="s">
        <v>170</v>
      </c>
      <c r="AA47" s="2"/>
      <c r="AB47" s="2" t="s">
        <v>81</v>
      </c>
      <c r="AC47" s="2"/>
      <c r="AD47" s="2"/>
      <c r="AE47" s="3"/>
      <c r="AF47" s="3" t="s">
        <v>667</v>
      </c>
      <c r="AG47" s="2"/>
      <c r="AH47" s="2" t="s">
        <v>54</v>
      </c>
      <c r="AI47" s="3" t="s">
        <v>668</v>
      </c>
      <c r="AJ47" s="3" t="s">
        <v>669</v>
      </c>
      <c r="AK47" s="2" t="n">
        <v>511372</v>
      </c>
      <c r="AL47" s="3" t="s">
        <v>670</v>
      </c>
      <c r="AM47" s="2"/>
      <c r="AN47" s="2"/>
      <c r="AO47" s="3" t="s">
        <v>671</v>
      </c>
      <c r="AP47" s="3" t="s">
        <v>672</v>
      </c>
      <c r="AQ47" s="2" t="s">
        <v>151</v>
      </c>
    </row>
    <row r="48" customFormat="false" ht="35.05" hidden="false" customHeight="false" outlineLevel="0" collapsed="false">
      <c r="A48" s="2" t="n">
        <v>47</v>
      </c>
      <c r="B48" s="2" t="s">
        <v>673</v>
      </c>
      <c r="C48" s="2" t="s">
        <v>590</v>
      </c>
      <c r="D48" s="2" t="s">
        <v>590</v>
      </c>
      <c r="E48" s="2" t="s">
        <v>674</v>
      </c>
      <c r="F48" s="2" t="s">
        <v>675</v>
      </c>
      <c r="G48" s="3" t="s">
        <v>676</v>
      </c>
      <c r="H48" s="2"/>
      <c r="I48" s="2" t="s">
        <v>74</v>
      </c>
      <c r="J48" s="3" t="s">
        <v>677</v>
      </c>
      <c r="K48" s="2" t="s">
        <v>665</v>
      </c>
      <c r="L48" s="2" t="s">
        <v>52</v>
      </c>
      <c r="M48" s="2"/>
      <c r="N48" s="2"/>
      <c r="O48" s="2"/>
      <c r="P48" s="2" t="n">
        <v>40.7146</v>
      </c>
      <c r="Q48" s="2" t="n">
        <v>29.9288</v>
      </c>
      <c r="R48" s="2" t="s">
        <v>95</v>
      </c>
      <c r="S48" s="2" t="n">
        <v>-712</v>
      </c>
      <c r="T48" s="2" t="s">
        <v>678</v>
      </c>
      <c r="U48" s="2" t="s">
        <v>96</v>
      </c>
      <c r="V48" s="2" t="s">
        <v>245</v>
      </c>
      <c r="W48" s="2" t="s">
        <v>58</v>
      </c>
      <c r="X48" s="2" t="s">
        <v>59</v>
      </c>
      <c r="Y48" s="2" t="s">
        <v>679</v>
      </c>
      <c r="Z48" s="2" t="s">
        <v>61</v>
      </c>
      <c r="AA48" s="2" t="s">
        <v>425</v>
      </c>
      <c r="AB48" s="2" t="s">
        <v>81</v>
      </c>
      <c r="AC48" s="2"/>
      <c r="AD48" s="2"/>
      <c r="AE48" s="3"/>
      <c r="AF48" s="3" t="s">
        <v>680</v>
      </c>
      <c r="AG48" s="2"/>
      <c r="AH48" s="2" t="s">
        <v>54</v>
      </c>
      <c r="AI48" s="3" t="s">
        <v>681</v>
      </c>
      <c r="AJ48" s="3" t="s">
        <v>682</v>
      </c>
      <c r="AK48" s="2" t="n">
        <v>511169</v>
      </c>
      <c r="AL48" s="3" t="s">
        <v>683</v>
      </c>
      <c r="AM48" s="2"/>
      <c r="AN48" s="2"/>
      <c r="AO48" s="3" t="s">
        <v>684</v>
      </c>
      <c r="AP48" s="3" t="s">
        <v>685</v>
      </c>
      <c r="AQ48" s="2" t="s">
        <v>106</v>
      </c>
    </row>
    <row r="49" customFormat="false" ht="68.65" hidden="false" customHeight="false" outlineLevel="0" collapsed="false">
      <c r="A49" s="2" t="n">
        <v>48</v>
      </c>
      <c r="B49" s="2" t="s">
        <v>686</v>
      </c>
      <c r="C49" s="2" t="s">
        <v>590</v>
      </c>
      <c r="D49" s="2" t="s">
        <v>590</v>
      </c>
      <c r="E49" s="2" t="s">
        <v>687</v>
      </c>
      <c r="F49" s="2" t="s">
        <v>688</v>
      </c>
      <c r="G49" s="3" t="s">
        <v>689</v>
      </c>
      <c r="H49" s="2" t="s">
        <v>690</v>
      </c>
      <c r="I49" s="2" t="s">
        <v>123</v>
      </c>
      <c r="J49" s="3" t="s">
        <v>691</v>
      </c>
      <c r="K49" s="2" t="s">
        <v>665</v>
      </c>
      <c r="L49" s="2" t="s">
        <v>52</v>
      </c>
      <c r="M49" s="2" t="s">
        <v>690</v>
      </c>
      <c r="N49" s="2" t="s">
        <v>63</v>
      </c>
      <c r="O49" s="2" t="s">
        <v>5</v>
      </c>
      <c r="P49" s="2" t="n">
        <v>40.7652</v>
      </c>
      <c r="Q49" s="2" t="n">
        <v>29.9199</v>
      </c>
      <c r="R49" s="2" t="s">
        <v>54</v>
      </c>
      <c r="S49" s="2" t="n">
        <v>-264</v>
      </c>
      <c r="T49" s="2" t="s">
        <v>692</v>
      </c>
      <c r="U49" s="2" t="s">
        <v>139</v>
      </c>
      <c r="V49" s="2" t="s">
        <v>245</v>
      </c>
      <c r="W49" s="2" t="s">
        <v>195</v>
      </c>
      <c r="X49" s="2" t="s">
        <v>246</v>
      </c>
      <c r="Y49" s="2" t="s">
        <v>693</v>
      </c>
      <c r="Z49" s="2" t="s">
        <v>694</v>
      </c>
      <c r="AA49" s="2"/>
      <c r="AB49" s="2" t="s">
        <v>695</v>
      </c>
      <c r="AC49" s="2" t="s">
        <v>696</v>
      </c>
      <c r="AD49" s="2"/>
      <c r="AE49" s="3"/>
      <c r="AF49" s="3" t="s">
        <v>697</v>
      </c>
      <c r="AG49" s="2"/>
      <c r="AH49" s="2" t="s">
        <v>54</v>
      </c>
      <c r="AI49" s="3" t="s">
        <v>698</v>
      </c>
      <c r="AJ49" s="3" t="s">
        <v>699</v>
      </c>
      <c r="AK49" s="2" t="n">
        <v>511337</v>
      </c>
      <c r="AL49" s="3" t="s">
        <v>700</v>
      </c>
      <c r="AM49" s="2"/>
      <c r="AN49" s="2" t="s">
        <v>200</v>
      </c>
      <c r="AO49" s="3" t="s">
        <v>701</v>
      </c>
      <c r="AP49" s="3" t="s">
        <v>702</v>
      </c>
      <c r="AQ49" s="2" t="s">
        <v>89</v>
      </c>
    </row>
    <row r="50" customFormat="false" ht="46.25" hidden="false" customHeight="false" outlineLevel="0" collapsed="false">
      <c r="A50" s="2" t="n">
        <v>49</v>
      </c>
      <c r="B50" s="2" t="s">
        <v>703</v>
      </c>
      <c r="C50" s="2" t="s">
        <v>590</v>
      </c>
      <c r="D50" s="2" t="s">
        <v>590</v>
      </c>
      <c r="E50" s="2" t="s">
        <v>704</v>
      </c>
      <c r="F50" s="2" t="s">
        <v>705</v>
      </c>
      <c r="G50" s="3" t="s">
        <v>706</v>
      </c>
      <c r="H50" s="2"/>
      <c r="I50" s="2" t="s">
        <v>74</v>
      </c>
      <c r="J50" s="3" t="s">
        <v>707</v>
      </c>
      <c r="K50" s="2" t="s">
        <v>665</v>
      </c>
      <c r="L50" s="2" t="s">
        <v>52</v>
      </c>
      <c r="M50" s="2"/>
      <c r="N50" s="2"/>
      <c r="O50" s="2"/>
      <c r="P50" s="2" t="n">
        <v>41.182</v>
      </c>
      <c r="Q50" s="2" t="n">
        <v>30.26</v>
      </c>
      <c r="R50" s="2" t="s">
        <v>95</v>
      </c>
      <c r="S50" s="2" t="n">
        <v>869</v>
      </c>
      <c r="T50" s="2" t="s">
        <v>708</v>
      </c>
      <c r="U50" s="2" t="s">
        <v>56</v>
      </c>
      <c r="V50" s="2" t="s">
        <v>245</v>
      </c>
      <c r="W50" s="2" t="s">
        <v>304</v>
      </c>
      <c r="X50" s="2" t="s">
        <v>169</v>
      </c>
      <c r="Y50" s="2" t="s">
        <v>709</v>
      </c>
      <c r="Z50" s="2" t="s">
        <v>170</v>
      </c>
      <c r="AA50" s="2"/>
      <c r="AB50" s="2" t="s">
        <v>81</v>
      </c>
      <c r="AC50" s="2"/>
      <c r="AD50" s="2"/>
      <c r="AE50" s="3"/>
      <c r="AF50" s="3" t="s">
        <v>710</v>
      </c>
      <c r="AG50" s="2"/>
      <c r="AH50" s="2" t="s">
        <v>113</v>
      </c>
      <c r="AI50" s="3" t="s">
        <v>711</v>
      </c>
      <c r="AJ50" s="3" t="s">
        <v>712</v>
      </c>
      <c r="AK50" s="2"/>
      <c r="AL50" s="3" t="s">
        <v>713</v>
      </c>
      <c r="AM50" s="2"/>
      <c r="AN50" s="2"/>
      <c r="AO50" s="3" t="s">
        <v>714</v>
      </c>
      <c r="AP50" s="3" t="s">
        <v>715</v>
      </c>
      <c r="AQ50" s="2" t="s">
        <v>151</v>
      </c>
    </row>
    <row r="51" customFormat="false" ht="23.85" hidden="false" customHeight="false" outlineLevel="0" collapsed="false">
      <c r="A51" s="2" t="n">
        <v>50</v>
      </c>
      <c r="B51" s="2" t="s">
        <v>716</v>
      </c>
      <c r="C51" s="2" t="s">
        <v>590</v>
      </c>
      <c r="D51" s="2" t="s">
        <v>590</v>
      </c>
      <c r="E51" s="2" t="s">
        <v>717</v>
      </c>
      <c r="F51" s="2" t="s">
        <v>718</v>
      </c>
      <c r="G51" s="3" t="s">
        <v>719</v>
      </c>
      <c r="H51" s="2" t="s">
        <v>720</v>
      </c>
      <c r="I51" s="2" t="s">
        <v>123</v>
      </c>
      <c r="J51" s="3" t="s">
        <v>721</v>
      </c>
      <c r="K51" s="2" t="s">
        <v>722</v>
      </c>
      <c r="L51" s="2" t="s">
        <v>723</v>
      </c>
      <c r="M51" s="2" t="s">
        <v>720</v>
      </c>
      <c r="N51" s="2"/>
      <c r="O51" s="2" t="s">
        <v>53</v>
      </c>
      <c r="P51" s="2" t="n">
        <v>41.0875</v>
      </c>
      <c r="Q51" s="2" t="n">
        <v>31.1238</v>
      </c>
      <c r="R51" s="2" t="s">
        <v>54</v>
      </c>
      <c r="S51" s="2" t="n">
        <v>-90</v>
      </c>
      <c r="T51" s="2" t="s">
        <v>724</v>
      </c>
      <c r="U51" s="2" t="s">
        <v>56</v>
      </c>
      <c r="V51" s="2" t="s">
        <v>97</v>
      </c>
      <c r="W51" s="2" t="s">
        <v>195</v>
      </c>
      <c r="X51" s="2" t="s">
        <v>169</v>
      </c>
      <c r="Y51" s="2" t="s">
        <v>725</v>
      </c>
      <c r="Z51" s="2" t="s">
        <v>170</v>
      </c>
      <c r="AA51" s="2"/>
      <c r="AB51" s="2" t="s">
        <v>81</v>
      </c>
      <c r="AC51" s="2"/>
      <c r="AD51" s="2"/>
      <c r="AE51" s="3"/>
      <c r="AF51" s="3" t="s">
        <v>726</v>
      </c>
      <c r="AG51" s="2"/>
      <c r="AH51" s="2" t="s">
        <v>113</v>
      </c>
      <c r="AI51" s="3" t="s">
        <v>727</v>
      </c>
      <c r="AJ51" s="3" t="s">
        <v>728</v>
      </c>
      <c r="AK51" s="2" t="n">
        <v>844907</v>
      </c>
      <c r="AL51" s="3" t="s">
        <v>729</v>
      </c>
      <c r="AM51" s="2"/>
      <c r="AN51" s="2"/>
      <c r="AO51" s="3" t="s">
        <v>730</v>
      </c>
      <c r="AP51" s="3" t="s">
        <v>731</v>
      </c>
      <c r="AQ51" s="2" t="s">
        <v>151</v>
      </c>
    </row>
    <row r="52" customFormat="false" ht="46.25" hidden="false" customHeight="false" outlineLevel="0" collapsed="false">
      <c r="A52" s="2" t="n">
        <v>51</v>
      </c>
      <c r="B52" s="2" t="s">
        <v>732</v>
      </c>
      <c r="C52" s="2" t="s">
        <v>590</v>
      </c>
      <c r="D52" s="2" t="s">
        <v>590</v>
      </c>
      <c r="E52" s="2" t="s">
        <v>733</v>
      </c>
      <c r="F52" s="2" t="s">
        <v>734</v>
      </c>
      <c r="G52" s="3" t="s">
        <v>735</v>
      </c>
      <c r="H52" s="2"/>
      <c r="I52" s="2" t="s">
        <v>93</v>
      </c>
      <c r="J52" s="3" t="s">
        <v>736</v>
      </c>
      <c r="K52" s="2" t="s">
        <v>609</v>
      </c>
      <c r="L52" s="2" t="s">
        <v>52</v>
      </c>
      <c r="M52" s="2"/>
      <c r="N52" s="2"/>
      <c r="O52" s="2"/>
      <c r="P52" s="2" t="n">
        <v>40.1773</v>
      </c>
      <c r="Q52" s="2" t="n">
        <v>28.9051</v>
      </c>
      <c r="R52" s="2" t="s">
        <v>95</v>
      </c>
      <c r="S52" s="2" t="n">
        <v>18</v>
      </c>
      <c r="T52" s="2" t="s">
        <v>737</v>
      </c>
      <c r="U52" s="2" t="s">
        <v>56</v>
      </c>
      <c r="V52" s="2" t="s">
        <v>57</v>
      </c>
      <c r="W52" s="2" t="s">
        <v>140</v>
      </c>
      <c r="X52" s="2" t="s">
        <v>141</v>
      </c>
      <c r="Y52" s="2" t="s">
        <v>738</v>
      </c>
      <c r="Z52" s="2" t="s">
        <v>143</v>
      </c>
      <c r="AA52" s="2"/>
      <c r="AB52" s="2" t="s">
        <v>81</v>
      </c>
      <c r="AC52" s="2"/>
      <c r="AD52" s="2"/>
      <c r="AE52" s="3"/>
      <c r="AF52" s="3" t="s">
        <v>739</v>
      </c>
      <c r="AG52" s="2"/>
      <c r="AH52" s="2" t="s">
        <v>54</v>
      </c>
      <c r="AI52" s="3" t="s">
        <v>740</v>
      </c>
      <c r="AJ52" s="3" t="s">
        <v>741</v>
      </c>
      <c r="AK52" s="2" t="n">
        <v>511267</v>
      </c>
      <c r="AL52" s="3" t="s">
        <v>742</v>
      </c>
      <c r="AM52" s="2"/>
      <c r="AN52" s="2"/>
      <c r="AO52" s="3" t="s">
        <v>743</v>
      </c>
      <c r="AP52" s="3" t="s">
        <v>744</v>
      </c>
      <c r="AQ52" s="2" t="s">
        <v>89</v>
      </c>
    </row>
    <row r="53" customFormat="false" ht="113.4" hidden="false" customHeight="false" outlineLevel="0" collapsed="false">
      <c r="A53" s="2" t="n">
        <v>52</v>
      </c>
      <c r="B53" s="2" t="s">
        <v>745</v>
      </c>
      <c r="C53" s="2" t="s">
        <v>590</v>
      </c>
      <c r="D53" s="2" t="s">
        <v>590</v>
      </c>
      <c r="E53" s="2" t="s">
        <v>746</v>
      </c>
      <c r="F53" s="2" t="s">
        <v>747</v>
      </c>
      <c r="G53" s="3" t="s">
        <v>748</v>
      </c>
      <c r="H53" s="2" t="s">
        <v>609</v>
      </c>
      <c r="I53" s="2" t="s">
        <v>123</v>
      </c>
      <c r="J53" s="3" t="s">
        <v>749</v>
      </c>
      <c r="K53" s="2" t="s">
        <v>609</v>
      </c>
      <c r="L53" s="2" t="s">
        <v>52</v>
      </c>
      <c r="M53" s="2" t="s">
        <v>750</v>
      </c>
      <c r="N53" s="2" t="s">
        <v>63</v>
      </c>
      <c r="O53" s="2" t="s">
        <v>5</v>
      </c>
      <c r="P53" s="2" t="n">
        <v>40.1829</v>
      </c>
      <c r="Q53" s="2" t="n">
        <v>29.0638</v>
      </c>
      <c r="R53" s="2" t="s">
        <v>54</v>
      </c>
      <c r="S53" s="2" t="n">
        <v>-185</v>
      </c>
      <c r="T53" s="2" t="s">
        <v>751</v>
      </c>
      <c r="U53" s="2" t="s">
        <v>139</v>
      </c>
      <c r="V53" s="2" t="s">
        <v>57</v>
      </c>
      <c r="W53" s="2" t="s">
        <v>195</v>
      </c>
      <c r="X53" s="2" t="s">
        <v>246</v>
      </c>
      <c r="Y53" s="2" t="s">
        <v>752</v>
      </c>
      <c r="Z53" s="2" t="s">
        <v>694</v>
      </c>
      <c r="AA53" s="2"/>
      <c r="AB53" s="2" t="s">
        <v>81</v>
      </c>
      <c r="AC53" s="2"/>
      <c r="AD53" s="2"/>
      <c r="AE53" s="3"/>
      <c r="AF53" s="3" t="s">
        <v>753</v>
      </c>
      <c r="AG53" s="2"/>
      <c r="AH53" s="2" t="s">
        <v>54</v>
      </c>
      <c r="AI53" s="3" t="s">
        <v>754</v>
      </c>
      <c r="AJ53" s="3" t="s">
        <v>755</v>
      </c>
      <c r="AK53" s="2" t="n">
        <v>511384</v>
      </c>
      <c r="AL53" s="3" t="s">
        <v>756</v>
      </c>
      <c r="AM53" s="2"/>
      <c r="AN53" s="2" t="s">
        <v>200</v>
      </c>
      <c r="AO53" s="3" t="s">
        <v>757</v>
      </c>
      <c r="AP53" s="3" t="s">
        <v>758</v>
      </c>
      <c r="AQ53" s="2" t="s">
        <v>89</v>
      </c>
    </row>
    <row r="54" customFormat="false" ht="46.25" hidden="false" customHeight="false" outlineLevel="0" collapsed="false">
      <c r="A54" s="2" t="n">
        <v>53</v>
      </c>
      <c r="B54" s="2" t="s">
        <v>759</v>
      </c>
      <c r="C54" s="2" t="s">
        <v>590</v>
      </c>
      <c r="D54" s="2" t="s">
        <v>590</v>
      </c>
      <c r="E54" s="2" t="s">
        <v>760</v>
      </c>
      <c r="F54" s="2" t="s">
        <v>761</v>
      </c>
      <c r="G54" s="3" t="s">
        <v>762</v>
      </c>
      <c r="H54" s="2" t="s">
        <v>763</v>
      </c>
      <c r="I54" s="2" t="s">
        <v>123</v>
      </c>
      <c r="J54" s="3" t="s">
        <v>764</v>
      </c>
      <c r="K54" s="2" t="s">
        <v>609</v>
      </c>
      <c r="L54" s="2" t="s">
        <v>52</v>
      </c>
      <c r="M54" s="2" t="s">
        <v>763</v>
      </c>
      <c r="N54" s="2"/>
      <c r="O54" s="2" t="s">
        <v>5</v>
      </c>
      <c r="P54" s="2" t="n">
        <v>40.4291</v>
      </c>
      <c r="Q54" s="2" t="n">
        <v>29.7147</v>
      </c>
      <c r="R54" s="2" t="s">
        <v>54</v>
      </c>
      <c r="S54" s="2" t="n">
        <v>-315</v>
      </c>
      <c r="T54" s="2" t="s">
        <v>765</v>
      </c>
      <c r="U54" s="2" t="s">
        <v>139</v>
      </c>
      <c r="V54" s="2" t="s">
        <v>57</v>
      </c>
      <c r="W54" s="2" t="s">
        <v>195</v>
      </c>
      <c r="X54" s="2" t="s">
        <v>246</v>
      </c>
      <c r="Y54" s="2" t="s">
        <v>766</v>
      </c>
      <c r="Z54" s="2" t="s">
        <v>248</v>
      </c>
      <c r="AA54" s="2"/>
      <c r="AB54" s="2" t="s">
        <v>81</v>
      </c>
      <c r="AC54" s="2"/>
      <c r="AD54" s="2"/>
      <c r="AE54" s="3" t="s">
        <v>767</v>
      </c>
      <c r="AF54" s="3" t="s">
        <v>768</v>
      </c>
      <c r="AG54" s="2"/>
      <c r="AH54" s="2" t="s">
        <v>54</v>
      </c>
      <c r="AI54" s="3" t="s">
        <v>769</v>
      </c>
      <c r="AJ54" s="3" t="s">
        <v>770</v>
      </c>
      <c r="AK54" s="2" t="n">
        <v>511268</v>
      </c>
      <c r="AL54" s="3" t="s">
        <v>771</v>
      </c>
      <c r="AM54" s="2"/>
      <c r="AN54" s="2" t="s">
        <v>200</v>
      </c>
      <c r="AO54" s="3" t="s">
        <v>772</v>
      </c>
      <c r="AP54" s="3" t="s">
        <v>773</v>
      </c>
      <c r="AQ54" s="2" t="s">
        <v>89</v>
      </c>
    </row>
    <row r="55" customFormat="false" ht="35.05" hidden="false" customHeight="false" outlineLevel="0" collapsed="false">
      <c r="A55" s="2" t="n">
        <v>54</v>
      </c>
      <c r="B55" s="2" t="s">
        <v>774</v>
      </c>
      <c r="C55" s="2" t="s">
        <v>590</v>
      </c>
      <c r="D55" s="2" t="s">
        <v>590</v>
      </c>
      <c r="E55" s="2" t="s">
        <v>775</v>
      </c>
      <c r="F55" s="2" t="s">
        <v>776</v>
      </c>
      <c r="G55" s="3"/>
      <c r="H55" s="2"/>
      <c r="I55" s="2" t="s">
        <v>93</v>
      </c>
      <c r="J55" s="3" t="s">
        <v>777</v>
      </c>
      <c r="K55" s="2" t="s">
        <v>665</v>
      </c>
      <c r="L55" s="2" t="s">
        <v>52</v>
      </c>
      <c r="M55" s="2"/>
      <c r="N55" s="2"/>
      <c r="O55" s="2"/>
      <c r="P55" s="2" t="n">
        <v>40.6071</v>
      </c>
      <c r="Q55" s="2" t="n">
        <v>29.5586</v>
      </c>
      <c r="R55" s="2" t="s">
        <v>95</v>
      </c>
      <c r="S55" s="2" t="n">
        <v>362</v>
      </c>
      <c r="T55" s="2" t="s">
        <v>778</v>
      </c>
      <c r="U55" s="2" t="s">
        <v>139</v>
      </c>
      <c r="V55" s="2" t="s">
        <v>57</v>
      </c>
      <c r="W55" s="2" t="s">
        <v>304</v>
      </c>
      <c r="X55" s="2" t="s">
        <v>141</v>
      </c>
      <c r="Y55" s="2" t="s">
        <v>779</v>
      </c>
      <c r="Z55" s="2" t="s">
        <v>559</v>
      </c>
      <c r="AA55" s="2"/>
      <c r="AB55" s="2" t="s">
        <v>81</v>
      </c>
      <c r="AC55" s="2"/>
      <c r="AD55" s="2"/>
      <c r="AE55" s="3"/>
      <c r="AF55" s="3" t="s">
        <v>780</v>
      </c>
      <c r="AG55" s="2"/>
      <c r="AH55" s="2" t="s">
        <v>54</v>
      </c>
      <c r="AI55" s="3" t="s">
        <v>781</v>
      </c>
      <c r="AJ55" s="3" t="s">
        <v>782</v>
      </c>
      <c r="AK55" s="2" t="n">
        <v>511180</v>
      </c>
      <c r="AL55" s="3" t="s">
        <v>783</v>
      </c>
      <c r="AM55" s="2"/>
      <c r="AN55" s="2"/>
      <c r="AO55" s="3" t="s">
        <v>784</v>
      </c>
      <c r="AP55" s="3" t="s">
        <v>785</v>
      </c>
      <c r="AQ55" s="2" t="s">
        <v>106</v>
      </c>
    </row>
    <row r="56" customFormat="false" ht="35.05" hidden="false" customHeight="false" outlineLevel="0" collapsed="false">
      <c r="A56" s="2" t="n">
        <v>55</v>
      </c>
      <c r="B56" s="2" t="s">
        <v>786</v>
      </c>
      <c r="C56" s="2" t="s">
        <v>590</v>
      </c>
      <c r="D56" s="2" t="s">
        <v>590</v>
      </c>
      <c r="E56" s="2" t="s">
        <v>787</v>
      </c>
      <c r="F56" s="2" t="s">
        <v>788</v>
      </c>
      <c r="G56" s="3"/>
      <c r="H56" s="2"/>
      <c r="I56" s="2" t="s">
        <v>93</v>
      </c>
      <c r="J56" s="3" t="s">
        <v>789</v>
      </c>
      <c r="K56" s="2" t="s">
        <v>790</v>
      </c>
      <c r="L56" s="2" t="s">
        <v>52</v>
      </c>
      <c r="M56" s="2"/>
      <c r="N56" s="2"/>
      <c r="O56" s="2"/>
      <c r="P56" s="2" t="n">
        <v>40.15</v>
      </c>
      <c r="Q56" s="2" t="n">
        <v>29.98</v>
      </c>
      <c r="R56" s="2" t="s">
        <v>637</v>
      </c>
      <c r="S56" s="2" t="n">
        <v>692</v>
      </c>
      <c r="T56" s="2" t="s">
        <v>791</v>
      </c>
      <c r="U56" s="2" t="s">
        <v>56</v>
      </c>
      <c r="V56" s="2" t="s">
        <v>245</v>
      </c>
      <c r="W56" s="2" t="s">
        <v>304</v>
      </c>
      <c r="X56" s="2" t="s">
        <v>169</v>
      </c>
      <c r="Y56" s="2" t="s">
        <v>792</v>
      </c>
      <c r="Z56" s="2" t="s">
        <v>170</v>
      </c>
      <c r="AA56" s="2"/>
      <c r="AB56" s="2" t="s">
        <v>81</v>
      </c>
      <c r="AC56" s="2"/>
      <c r="AD56" s="2"/>
      <c r="AE56" s="3"/>
      <c r="AF56" s="3" t="s">
        <v>793</v>
      </c>
      <c r="AG56" s="2"/>
      <c r="AH56" s="2" t="s">
        <v>113</v>
      </c>
      <c r="AI56" s="3" t="s">
        <v>794</v>
      </c>
      <c r="AJ56" s="3" t="s">
        <v>795</v>
      </c>
      <c r="AK56" s="2"/>
      <c r="AL56" s="3" t="s">
        <v>796</v>
      </c>
      <c r="AM56" s="2"/>
      <c r="AN56" s="2"/>
      <c r="AO56" s="3" t="s">
        <v>797</v>
      </c>
      <c r="AP56" s="3" t="s">
        <v>798</v>
      </c>
      <c r="AQ56" s="2" t="s">
        <v>106</v>
      </c>
    </row>
    <row r="57" customFormat="false" ht="35.05" hidden="false" customHeight="false" outlineLevel="0" collapsed="false">
      <c r="A57" s="2" t="n">
        <v>56</v>
      </c>
      <c r="B57" s="2" t="s">
        <v>799</v>
      </c>
      <c r="C57" s="2" t="s">
        <v>590</v>
      </c>
      <c r="D57" s="2" t="s">
        <v>590</v>
      </c>
      <c r="E57" s="2" t="s">
        <v>800</v>
      </c>
      <c r="F57" s="2" t="s">
        <v>801</v>
      </c>
      <c r="G57" s="3" t="s">
        <v>802</v>
      </c>
      <c r="H57" s="2"/>
      <c r="I57" s="2" t="s">
        <v>74</v>
      </c>
      <c r="J57" s="3" t="s">
        <v>803</v>
      </c>
      <c r="K57" s="2" t="s">
        <v>804</v>
      </c>
      <c r="L57" s="2" t="s">
        <v>52</v>
      </c>
      <c r="M57" s="2"/>
      <c r="N57" s="2"/>
      <c r="O57" s="2"/>
      <c r="P57" s="2" t="n">
        <v>40.47</v>
      </c>
      <c r="Q57" s="2" t="n">
        <v>30.12</v>
      </c>
      <c r="R57" s="2" t="s">
        <v>95</v>
      </c>
      <c r="S57" s="2" t="n">
        <v>553</v>
      </c>
      <c r="T57" s="2" t="s">
        <v>805</v>
      </c>
      <c r="U57" s="2" t="s">
        <v>56</v>
      </c>
      <c r="V57" s="2" t="s">
        <v>57</v>
      </c>
      <c r="W57" s="2" t="s">
        <v>304</v>
      </c>
      <c r="X57" s="2" t="s">
        <v>141</v>
      </c>
      <c r="Y57" s="2" t="s">
        <v>806</v>
      </c>
      <c r="Z57" s="2" t="s">
        <v>559</v>
      </c>
      <c r="AA57" s="2"/>
      <c r="AB57" s="2" t="s">
        <v>81</v>
      </c>
      <c r="AC57" s="2"/>
      <c r="AD57" s="2"/>
      <c r="AE57" s="3"/>
      <c r="AF57" s="3" t="s">
        <v>807</v>
      </c>
      <c r="AG57" s="2"/>
      <c r="AH57" s="2" t="s">
        <v>113</v>
      </c>
      <c r="AI57" s="3" t="s">
        <v>808</v>
      </c>
      <c r="AJ57" s="3" t="s">
        <v>809</v>
      </c>
      <c r="AK57" s="2"/>
      <c r="AL57" s="3" t="s">
        <v>810</v>
      </c>
      <c r="AM57" s="2"/>
      <c r="AN57" s="2"/>
      <c r="AO57" s="3" t="s">
        <v>811</v>
      </c>
      <c r="AP57" s="3" t="s">
        <v>812</v>
      </c>
      <c r="AQ57" s="2" t="s">
        <v>106</v>
      </c>
    </row>
    <row r="58" customFormat="false" ht="35.05" hidden="false" customHeight="false" outlineLevel="0" collapsed="false">
      <c r="A58" s="2" t="n">
        <v>57</v>
      </c>
      <c r="B58" s="2" t="s">
        <v>813</v>
      </c>
      <c r="C58" s="2" t="s">
        <v>590</v>
      </c>
      <c r="D58" s="2" t="s">
        <v>590</v>
      </c>
      <c r="E58" s="2" t="s">
        <v>814</v>
      </c>
      <c r="F58" s="2" t="s">
        <v>815</v>
      </c>
      <c r="G58" s="3" t="s">
        <v>816</v>
      </c>
      <c r="H58" s="2"/>
      <c r="I58" s="2" t="s">
        <v>93</v>
      </c>
      <c r="J58" s="3" t="s">
        <v>817</v>
      </c>
      <c r="K58" s="2" t="s">
        <v>818</v>
      </c>
      <c r="L58" s="2" t="s">
        <v>723</v>
      </c>
      <c r="M58" s="2"/>
      <c r="N58" s="2"/>
      <c r="O58" s="2"/>
      <c r="P58" s="2" t="n">
        <v>40.4</v>
      </c>
      <c r="Q58" s="2" t="n">
        <v>30.2</v>
      </c>
      <c r="R58" s="2" t="s">
        <v>637</v>
      </c>
      <c r="S58" s="2" t="n">
        <v>640</v>
      </c>
      <c r="T58" s="2" t="s">
        <v>819</v>
      </c>
      <c r="U58" s="2" t="s">
        <v>56</v>
      </c>
      <c r="V58" s="2" t="s">
        <v>57</v>
      </c>
      <c r="W58" s="2" t="s">
        <v>304</v>
      </c>
      <c r="X58" s="2" t="s">
        <v>169</v>
      </c>
      <c r="Y58" s="2" t="s">
        <v>820</v>
      </c>
      <c r="Z58" s="2" t="s">
        <v>170</v>
      </c>
      <c r="AA58" s="2"/>
      <c r="AB58" s="2" t="s">
        <v>81</v>
      </c>
      <c r="AC58" s="2"/>
      <c r="AD58" s="2"/>
      <c r="AE58" s="3"/>
      <c r="AF58" s="3" t="s">
        <v>821</v>
      </c>
      <c r="AG58" s="2" t="s">
        <v>822</v>
      </c>
      <c r="AH58" s="2" t="s">
        <v>263</v>
      </c>
      <c r="AI58" s="3" t="s">
        <v>823</v>
      </c>
      <c r="AJ58" s="3" t="s">
        <v>824</v>
      </c>
      <c r="AK58" s="2"/>
      <c r="AL58" s="3" t="s">
        <v>825</v>
      </c>
      <c r="AM58" s="2"/>
      <c r="AN58" s="2"/>
      <c r="AO58" s="3" t="s">
        <v>826</v>
      </c>
      <c r="AP58" s="3" t="s">
        <v>827</v>
      </c>
      <c r="AQ58" s="2" t="s">
        <v>106</v>
      </c>
    </row>
    <row r="59" customFormat="false" ht="46.25" hidden="false" customHeight="false" outlineLevel="0" collapsed="false">
      <c r="A59" s="2" t="n">
        <v>58</v>
      </c>
      <c r="B59" s="2" t="s">
        <v>828</v>
      </c>
      <c r="C59" s="2" t="s">
        <v>590</v>
      </c>
      <c r="D59" s="2" t="s">
        <v>590</v>
      </c>
      <c r="E59" s="2" t="s">
        <v>829</v>
      </c>
      <c r="F59" s="2" t="s">
        <v>830</v>
      </c>
      <c r="G59" s="3" t="s">
        <v>831</v>
      </c>
      <c r="H59" s="2" t="s">
        <v>832</v>
      </c>
      <c r="I59" s="2" t="s">
        <v>123</v>
      </c>
      <c r="J59" s="3" t="s">
        <v>833</v>
      </c>
      <c r="K59" s="2" t="s">
        <v>818</v>
      </c>
      <c r="L59" s="2" t="s">
        <v>723</v>
      </c>
      <c r="M59" s="2" t="s">
        <v>832</v>
      </c>
      <c r="N59" s="2"/>
      <c r="O59" s="2" t="s">
        <v>422</v>
      </c>
      <c r="P59" s="2" t="n">
        <v>40.489</v>
      </c>
      <c r="Q59" s="2" t="n">
        <v>31.1435</v>
      </c>
      <c r="R59" s="2" t="s">
        <v>95</v>
      </c>
      <c r="S59" s="2" t="n">
        <v>1100</v>
      </c>
      <c r="T59" s="2" t="s">
        <v>834</v>
      </c>
      <c r="U59" s="2" t="s">
        <v>56</v>
      </c>
      <c r="V59" s="2" t="s">
        <v>78</v>
      </c>
      <c r="W59" s="2" t="s">
        <v>304</v>
      </c>
      <c r="X59" s="2" t="s">
        <v>289</v>
      </c>
      <c r="Y59" s="2" t="s">
        <v>792</v>
      </c>
      <c r="Z59" s="2" t="s">
        <v>170</v>
      </c>
      <c r="AA59" s="2"/>
      <c r="AB59" s="2" t="s">
        <v>63</v>
      </c>
      <c r="AC59" s="2" t="s">
        <v>64</v>
      </c>
      <c r="AD59" s="2"/>
      <c r="AE59" s="3" t="s">
        <v>835</v>
      </c>
      <c r="AF59" s="3" t="s">
        <v>836</v>
      </c>
      <c r="AG59" s="2"/>
      <c r="AH59" s="2" t="s">
        <v>263</v>
      </c>
      <c r="AI59" s="3" t="s">
        <v>837</v>
      </c>
      <c r="AJ59" s="3" t="s">
        <v>838</v>
      </c>
      <c r="AK59" s="2" t="n">
        <v>845022</v>
      </c>
      <c r="AL59" s="3" t="s">
        <v>839</v>
      </c>
      <c r="AM59" s="2"/>
      <c r="AN59" s="2" t="s">
        <v>200</v>
      </c>
      <c r="AO59" s="3"/>
      <c r="AP59" s="3"/>
      <c r="AQ59" s="2"/>
    </row>
    <row r="60" customFormat="false" ht="35.05" hidden="false" customHeight="false" outlineLevel="0" collapsed="false">
      <c r="A60" s="2" t="n">
        <v>59</v>
      </c>
      <c r="B60" s="2" t="s">
        <v>840</v>
      </c>
      <c r="C60" s="2" t="s">
        <v>590</v>
      </c>
      <c r="D60" s="2" t="s">
        <v>590</v>
      </c>
      <c r="E60" s="2" t="s">
        <v>841</v>
      </c>
      <c r="F60" s="2" t="s">
        <v>842</v>
      </c>
      <c r="G60" s="3" t="s">
        <v>843</v>
      </c>
      <c r="H60" s="2" t="s">
        <v>844</v>
      </c>
      <c r="I60" s="2" t="s">
        <v>123</v>
      </c>
      <c r="J60" s="3" t="s">
        <v>845</v>
      </c>
      <c r="K60" s="2" t="s">
        <v>722</v>
      </c>
      <c r="L60" s="2" t="s">
        <v>723</v>
      </c>
      <c r="M60" s="2"/>
      <c r="N60" s="2"/>
      <c r="O60" s="2" t="s">
        <v>53</v>
      </c>
      <c r="P60" s="2" t="n">
        <v>40.9142</v>
      </c>
      <c r="Q60" s="2" t="n">
        <v>31.1204</v>
      </c>
      <c r="R60" s="2" t="s">
        <v>54</v>
      </c>
      <c r="S60" s="2" t="n">
        <v>-185</v>
      </c>
      <c r="T60" s="2" t="s">
        <v>751</v>
      </c>
      <c r="U60" s="2" t="s">
        <v>139</v>
      </c>
      <c r="V60" s="2" t="s">
        <v>57</v>
      </c>
      <c r="W60" s="2" t="s">
        <v>195</v>
      </c>
      <c r="X60" s="2" t="s">
        <v>246</v>
      </c>
      <c r="Y60" s="2" t="s">
        <v>752</v>
      </c>
      <c r="Z60" s="2" t="s">
        <v>694</v>
      </c>
      <c r="AA60" s="2"/>
      <c r="AB60" s="2" t="s">
        <v>63</v>
      </c>
      <c r="AC60" s="2" t="s">
        <v>64</v>
      </c>
      <c r="AD60" s="2"/>
      <c r="AE60" s="3" t="s">
        <v>846</v>
      </c>
      <c r="AF60" s="3" t="s">
        <v>847</v>
      </c>
      <c r="AG60" s="2"/>
      <c r="AH60" s="2" t="s">
        <v>54</v>
      </c>
      <c r="AI60" s="3" t="s">
        <v>848</v>
      </c>
      <c r="AJ60" s="3" t="s">
        <v>849</v>
      </c>
      <c r="AK60" s="2" t="n">
        <v>845049</v>
      </c>
      <c r="AL60" s="3" t="s">
        <v>850</v>
      </c>
      <c r="AM60" s="2"/>
      <c r="AN60" s="2"/>
      <c r="AO60" s="3"/>
      <c r="AP60" s="3"/>
      <c r="AQ60" s="2"/>
    </row>
    <row r="61" customFormat="false" ht="46.25" hidden="false" customHeight="false" outlineLevel="0" collapsed="false">
      <c r="A61" s="2" t="n">
        <v>60</v>
      </c>
      <c r="B61" s="2" t="s">
        <v>851</v>
      </c>
      <c r="C61" s="2" t="s">
        <v>590</v>
      </c>
      <c r="D61" s="2" t="s">
        <v>590</v>
      </c>
      <c r="E61" s="2" t="s">
        <v>852</v>
      </c>
      <c r="F61" s="2" t="s">
        <v>853</v>
      </c>
      <c r="G61" s="3" t="s">
        <v>854</v>
      </c>
      <c r="H61" s="2" t="s">
        <v>818</v>
      </c>
      <c r="I61" s="2" t="s">
        <v>123</v>
      </c>
      <c r="J61" s="3" t="s">
        <v>855</v>
      </c>
      <c r="K61" s="2" t="s">
        <v>818</v>
      </c>
      <c r="L61" s="2" t="s">
        <v>723</v>
      </c>
      <c r="M61" s="2" t="s">
        <v>581</v>
      </c>
      <c r="N61" s="2" t="s">
        <v>63</v>
      </c>
      <c r="O61" s="2" t="s">
        <v>5</v>
      </c>
      <c r="P61" s="2" t="n">
        <v>40.7562</v>
      </c>
      <c r="Q61" s="2" t="n">
        <v>31.5859</v>
      </c>
      <c r="R61" s="2" t="s">
        <v>54</v>
      </c>
      <c r="S61" s="2" t="n">
        <v>-64</v>
      </c>
      <c r="T61" s="2" t="s">
        <v>856</v>
      </c>
      <c r="U61" s="2" t="s">
        <v>56</v>
      </c>
      <c r="V61" s="2" t="s">
        <v>97</v>
      </c>
      <c r="W61" s="2" t="s">
        <v>195</v>
      </c>
      <c r="X61" s="2" t="s">
        <v>289</v>
      </c>
      <c r="Y61" s="2" t="s">
        <v>857</v>
      </c>
      <c r="Z61" s="2" t="s">
        <v>170</v>
      </c>
      <c r="AA61" s="2"/>
      <c r="AB61" s="2" t="s">
        <v>63</v>
      </c>
      <c r="AC61" s="2" t="s">
        <v>64</v>
      </c>
      <c r="AD61" s="2"/>
      <c r="AE61" s="3" t="s">
        <v>858</v>
      </c>
      <c r="AF61" s="3" t="s">
        <v>859</v>
      </c>
      <c r="AG61" s="2"/>
      <c r="AH61" s="2" t="s">
        <v>54</v>
      </c>
      <c r="AI61" s="3" t="s">
        <v>860</v>
      </c>
      <c r="AJ61" s="3" t="s">
        <v>861</v>
      </c>
      <c r="AK61" s="2" t="n">
        <v>844879</v>
      </c>
      <c r="AL61" s="3" t="s">
        <v>862</v>
      </c>
      <c r="AM61" s="2"/>
      <c r="AN61" s="2" t="s">
        <v>200</v>
      </c>
      <c r="AO61" s="3"/>
      <c r="AP61" s="3"/>
      <c r="AQ61" s="2"/>
    </row>
    <row r="62" customFormat="false" ht="46.25" hidden="false" customHeight="false" outlineLevel="0" collapsed="false">
      <c r="A62" s="2" t="n">
        <v>61</v>
      </c>
      <c r="B62" s="2" t="s">
        <v>863</v>
      </c>
      <c r="C62" s="2" t="s">
        <v>590</v>
      </c>
      <c r="D62" s="2" t="s">
        <v>590</v>
      </c>
      <c r="E62" s="2" t="s">
        <v>864</v>
      </c>
      <c r="F62" s="2" t="s">
        <v>865</v>
      </c>
      <c r="G62" s="3" t="s">
        <v>866</v>
      </c>
      <c r="H62" s="2" t="s">
        <v>867</v>
      </c>
      <c r="I62" s="2" t="s">
        <v>123</v>
      </c>
      <c r="J62" s="3" t="s">
        <v>868</v>
      </c>
      <c r="K62" s="2" t="s">
        <v>818</v>
      </c>
      <c r="L62" s="2" t="s">
        <v>723</v>
      </c>
      <c r="M62" s="2" t="s">
        <v>867</v>
      </c>
      <c r="N62" s="2"/>
      <c r="O62" s="2" t="s">
        <v>5</v>
      </c>
      <c r="P62" s="2" t="n">
        <v>40.8121</v>
      </c>
      <c r="Q62" s="2" t="n">
        <v>32.1649</v>
      </c>
      <c r="R62" s="2" t="s">
        <v>54</v>
      </c>
      <c r="S62" s="2" t="n">
        <v>75</v>
      </c>
      <c r="T62" s="2" t="s">
        <v>259</v>
      </c>
      <c r="U62" s="2" t="s">
        <v>56</v>
      </c>
      <c r="V62" s="2" t="s">
        <v>57</v>
      </c>
      <c r="W62" s="2" t="s">
        <v>140</v>
      </c>
      <c r="X62" s="2" t="s">
        <v>141</v>
      </c>
      <c r="Y62" s="2" t="s">
        <v>869</v>
      </c>
      <c r="Z62" s="2" t="s">
        <v>143</v>
      </c>
      <c r="AA62" s="2"/>
      <c r="AB62" s="2" t="s">
        <v>81</v>
      </c>
      <c r="AC62" s="2"/>
      <c r="AD62" s="2"/>
      <c r="AE62" s="3"/>
      <c r="AF62" s="3" t="s">
        <v>870</v>
      </c>
      <c r="AG62" s="2"/>
      <c r="AH62" s="2" t="s">
        <v>54</v>
      </c>
      <c r="AI62" s="3" t="s">
        <v>871</v>
      </c>
      <c r="AJ62" s="3" t="s">
        <v>872</v>
      </c>
      <c r="AK62" s="2" t="n">
        <v>844991</v>
      </c>
      <c r="AL62" s="3" t="s">
        <v>873</v>
      </c>
      <c r="AM62" s="2"/>
      <c r="AN62" s="2" t="s">
        <v>200</v>
      </c>
      <c r="AO62" s="3" t="s">
        <v>874</v>
      </c>
      <c r="AP62" s="3" t="s">
        <v>875</v>
      </c>
      <c r="AQ62" s="2" t="s">
        <v>151</v>
      </c>
    </row>
    <row r="63" customFormat="false" ht="57.45" hidden="false" customHeight="false" outlineLevel="0" collapsed="false">
      <c r="A63" s="2" t="n">
        <v>62</v>
      </c>
      <c r="B63" s="2" t="s">
        <v>876</v>
      </c>
      <c r="C63" s="2" t="s">
        <v>590</v>
      </c>
      <c r="D63" s="2" t="s">
        <v>590</v>
      </c>
      <c r="E63" s="2" t="s">
        <v>877</v>
      </c>
      <c r="F63" s="2" t="s">
        <v>878</v>
      </c>
      <c r="G63" s="3" t="s">
        <v>879</v>
      </c>
      <c r="H63" s="2" t="s">
        <v>880</v>
      </c>
      <c r="I63" s="2" t="s">
        <v>123</v>
      </c>
      <c r="J63" s="3" t="s">
        <v>881</v>
      </c>
      <c r="K63" s="2" t="s">
        <v>882</v>
      </c>
      <c r="L63" s="2" t="s">
        <v>723</v>
      </c>
      <c r="M63" s="2" t="s">
        <v>880</v>
      </c>
      <c r="N63" s="2"/>
      <c r="O63" s="2" t="s">
        <v>5</v>
      </c>
      <c r="P63" s="2" t="n">
        <v>41.2833</v>
      </c>
      <c r="Q63" s="2" t="n">
        <v>31.4174</v>
      </c>
      <c r="R63" s="2" t="s">
        <v>54</v>
      </c>
      <c r="S63" s="2" t="n">
        <v>-560</v>
      </c>
      <c r="T63" s="2" t="s">
        <v>219</v>
      </c>
      <c r="U63" s="2" t="s">
        <v>96</v>
      </c>
      <c r="V63" s="2" t="s">
        <v>57</v>
      </c>
      <c r="W63" s="2" t="s">
        <v>58</v>
      </c>
      <c r="X63" s="2" t="s">
        <v>59</v>
      </c>
      <c r="Y63" s="2" t="s">
        <v>883</v>
      </c>
      <c r="Z63" s="2" t="s">
        <v>61</v>
      </c>
      <c r="AA63" s="2" t="s">
        <v>884</v>
      </c>
      <c r="AB63" s="2" t="s">
        <v>81</v>
      </c>
      <c r="AC63" s="2"/>
      <c r="AD63" s="2"/>
      <c r="AE63" s="3" t="s">
        <v>885</v>
      </c>
      <c r="AF63" s="3" t="s">
        <v>886</v>
      </c>
      <c r="AG63" s="2"/>
      <c r="AH63" s="2" t="s">
        <v>54</v>
      </c>
      <c r="AI63" s="3" t="s">
        <v>887</v>
      </c>
      <c r="AJ63" s="3" t="s">
        <v>888</v>
      </c>
      <c r="AK63" s="2" t="n">
        <v>844944</v>
      </c>
      <c r="AL63" s="3" t="s">
        <v>889</v>
      </c>
      <c r="AM63" s="2"/>
      <c r="AN63" s="2" t="s">
        <v>200</v>
      </c>
      <c r="AO63" s="3" t="s">
        <v>890</v>
      </c>
      <c r="AP63" s="3" t="s">
        <v>891</v>
      </c>
      <c r="AQ63" s="2" t="s">
        <v>151</v>
      </c>
    </row>
    <row r="64" customFormat="false" ht="46.25" hidden="false" customHeight="false" outlineLevel="0" collapsed="false">
      <c r="A64" s="2" t="n">
        <v>63</v>
      </c>
      <c r="B64" s="2" t="s">
        <v>892</v>
      </c>
      <c r="C64" s="2" t="s">
        <v>893</v>
      </c>
      <c r="D64" s="2" t="s">
        <v>894</v>
      </c>
      <c r="E64" s="2" t="s">
        <v>895</v>
      </c>
      <c r="F64" s="2" t="s">
        <v>896</v>
      </c>
      <c r="G64" s="3" t="s">
        <v>897</v>
      </c>
      <c r="H64" s="2" t="s">
        <v>898</v>
      </c>
      <c r="I64" s="2" t="s">
        <v>123</v>
      </c>
      <c r="J64" s="3" t="s">
        <v>899</v>
      </c>
      <c r="K64" s="2" t="s">
        <v>51</v>
      </c>
      <c r="L64" s="2" t="s">
        <v>52</v>
      </c>
      <c r="M64" s="2" t="s">
        <v>898</v>
      </c>
      <c r="N64" s="2"/>
      <c r="O64" s="2" t="s">
        <v>53</v>
      </c>
      <c r="P64" s="2" t="n">
        <v>39.8343</v>
      </c>
      <c r="Q64" s="2" t="n">
        <v>26.0696</v>
      </c>
      <c r="R64" s="2" t="s">
        <v>54</v>
      </c>
      <c r="S64" s="2" t="n">
        <v>-700</v>
      </c>
      <c r="T64" s="2" t="s">
        <v>900</v>
      </c>
      <c r="U64" s="2" t="s">
        <v>77</v>
      </c>
      <c r="V64" s="2" t="s">
        <v>78</v>
      </c>
      <c r="W64" s="2" t="s">
        <v>58</v>
      </c>
      <c r="X64" s="2" t="s">
        <v>901</v>
      </c>
      <c r="Y64" s="2" t="s">
        <v>902</v>
      </c>
      <c r="Z64" s="2" t="s">
        <v>903</v>
      </c>
      <c r="AA64" s="2"/>
      <c r="AB64" s="2" t="s">
        <v>63</v>
      </c>
      <c r="AC64" s="2" t="s">
        <v>77</v>
      </c>
      <c r="AD64" s="2"/>
      <c r="AE64" s="3" t="s">
        <v>904</v>
      </c>
      <c r="AF64" s="3" t="s">
        <v>905</v>
      </c>
      <c r="AG64" s="2"/>
      <c r="AH64" s="2" t="s">
        <v>54</v>
      </c>
      <c r="AI64" s="3" t="s">
        <v>906</v>
      </c>
      <c r="AJ64" s="3" t="s">
        <v>907</v>
      </c>
      <c r="AK64" s="2" t="n">
        <v>550911</v>
      </c>
      <c r="AL64" s="3" t="s">
        <v>908</v>
      </c>
      <c r="AM64" s="2"/>
      <c r="AN64" s="2"/>
      <c r="AO64" s="3"/>
      <c r="AP64" s="3"/>
      <c r="AQ64" s="2"/>
    </row>
    <row r="65" customFormat="false" ht="57.45" hidden="false" customHeight="false" outlineLevel="0" collapsed="false">
      <c r="A65" s="2" t="n">
        <v>64</v>
      </c>
      <c r="B65" s="2" t="s">
        <v>909</v>
      </c>
      <c r="C65" s="2" t="s">
        <v>893</v>
      </c>
      <c r="D65" s="2" t="s">
        <v>910</v>
      </c>
      <c r="E65" s="2" t="s">
        <v>911</v>
      </c>
      <c r="F65" s="2" t="s">
        <v>912</v>
      </c>
      <c r="G65" s="3" t="s">
        <v>913</v>
      </c>
      <c r="H65" s="2"/>
      <c r="I65" s="2" t="s">
        <v>74</v>
      </c>
      <c r="J65" s="3" t="s">
        <v>914</v>
      </c>
      <c r="K65" s="2" t="s">
        <v>609</v>
      </c>
      <c r="L65" s="2" t="s">
        <v>52</v>
      </c>
      <c r="M65" s="2"/>
      <c r="N65" s="2"/>
      <c r="O65" s="2"/>
      <c r="P65" s="2" t="n">
        <v>40.3776</v>
      </c>
      <c r="Q65" s="2" t="n">
        <v>28.6742</v>
      </c>
      <c r="R65" s="2" t="s">
        <v>95</v>
      </c>
      <c r="S65" s="2" t="n">
        <v>-450</v>
      </c>
      <c r="T65" s="2" t="s">
        <v>915</v>
      </c>
      <c r="U65" s="2" t="s">
        <v>56</v>
      </c>
      <c r="V65" s="2" t="s">
        <v>78</v>
      </c>
      <c r="W65" s="2" t="s">
        <v>168</v>
      </c>
      <c r="X65" s="2" t="s">
        <v>169</v>
      </c>
      <c r="Y65" s="2" t="s">
        <v>409</v>
      </c>
      <c r="Z65" s="2" t="s">
        <v>170</v>
      </c>
      <c r="AA65" s="2"/>
      <c r="AB65" s="2" t="s">
        <v>81</v>
      </c>
      <c r="AC65" s="2"/>
      <c r="AD65" s="2"/>
      <c r="AE65" s="3"/>
      <c r="AF65" s="3" t="s">
        <v>916</v>
      </c>
      <c r="AG65" s="2"/>
      <c r="AH65" s="2" t="s">
        <v>113</v>
      </c>
      <c r="AI65" s="3" t="s">
        <v>917</v>
      </c>
      <c r="AJ65" s="3" t="s">
        <v>918</v>
      </c>
      <c r="AK65" s="2" t="n">
        <v>511226</v>
      </c>
      <c r="AL65" s="3" t="s">
        <v>919</v>
      </c>
      <c r="AM65" s="2"/>
      <c r="AN65" s="2"/>
      <c r="AO65" s="3" t="s">
        <v>920</v>
      </c>
      <c r="AP65" s="3" t="s">
        <v>921</v>
      </c>
      <c r="AQ65" s="2" t="s">
        <v>106</v>
      </c>
    </row>
    <row r="66" customFormat="false" ht="46.25" hidden="false" customHeight="false" outlineLevel="0" collapsed="false">
      <c r="A66" s="2" t="n">
        <v>65</v>
      </c>
      <c r="B66" s="2" t="s">
        <v>922</v>
      </c>
      <c r="C66" s="2" t="s">
        <v>893</v>
      </c>
      <c r="D66" s="2" t="s">
        <v>910</v>
      </c>
      <c r="E66" s="2" t="s">
        <v>923</v>
      </c>
      <c r="F66" s="2" t="s">
        <v>924</v>
      </c>
      <c r="G66" s="3"/>
      <c r="H66" s="2"/>
      <c r="I66" s="2" t="s">
        <v>74</v>
      </c>
      <c r="J66" s="3" t="s">
        <v>925</v>
      </c>
      <c r="K66" s="2" t="s">
        <v>609</v>
      </c>
      <c r="L66" s="2" t="s">
        <v>52</v>
      </c>
      <c r="M66" s="2"/>
      <c r="N66" s="2"/>
      <c r="O66" s="2"/>
      <c r="P66" s="2" t="n">
        <v>40.0835</v>
      </c>
      <c r="Q66" s="2" t="n">
        <v>28.3165</v>
      </c>
      <c r="R66" s="2" t="s">
        <v>95</v>
      </c>
      <c r="S66" s="2" t="n">
        <v>-350</v>
      </c>
      <c r="T66" s="2" t="s">
        <v>926</v>
      </c>
      <c r="U66" s="2" t="s">
        <v>56</v>
      </c>
      <c r="V66" s="2" t="s">
        <v>78</v>
      </c>
      <c r="W66" s="2" t="s">
        <v>168</v>
      </c>
      <c r="X66" s="2" t="s">
        <v>59</v>
      </c>
      <c r="Y66" s="2" t="s">
        <v>111</v>
      </c>
      <c r="Z66" s="2" t="s">
        <v>61</v>
      </c>
      <c r="AA66" s="2" t="s">
        <v>111</v>
      </c>
      <c r="AB66" s="2" t="s">
        <v>81</v>
      </c>
      <c r="AC66" s="2"/>
      <c r="AD66" s="2"/>
      <c r="AE66" s="3"/>
      <c r="AF66" s="3" t="s">
        <v>927</v>
      </c>
      <c r="AG66" s="2"/>
      <c r="AH66" s="2" t="s">
        <v>54</v>
      </c>
      <c r="AI66" s="3" t="s">
        <v>928</v>
      </c>
      <c r="AJ66" s="3" t="s">
        <v>929</v>
      </c>
      <c r="AK66" s="2" t="n">
        <v>511318</v>
      </c>
      <c r="AL66" s="3" t="s">
        <v>930</v>
      </c>
      <c r="AM66" s="2"/>
      <c r="AN66" s="2"/>
      <c r="AO66" s="3" t="s">
        <v>931</v>
      </c>
      <c r="AP66" s="3" t="s">
        <v>932</v>
      </c>
      <c r="AQ66" s="2" t="s">
        <v>151</v>
      </c>
    </row>
    <row r="67" customFormat="false" ht="46.25" hidden="false" customHeight="false" outlineLevel="0" collapsed="false">
      <c r="A67" s="2" t="n">
        <v>66</v>
      </c>
      <c r="B67" s="2" t="s">
        <v>933</v>
      </c>
      <c r="C67" s="2" t="s">
        <v>893</v>
      </c>
      <c r="D67" s="2" t="s">
        <v>910</v>
      </c>
      <c r="E67" s="2" t="s">
        <v>934</v>
      </c>
      <c r="F67" s="2" t="s">
        <v>935</v>
      </c>
      <c r="G67" s="3" t="s">
        <v>936</v>
      </c>
      <c r="H67" s="2" t="s">
        <v>937</v>
      </c>
      <c r="I67" s="2" t="s">
        <v>49</v>
      </c>
      <c r="J67" s="3" t="s">
        <v>938</v>
      </c>
      <c r="K67" s="2" t="s">
        <v>609</v>
      </c>
      <c r="L67" s="2" t="s">
        <v>52</v>
      </c>
      <c r="M67" s="2"/>
      <c r="N67" s="2"/>
      <c r="O67" s="2" t="s">
        <v>5</v>
      </c>
      <c r="P67" s="2" t="n">
        <v>40.208</v>
      </c>
      <c r="Q67" s="2" t="n">
        <v>28.4309</v>
      </c>
      <c r="R67" s="2" t="s">
        <v>95</v>
      </c>
      <c r="S67" s="2" t="n">
        <v>-410</v>
      </c>
      <c r="T67" s="2" t="s">
        <v>939</v>
      </c>
      <c r="U67" s="2" t="s">
        <v>56</v>
      </c>
      <c r="V67" s="2" t="s">
        <v>57</v>
      </c>
      <c r="W67" s="2" t="s">
        <v>168</v>
      </c>
      <c r="X67" s="2" t="s">
        <v>59</v>
      </c>
      <c r="Y67" s="2" t="s">
        <v>940</v>
      </c>
      <c r="Z67" s="2" t="s">
        <v>61</v>
      </c>
      <c r="AA67" s="2" t="s">
        <v>111</v>
      </c>
      <c r="AB67" s="2" t="s">
        <v>81</v>
      </c>
      <c r="AC67" s="2"/>
      <c r="AD67" s="2"/>
      <c r="AE67" s="3"/>
      <c r="AF67" s="3" t="s">
        <v>941</v>
      </c>
      <c r="AG67" s="2"/>
      <c r="AH67" s="2" t="s">
        <v>113</v>
      </c>
      <c r="AI67" s="3" t="s">
        <v>942</v>
      </c>
      <c r="AJ67" s="3" t="s">
        <v>943</v>
      </c>
      <c r="AK67" s="2" t="n">
        <v>511320</v>
      </c>
      <c r="AL67" s="3" t="s">
        <v>944</v>
      </c>
      <c r="AM67" s="2"/>
      <c r="AN67" s="2" t="s">
        <v>200</v>
      </c>
      <c r="AO67" s="3" t="s">
        <v>945</v>
      </c>
      <c r="AP67" s="3" t="s">
        <v>946</v>
      </c>
      <c r="AQ67" s="2" t="s">
        <v>106</v>
      </c>
    </row>
    <row r="68" customFormat="false" ht="46.25" hidden="false" customHeight="false" outlineLevel="0" collapsed="false">
      <c r="A68" s="2" t="n">
        <v>67</v>
      </c>
      <c r="B68" s="2" t="s">
        <v>947</v>
      </c>
      <c r="C68" s="2" t="s">
        <v>893</v>
      </c>
      <c r="D68" s="2" t="s">
        <v>910</v>
      </c>
      <c r="E68" s="2" t="s">
        <v>948</v>
      </c>
      <c r="F68" s="2" t="s">
        <v>949</v>
      </c>
      <c r="G68" s="3" t="s">
        <v>950</v>
      </c>
      <c r="H68" s="2" t="s">
        <v>951</v>
      </c>
      <c r="I68" s="2" t="s">
        <v>49</v>
      </c>
      <c r="J68" s="3" t="s">
        <v>952</v>
      </c>
      <c r="K68" s="2" t="s">
        <v>609</v>
      </c>
      <c r="L68" s="2" t="s">
        <v>52</v>
      </c>
      <c r="M68" s="2"/>
      <c r="N68" s="2"/>
      <c r="O68" s="2" t="s">
        <v>53</v>
      </c>
      <c r="P68" s="2" t="n">
        <v>40.1751</v>
      </c>
      <c r="Q68" s="2" t="n">
        <v>28.6808</v>
      </c>
      <c r="R68" s="2" t="s">
        <v>54</v>
      </c>
      <c r="S68" s="2" t="n">
        <v>-200</v>
      </c>
      <c r="T68" s="2" t="s">
        <v>194</v>
      </c>
      <c r="U68" s="2" t="s">
        <v>56</v>
      </c>
      <c r="V68" s="2" t="s">
        <v>78</v>
      </c>
      <c r="W68" s="2" t="s">
        <v>195</v>
      </c>
      <c r="X68" s="2" t="s">
        <v>59</v>
      </c>
      <c r="Y68" s="2" t="s">
        <v>953</v>
      </c>
      <c r="Z68" s="2" t="s">
        <v>61</v>
      </c>
      <c r="AA68" s="2" t="s">
        <v>111</v>
      </c>
      <c r="AB68" s="2" t="s">
        <v>81</v>
      </c>
      <c r="AC68" s="2"/>
      <c r="AD68" s="2"/>
      <c r="AE68" s="3"/>
      <c r="AF68" s="3" t="s">
        <v>954</v>
      </c>
      <c r="AG68" s="2"/>
      <c r="AH68" s="2" t="s">
        <v>54</v>
      </c>
      <c r="AI68" s="3" t="s">
        <v>955</v>
      </c>
      <c r="AJ68" s="3" t="s">
        <v>956</v>
      </c>
      <c r="AK68" s="2" t="n">
        <v>511151</v>
      </c>
      <c r="AL68" s="3" t="s">
        <v>957</v>
      </c>
      <c r="AM68" s="2"/>
      <c r="AN68" s="2"/>
      <c r="AO68" s="3" t="s">
        <v>958</v>
      </c>
      <c r="AP68" s="3" t="s">
        <v>959</v>
      </c>
      <c r="AQ68" s="2" t="s">
        <v>151</v>
      </c>
    </row>
    <row r="69" customFormat="false" ht="46.25" hidden="false" customHeight="false" outlineLevel="0" collapsed="false">
      <c r="A69" s="2" t="n">
        <v>68</v>
      </c>
      <c r="B69" s="2" t="s">
        <v>960</v>
      </c>
      <c r="C69" s="2" t="s">
        <v>893</v>
      </c>
      <c r="D69" s="2" t="s">
        <v>910</v>
      </c>
      <c r="E69" s="2" t="s">
        <v>961</v>
      </c>
      <c r="F69" s="2" t="s">
        <v>962</v>
      </c>
      <c r="G69" s="3" t="s">
        <v>963</v>
      </c>
      <c r="H69" s="2" t="s">
        <v>964</v>
      </c>
      <c r="I69" s="2" t="s">
        <v>123</v>
      </c>
      <c r="J69" s="3" t="s">
        <v>965</v>
      </c>
      <c r="K69" s="2" t="s">
        <v>609</v>
      </c>
      <c r="L69" s="2" t="s">
        <v>52</v>
      </c>
      <c r="M69" s="2" t="s">
        <v>964</v>
      </c>
      <c r="N69" s="2"/>
      <c r="O69" s="2" t="s">
        <v>53</v>
      </c>
      <c r="P69" s="2" t="n">
        <v>39.9061</v>
      </c>
      <c r="Q69" s="2" t="n">
        <v>28.9989</v>
      </c>
      <c r="R69" s="2" t="s">
        <v>54</v>
      </c>
      <c r="S69" s="2" t="n">
        <v>125</v>
      </c>
      <c r="T69" s="2" t="s">
        <v>138</v>
      </c>
      <c r="U69" s="2" t="s">
        <v>139</v>
      </c>
      <c r="V69" s="2" t="s">
        <v>57</v>
      </c>
      <c r="W69" s="2" t="s">
        <v>140</v>
      </c>
      <c r="X69" s="2" t="s">
        <v>141</v>
      </c>
      <c r="Y69" s="2" t="s">
        <v>583</v>
      </c>
      <c r="Z69" s="2" t="s">
        <v>143</v>
      </c>
      <c r="AA69" s="2"/>
      <c r="AB69" s="2" t="s">
        <v>81</v>
      </c>
      <c r="AC69" s="2"/>
      <c r="AD69" s="2"/>
      <c r="AE69" s="3"/>
      <c r="AF69" s="3" t="s">
        <v>966</v>
      </c>
      <c r="AG69" s="2"/>
      <c r="AH69" s="2" t="s">
        <v>54</v>
      </c>
      <c r="AI69" s="3" t="s">
        <v>967</v>
      </c>
      <c r="AJ69" s="3" t="s">
        <v>968</v>
      </c>
      <c r="AK69" s="2" t="n">
        <v>609396</v>
      </c>
      <c r="AL69" s="3" t="s">
        <v>969</v>
      </c>
      <c r="AM69" s="2"/>
      <c r="AN69" s="2"/>
      <c r="AO69" s="3" t="s">
        <v>970</v>
      </c>
      <c r="AP69" s="3" t="s">
        <v>971</v>
      </c>
      <c r="AQ69" s="2" t="s">
        <v>89</v>
      </c>
    </row>
    <row r="70" customFormat="false" ht="46.25" hidden="false" customHeight="false" outlineLevel="0" collapsed="false">
      <c r="A70" s="2" t="n">
        <v>69</v>
      </c>
      <c r="B70" s="2" t="s">
        <v>972</v>
      </c>
      <c r="C70" s="2" t="s">
        <v>893</v>
      </c>
      <c r="D70" s="2" t="s">
        <v>910</v>
      </c>
      <c r="E70" s="2" t="s">
        <v>973</v>
      </c>
      <c r="F70" s="2" t="s">
        <v>974</v>
      </c>
      <c r="G70" s="3" t="s">
        <v>975</v>
      </c>
      <c r="H70" s="2" t="s">
        <v>52</v>
      </c>
      <c r="I70" s="2" t="s">
        <v>123</v>
      </c>
      <c r="J70" s="3" t="s">
        <v>976</v>
      </c>
      <c r="K70" s="2" t="s">
        <v>977</v>
      </c>
      <c r="L70" s="2" t="s">
        <v>52</v>
      </c>
      <c r="M70" s="2" t="s">
        <v>52</v>
      </c>
      <c r="N70" s="2"/>
      <c r="O70" s="2" t="s">
        <v>5</v>
      </c>
      <c r="P70" s="2" t="n">
        <v>40.5917</v>
      </c>
      <c r="Q70" s="2" t="n">
        <v>27.5557</v>
      </c>
      <c r="R70" s="2" t="s">
        <v>95</v>
      </c>
      <c r="S70" s="2" t="n">
        <v>-675</v>
      </c>
      <c r="T70" s="2" t="s">
        <v>978</v>
      </c>
      <c r="U70" s="2" t="s">
        <v>96</v>
      </c>
      <c r="V70" s="2" t="s">
        <v>78</v>
      </c>
      <c r="W70" s="2" t="s">
        <v>58</v>
      </c>
      <c r="X70" s="2" t="s">
        <v>59</v>
      </c>
      <c r="Y70" s="2" t="s">
        <v>979</v>
      </c>
      <c r="Z70" s="2" t="s">
        <v>61</v>
      </c>
      <c r="AA70" s="2" t="s">
        <v>111</v>
      </c>
      <c r="AB70" s="2" t="s">
        <v>81</v>
      </c>
      <c r="AC70" s="2"/>
      <c r="AD70" s="2"/>
      <c r="AE70" s="3"/>
      <c r="AF70" s="3" t="s">
        <v>980</v>
      </c>
      <c r="AG70" s="2"/>
      <c r="AH70" s="2" t="s">
        <v>54</v>
      </c>
      <c r="AI70" s="3" t="s">
        <v>981</v>
      </c>
      <c r="AJ70" s="3" t="s">
        <v>982</v>
      </c>
      <c r="AK70" s="2" t="n">
        <v>511378</v>
      </c>
      <c r="AL70" s="3" t="s">
        <v>983</v>
      </c>
      <c r="AM70" s="2"/>
      <c r="AN70" s="2" t="s">
        <v>200</v>
      </c>
      <c r="AO70" s="3" t="s">
        <v>984</v>
      </c>
      <c r="AP70" s="3" t="s">
        <v>985</v>
      </c>
      <c r="AQ70" s="2" t="s">
        <v>151</v>
      </c>
    </row>
    <row r="71" customFormat="false" ht="46.25" hidden="false" customHeight="false" outlineLevel="0" collapsed="false">
      <c r="A71" s="2" t="n">
        <v>70</v>
      </c>
      <c r="B71" s="2" t="s">
        <v>986</v>
      </c>
      <c r="C71" s="2" t="s">
        <v>893</v>
      </c>
      <c r="D71" s="2" t="s">
        <v>910</v>
      </c>
      <c r="E71" s="2" t="s">
        <v>987</v>
      </c>
      <c r="F71" s="2" t="s">
        <v>988</v>
      </c>
      <c r="G71" s="3" t="s">
        <v>989</v>
      </c>
      <c r="H71" s="2" t="s">
        <v>990</v>
      </c>
      <c r="I71" s="2" t="s">
        <v>123</v>
      </c>
      <c r="J71" s="3" t="s">
        <v>991</v>
      </c>
      <c r="K71" s="2" t="s">
        <v>977</v>
      </c>
      <c r="L71" s="2" t="s">
        <v>52</v>
      </c>
      <c r="M71" s="2" t="s">
        <v>990</v>
      </c>
      <c r="N71" s="2"/>
      <c r="O71" s="2" t="s">
        <v>5</v>
      </c>
      <c r="P71" s="2" t="n">
        <v>40.403</v>
      </c>
      <c r="Q71" s="2" t="n">
        <v>27.7963</v>
      </c>
      <c r="R71" s="2" t="s">
        <v>54</v>
      </c>
      <c r="S71" s="2" t="n">
        <v>-600</v>
      </c>
      <c r="T71" s="2" t="s">
        <v>76</v>
      </c>
      <c r="U71" s="2" t="s">
        <v>96</v>
      </c>
      <c r="V71" s="2" t="s">
        <v>97</v>
      </c>
      <c r="W71" s="2" t="s">
        <v>58</v>
      </c>
      <c r="X71" s="2" t="s">
        <v>59</v>
      </c>
      <c r="Y71" s="2" t="s">
        <v>979</v>
      </c>
      <c r="Z71" s="2" t="s">
        <v>61</v>
      </c>
      <c r="AA71" s="2" t="s">
        <v>111</v>
      </c>
      <c r="AB71" s="2" t="s">
        <v>81</v>
      </c>
      <c r="AC71" s="2"/>
      <c r="AD71" s="2"/>
      <c r="AE71" s="3"/>
      <c r="AF71" s="3" t="s">
        <v>992</v>
      </c>
      <c r="AG71" s="2"/>
      <c r="AH71" s="2" t="s">
        <v>54</v>
      </c>
      <c r="AI71" s="3" t="s">
        <v>993</v>
      </c>
      <c r="AJ71" s="3" t="s">
        <v>994</v>
      </c>
      <c r="AK71" s="2" t="n">
        <v>511158</v>
      </c>
      <c r="AL71" s="3" t="s">
        <v>995</v>
      </c>
      <c r="AM71" s="2"/>
      <c r="AN71" s="2" t="s">
        <v>200</v>
      </c>
      <c r="AO71" s="3" t="s">
        <v>996</v>
      </c>
      <c r="AP71" s="3" t="s">
        <v>997</v>
      </c>
      <c r="AQ71" s="2" t="s">
        <v>89</v>
      </c>
    </row>
    <row r="72" customFormat="false" ht="46.25" hidden="false" customHeight="false" outlineLevel="0" collapsed="false">
      <c r="A72" s="2" t="n">
        <v>71</v>
      </c>
      <c r="B72" s="2" t="s">
        <v>998</v>
      </c>
      <c r="C72" s="2" t="s">
        <v>893</v>
      </c>
      <c r="D72" s="2" t="s">
        <v>910</v>
      </c>
      <c r="E72" s="2" t="s">
        <v>999</v>
      </c>
      <c r="F72" s="2" t="s">
        <v>1000</v>
      </c>
      <c r="G72" s="3" t="s">
        <v>1001</v>
      </c>
      <c r="H72" s="2"/>
      <c r="I72" s="2" t="s">
        <v>74</v>
      </c>
      <c r="J72" s="3" t="s">
        <v>1002</v>
      </c>
      <c r="K72" s="2" t="s">
        <v>977</v>
      </c>
      <c r="L72" s="2" t="s">
        <v>52</v>
      </c>
      <c r="M72" s="2"/>
      <c r="N72" s="2"/>
      <c r="O72" s="2"/>
      <c r="P72" s="2" t="n">
        <v>40.3856</v>
      </c>
      <c r="Q72" s="2" t="n">
        <v>27.8832</v>
      </c>
      <c r="R72" s="2" t="s">
        <v>54</v>
      </c>
      <c r="S72" s="2" t="n">
        <v>-679</v>
      </c>
      <c r="T72" s="2" t="s">
        <v>1003</v>
      </c>
      <c r="U72" s="2" t="s">
        <v>96</v>
      </c>
      <c r="V72" s="2" t="s">
        <v>57</v>
      </c>
      <c r="W72" s="2" t="s">
        <v>58</v>
      </c>
      <c r="X72" s="2" t="s">
        <v>59</v>
      </c>
      <c r="Y72" s="2" t="s">
        <v>979</v>
      </c>
      <c r="Z72" s="2" t="s">
        <v>61</v>
      </c>
      <c r="AA72" s="2" t="s">
        <v>111</v>
      </c>
      <c r="AB72" s="2" t="s">
        <v>81</v>
      </c>
      <c r="AC72" s="2"/>
      <c r="AD72" s="2"/>
      <c r="AE72" s="3"/>
      <c r="AF72" s="3" t="s">
        <v>1004</v>
      </c>
      <c r="AG72" s="2"/>
      <c r="AH72" s="2" t="s">
        <v>54</v>
      </c>
      <c r="AI72" s="3" t="s">
        <v>1005</v>
      </c>
      <c r="AJ72" s="3" t="s">
        <v>1006</v>
      </c>
      <c r="AK72" s="2" t="n">
        <v>511218</v>
      </c>
      <c r="AL72" s="3" t="s">
        <v>1007</v>
      </c>
      <c r="AM72" s="2"/>
      <c r="AN72" s="2"/>
      <c r="AO72" s="3" t="s">
        <v>1008</v>
      </c>
      <c r="AP72" s="3" t="s">
        <v>1009</v>
      </c>
      <c r="AQ72" s="2" t="s">
        <v>151</v>
      </c>
    </row>
    <row r="73" customFormat="false" ht="35.05" hidden="false" customHeight="false" outlineLevel="0" collapsed="false">
      <c r="A73" s="2" t="n">
        <v>72</v>
      </c>
      <c r="B73" s="2" t="s">
        <v>1010</v>
      </c>
      <c r="C73" s="2" t="s">
        <v>893</v>
      </c>
      <c r="D73" s="2" t="s">
        <v>910</v>
      </c>
      <c r="E73" s="2" t="s">
        <v>1011</v>
      </c>
      <c r="F73" s="2" t="s">
        <v>1012</v>
      </c>
      <c r="G73" s="3" t="s">
        <v>1013</v>
      </c>
      <c r="H73" s="2" t="s">
        <v>1014</v>
      </c>
      <c r="I73" s="2" t="s">
        <v>123</v>
      </c>
      <c r="J73" s="3" t="s">
        <v>1015</v>
      </c>
      <c r="K73" s="2" t="s">
        <v>51</v>
      </c>
      <c r="L73" s="2" t="s">
        <v>52</v>
      </c>
      <c r="M73" s="2"/>
      <c r="N73" s="2"/>
      <c r="O73" s="2" t="s">
        <v>5</v>
      </c>
      <c r="P73" s="2" t="n">
        <v>40.4136</v>
      </c>
      <c r="Q73" s="2" t="n">
        <v>27.3255</v>
      </c>
      <c r="R73" s="2" t="s">
        <v>54</v>
      </c>
      <c r="S73" s="2" t="n">
        <v>-600</v>
      </c>
      <c r="T73" s="2" t="s">
        <v>76</v>
      </c>
      <c r="U73" s="2" t="s">
        <v>96</v>
      </c>
      <c r="V73" s="2" t="s">
        <v>97</v>
      </c>
      <c r="W73" s="2" t="s">
        <v>58</v>
      </c>
      <c r="X73" s="2" t="s">
        <v>59</v>
      </c>
      <c r="Y73" s="2" t="s">
        <v>1016</v>
      </c>
      <c r="Z73" s="2" t="s">
        <v>61</v>
      </c>
      <c r="AA73" s="2" t="s">
        <v>1017</v>
      </c>
      <c r="AB73" s="2" t="s">
        <v>81</v>
      </c>
      <c r="AC73" s="2"/>
      <c r="AD73" s="2"/>
      <c r="AE73" s="3"/>
      <c r="AF73" s="3" t="s">
        <v>1018</v>
      </c>
      <c r="AG73" s="2"/>
      <c r="AH73" s="2" t="s">
        <v>54</v>
      </c>
      <c r="AI73" s="3" t="s">
        <v>1019</v>
      </c>
      <c r="AJ73" s="3" t="s">
        <v>1020</v>
      </c>
      <c r="AK73" s="2" t="n">
        <v>511375</v>
      </c>
      <c r="AL73" s="3" t="s">
        <v>1021</v>
      </c>
      <c r="AM73" s="2"/>
      <c r="AN73" s="2" t="s">
        <v>200</v>
      </c>
      <c r="AO73" s="3" t="s">
        <v>1022</v>
      </c>
      <c r="AP73" s="3" t="s">
        <v>1023</v>
      </c>
      <c r="AQ73" s="2" t="s">
        <v>151</v>
      </c>
    </row>
    <row r="74" customFormat="false" ht="35.05" hidden="false" customHeight="false" outlineLevel="0" collapsed="false">
      <c r="A74" s="2" t="n">
        <v>73</v>
      </c>
      <c r="B74" s="2" t="s">
        <v>1024</v>
      </c>
      <c r="C74" s="2" t="s">
        <v>893</v>
      </c>
      <c r="D74" s="2" t="s">
        <v>910</v>
      </c>
      <c r="E74" s="2" t="s">
        <v>1025</v>
      </c>
      <c r="F74" s="2" t="s">
        <v>1026</v>
      </c>
      <c r="G74" s="3" t="s">
        <v>1027</v>
      </c>
      <c r="H74" s="2"/>
      <c r="I74" s="2" t="s">
        <v>74</v>
      </c>
      <c r="J74" s="3" t="s">
        <v>1028</v>
      </c>
      <c r="K74" s="2" t="s">
        <v>51</v>
      </c>
      <c r="L74" s="2" t="s">
        <v>52</v>
      </c>
      <c r="M74" s="2"/>
      <c r="N74" s="2"/>
      <c r="O74" s="2"/>
      <c r="P74" s="2" t="n">
        <v>40.286</v>
      </c>
      <c r="Q74" s="2" t="n">
        <v>27.2744</v>
      </c>
      <c r="R74" s="2" t="s">
        <v>95</v>
      </c>
      <c r="S74" s="2" t="n">
        <v>-454</v>
      </c>
      <c r="T74" s="2" t="s">
        <v>408</v>
      </c>
      <c r="U74" s="2" t="s">
        <v>56</v>
      </c>
      <c r="V74" s="2" t="s">
        <v>57</v>
      </c>
      <c r="W74" s="2" t="s">
        <v>168</v>
      </c>
      <c r="X74" s="2" t="s">
        <v>169</v>
      </c>
      <c r="Y74" s="2"/>
      <c r="Z74" s="2" t="s">
        <v>170</v>
      </c>
      <c r="AA74" s="2"/>
      <c r="AB74" s="2" t="s">
        <v>81</v>
      </c>
      <c r="AC74" s="2"/>
      <c r="AD74" s="2"/>
      <c r="AE74" s="3"/>
      <c r="AF74" s="3" t="s">
        <v>1029</v>
      </c>
      <c r="AG74" s="2"/>
      <c r="AH74" s="2" t="s">
        <v>113</v>
      </c>
      <c r="AI74" s="3" t="s">
        <v>1030</v>
      </c>
      <c r="AJ74" s="3" t="s">
        <v>1031</v>
      </c>
      <c r="AK74" s="2" t="n">
        <v>511235</v>
      </c>
      <c r="AL74" s="3" t="s">
        <v>1032</v>
      </c>
      <c r="AM74" s="2"/>
      <c r="AN74" s="2"/>
      <c r="AO74" s="3" t="s">
        <v>1033</v>
      </c>
      <c r="AP74" s="3" t="s">
        <v>1034</v>
      </c>
      <c r="AQ74" s="2" t="s">
        <v>106</v>
      </c>
    </row>
    <row r="75" customFormat="false" ht="57.45" hidden="false" customHeight="false" outlineLevel="0" collapsed="false">
      <c r="A75" s="2" t="n">
        <v>74</v>
      </c>
      <c r="B75" s="2" t="s">
        <v>1035</v>
      </c>
      <c r="C75" s="2" t="s">
        <v>893</v>
      </c>
      <c r="D75" s="2" t="s">
        <v>910</v>
      </c>
      <c r="E75" s="2" t="s">
        <v>1036</v>
      </c>
      <c r="F75" s="2" t="s">
        <v>1037</v>
      </c>
      <c r="G75" s="3" t="s">
        <v>1038</v>
      </c>
      <c r="H75" s="2" t="s">
        <v>1039</v>
      </c>
      <c r="I75" s="2" t="s">
        <v>49</v>
      </c>
      <c r="J75" s="3" t="s">
        <v>1040</v>
      </c>
      <c r="K75" s="2" t="s">
        <v>51</v>
      </c>
      <c r="L75" s="2" t="s">
        <v>52</v>
      </c>
      <c r="M75" s="2"/>
      <c r="N75" s="2"/>
      <c r="O75" s="2" t="s">
        <v>53</v>
      </c>
      <c r="P75" s="2" t="n">
        <v>40.4237</v>
      </c>
      <c r="Q75" s="2" t="n">
        <v>27.0703</v>
      </c>
      <c r="R75" s="2" t="s">
        <v>54</v>
      </c>
      <c r="S75" s="2" t="n">
        <v>-709</v>
      </c>
      <c r="T75" s="2" t="s">
        <v>1041</v>
      </c>
      <c r="U75" s="2" t="s">
        <v>96</v>
      </c>
      <c r="V75" s="2" t="s">
        <v>57</v>
      </c>
      <c r="W75" s="2" t="s">
        <v>58</v>
      </c>
      <c r="X75" s="2" t="s">
        <v>59</v>
      </c>
      <c r="Y75" s="2" t="s">
        <v>1042</v>
      </c>
      <c r="Z75" s="2" t="s">
        <v>61</v>
      </c>
      <c r="AA75" s="2" t="s">
        <v>1043</v>
      </c>
      <c r="AB75" s="2" t="s">
        <v>81</v>
      </c>
      <c r="AC75" s="2"/>
      <c r="AD75" s="2"/>
      <c r="AE75" s="3"/>
      <c r="AF75" s="3" t="s">
        <v>1044</v>
      </c>
      <c r="AG75" s="2"/>
      <c r="AH75" s="2" t="s">
        <v>54</v>
      </c>
      <c r="AI75" s="3" t="s">
        <v>1045</v>
      </c>
      <c r="AJ75" s="3" t="s">
        <v>1046</v>
      </c>
      <c r="AK75" s="2" t="n">
        <v>511354</v>
      </c>
      <c r="AL75" s="3" t="s">
        <v>1047</v>
      </c>
      <c r="AM75" s="2"/>
      <c r="AN75" s="2"/>
      <c r="AO75" s="3" t="s">
        <v>1048</v>
      </c>
      <c r="AP75" s="3" t="s">
        <v>1049</v>
      </c>
      <c r="AQ75" s="2" t="s">
        <v>151</v>
      </c>
    </row>
    <row r="76" customFormat="false" ht="46.25" hidden="false" customHeight="false" outlineLevel="0" collapsed="false">
      <c r="A76" s="2" t="n">
        <v>75</v>
      </c>
      <c r="B76" s="2" t="s">
        <v>1050</v>
      </c>
      <c r="C76" s="2" t="s">
        <v>893</v>
      </c>
      <c r="D76" s="2" t="s">
        <v>894</v>
      </c>
      <c r="E76" s="2" t="s">
        <v>1051</v>
      </c>
      <c r="F76" s="2" t="s">
        <v>1052</v>
      </c>
      <c r="G76" s="3" t="s">
        <v>1053</v>
      </c>
      <c r="H76" s="2"/>
      <c r="I76" s="2" t="s">
        <v>74</v>
      </c>
      <c r="J76" s="3" t="s">
        <v>1054</v>
      </c>
      <c r="K76" s="2" t="s">
        <v>51</v>
      </c>
      <c r="L76" s="2" t="s">
        <v>52</v>
      </c>
      <c r="M76" s="2"/>
      <c r="N76" s="2"/>
      <c r="O76" s="2"/>
      <c r="P76" s="2" t="n">
        <v>40.4002</v>
      </c>
      <c r="Q76" s="2" t="n">
        <v>26.7871</v>
      </c>
      <c r="R76" s="2" t="s">
        <v>95</v>
      </c>
      <c r="S76" s="2" t="n">
        <v>-600</v>
      </c>
      <c r="T76" s="2" t="s">
        <v>76</v>
      </c>
      <c r="U76" s="2" t="s">
        <v>96</v>
      </c>
      <c r="V76" s="2" t="s">
        <v>97</v>
      </c>
      <c r="W76" s="2" t="s">
        <v>58</v>
      </c>
      <c r="X76" s="2" t="s">
        <v>59</v>
      </c>
      <c r="Y76" s="2" t="s">
        <v>979</v>
      </c>
      <c r="Z76" s="2" t="s">
        <v>61</v>
      </c>
      <c r="AA76" s="2" t="s">
        <v>111</v>
      </c>
      <c r="AB76" s="2" t="s">
        <v>63</v>
      </c>
      <c r="AC76" s="2" t="s">
        <v>77</v>
      </c>
      <c r="AD76" s="2"/>
      <c r="AE76" s="3"/>
      <c r="AF76" s="3" t="s">
        <v>1055</v>
      </c>
      <c r="AG76" s="2"/>
      <c r="AH76" s="2" t="s">
        <v>54</v>
      </c>
      <c r="AI76" s="3" t="s">
        <v>1056</v>
      </c>
      <c r="AJ76" s="3" t="s">
        <v>1057</v>
      </c>
      <c r="AK76" s="2" t="n">
        <v>501544</v>
      </c>
      <c r="AL76" s="3" t="s">
        <v>1058</v>
      </c>
      <c r="AM76" s="2"/>
      <c r="AN76" s="2"/>
      <c r="AO76" s="3" t="s">
        <v>1059</v>
      </c>
      <c r="AP76" s="3" t="s">
        <v>1060</v>
      </c>
      <c r="AQ76" s="2" t="s">
        <v>89</v>
      </c>
    </row>
    <row r="77" customFormat="false" ht="57.45" hidden="false" customHeight="false" outlineLevel="0" collapsed="false">
      <c r="A77" s="2" t="n">
        <v>76</v>
      </c>
      <c r="B77" s="2" t="s">
        <v>1061</v>
      </c>
      <c r="C77" s="2" t="s">
        <v>893</v>
      </c>
      <c r="D77" s="2" t="s">
        <v>894</v>
      </c>
      <c r="E77" s="2" t="s">
        <v>1062</v>
      </c>
      <c r="F77" s="2" t="s">
        <v>1063</v>
      </c>
      <c r="G77" s="3" t="s">
        <v>1064</v>
      </c>
      <c r="H77" s="2" t="s">
        <v>1065</v>
      </c>
      <c r="I77" s="2" t="s">
        <v>123</v>
      </c>
      <c r="J77" s="3" t="s">
        <v>1066</v>
      </c>
      <c r="K77" s="2" t="s">
        <v>51</v>
      </c>
      <c r="L77" s="2" t="s">
        <v>52</v>
      </c>
      <c r="M77" s="2" t="s">
        <v>1065</v>
      </c>
      <c r="N77" s="2"/>
      <c r="O77" s="2" t="s">
        <v>5</v>
      </c>
      <c r="P77" s="2" t="n">
        <v>40.3467</v>
      </c>
      <c r="Q77" s="2" t="n">
        <v>26.6992</v>
      </c>
      <c r="R77" s="2" t="s">
        <v>54</v>
      </c>
      <c r="S77" s="2" t="n">
        <v>-654</v>
      </c>
      <c r="T77" s="2" t="s">
        <v>1067</v>
      </c>
      <c r="U77" s="2" t="s">
        <v>96</v>
      </c>
      <c r="V77" s="2" t="s">
        <v>245</v>
      </c>
      <c r="W77" s="2" t="s">
        <v>58</v>
      </c>
      <c r="X77" s="2" t="s">
        <v>59</v>
      </c>
      <c r="Y77" s="2" t="s">
        <v>1068</v>
      </c>
      <c r="Z77" s="2" t="s">
        <v>61</v>
      </c>
      <c r="AA77" s="2" t="s">
        <v>1069</v>
      </c>
      <c r="AB77" s="2" t="s">
        <v>63</v>
      </c>
      <c r="AC77" s="2" t="s">
        <v>64</v>
      </c>
      <c r="AD77" s="2"/>
      <c r="AE77" s="3"/>
      <c r="AF77" s="3" t="s">
        <v>1070</v>
      </c>
      <c r="AG77" s="2"/>
      <c r="AH77" s="2" t="s">
        <v>54</v>
      </c>
      <c r="AI77" s="3" t="s">
        <v>1071</v>
      </c>
      <c r="AJ77" s="3" t="s">
        <v>1072</v>
      </c>
      <c r="AK77" s="2" t="n">
        <v>501570</v>
      </c>
      <c r="AL77" s="3" t="s">
        <v>1073</v>
      </c>
      <c r="AM77" s="2"/>
      <c r="AN77" s="2" t="s">
        <v>200</v>
      </c>
      <c r="AO77" s="3"/>
      <c r="AP77" s="3"/>
      <c r="AQ77" s="2"/>
    </row>
    <row r="78" customFormat="false" ht="23.85" hidden="false" customHeight="false" outlineLevel="0" collapsed="false">
      <c r="A78" s="2" t="n">
        <v>77</v>
      </c>
      <c r="B78" s="2" t="s">
        <v>1074</v>
      </c>
      <c r="C78" s="2" t="s">
        <v>893</v>
      </c>
      <c r="D78" s="2" t="s">
        <v>894</v>
      </c>
      <c r="E78" s="2" t="s">
        <v>1075</v>
      </c>
      <c r="F78" s="2" t="s">
        <v>1076</v>
      </c>
      <c r="G78" s="3" t="s">
        <v>1077</v>
      </c>
      <c r="H78" s="2"/>
      <c r="I78" s="2" t="s">
        <v>74</v>
      </c>
      <c r="J78" s="3" t="s">
        <v>1078</v>
      </c>
      <c r="K78" s="2" t="s">
        <v>51</v>
      </c>
      <c r="L78" s="2" t="s">
        <v>52</v>
      </c>
      <c r="M78" s="2"/>
      <c r="N78" s="2"/>
      <c r="O78" s="2"/>
      <c r="P78" s="2" t="n">
        <v>40.2364</v>
      </c>
      <c r="Q78" s="2" t="n">
        <v>26.6865</v>
      </c>
      <c r="R78" s="2" t="s">
        <v>95</v>
      </c>
      <c r="S78" s="2" t="n">
        <v>-450</v>
      </c>
      <c r="T78" s="2" t="s">
        <v>915</v>
      </c>
      <c r="U78" s="2" t="s">
        <v>56</v>
      </c>
      <c r="V78" s="2" t="s">
        <v>97</v>
      </c>
      <c r="W78" s="2" t="s">
        <v>168</v>
      </c>
      <c r="X78" s="2" t="s">
        <v>169</v>
      </c>
      <c r="Y78" s="2"/>
      <c r="Z78" s="2" t="s">
        <v>170</v>
      </c>
      <c r="AA78" s="2"/>
      <c r="AB78" s="2" t="s">
        <v>81</v>
      </c>
      <c r="AC78" s="2"/>
      <c r="AD78" s="2"/>
      <c r="AE78" s="3"/>
      <c r="AF78" s="3" t="s">
        <v>1079</v>
      </c>
      <c r="AG78" s="2"/>
      <c r="AH78" s="2" t="s">
        <v>113</v>
      </c>
      <c r="AI78" s="3" t="s">
        <v>1080</v>
      </c>
      <c r="AJ78" s="3" t="s">
        <v>1081</v>
      </c>
      <c r="AK78" s="2" t="n">
        <v>501547</v>
      </c>
      <c r="AL78" s="3" t="s">
        <v>1082</v>
      </c>
      <c r="AM78" s="2"/>
      <c r="AN78" s="2"/>
      <c r="AO78" s="3" t="s">
        <v>1083</v>
      </c>
      <c r="AP78" s="3" t="s">
        <v>1084</v>
      </c>
      <c r="AQ78" s="2" t="s">
        <v>89</v>
      </c>
    </row>
    <row r="79" customFormat="false" ht="35.05" hidden="false" customHeight="false" outlineLevel="0" collapsed="false">
      <c r="A79" s="2" t="n">
        <v>78</v>
      </c>
      <c r="B79" s="2" t="s">
        <v>1085</v>
      </c>
      <c r="C79" s="2" t="s">
        <v>893</v>
      </c>
      <c r="D79" s="2" t="s">
        <v>894</v>
      </c>
      <c r="E79" s="2" t="s">
        <v>1086</v>
      </c>
      <c r="F79" s="2" t="s">
        <v>1087</v>
      </c>
      <c r="G79" s="3" t="s">
        <v>1088</v>
      </c>
      <c r="H79" s="2"/>
      <c r="I79" s="2" t="s">
        <v>74</v>
      </c>
      <c r="J79" s="3" t="s">
        <v>1089</v>
      </c>
      <c r="K79" s="2" t="s">
        <v>51</v>
      </c>
      <c r="L79" s="2" t="s">
        <v>52</v>
      </c>
      <c r="M79" s="2"/>
      <c r="N79" s="2"/>
      <c r="O79" s="2"/>
      <c r="P79" s="2" t="n">
        <v>40.2739</v>
      </c>
      <c r="Q79" s="2" t="n">
        <v>26.5888</v>
      </c>
      <c r="R79" s="2" t="s">
        <v>95</v>
      </c>
      <c r="S79" s="2" t="n">
        <v>-497</v>
      </c>
      <c r="T79" s="2" t="s">
        <v>1090</v>
      </c>
      <c r="U79" s="2" t="s">
        <v>56</v>
      </c>
      <c r="V79" s="2" t="s">
        <v>57</v>
      </c>
      <c r="W79" s="2" t="s">
        <v>58</v>
      </c>
      <c r="X79" s="2" t="s">
        <v>169</v>
      </c>
      <c r="Y79" s="2"/>
      <c r="Z79" s="2" t="s">
        <v>170</v>
      </c>
      <c r="AA79" s="2"/>
      <c r="AB79" s="2" t="s">
        <v>81</v>
      </c>
      <c r="AC79" s="2"/>
      <c r="AD79" s="2"/>
      <c r="AE79" s="3"/>
      <c r="AF79" s="3" t="s">
        <v>1091</v>
      </c>
      <c r="AG79" s="2"/>
      <c r="AH79" s="2" t="s">
        <v>113</v>
      </c>
      <c r="AI79" s="3" t="s">
        <v>1092</v>
      </c>
      <c r="AJ79" s="3" t="s">
        <v>1093</v>
      </c>
      <c r="AK79" s="2" t="n">
        <v>501556</v>
      </c>
      <c r="AL79" s="3" t="s">
        <v>1094</v>
      </c>
      <c r="AM79" s="2"/>
      <c r="AN79" s="2"/>
      <c r="AO79" s="3" t="s">
        <v>1095</v>
      </c>
      <c r="AP79" s="3" t="s">
        <v>1096</v>
      </c>
      <c r="AQ79" s="2" t="s">
        <v>89</v>
      </c>
    </row>
    <row r="80" customFormat="false" ht="35.05" hidden="false" customHeight="false" outlineLevel="0" collapsed="false">
      <c r="A80" s="2" t="n">
        <v>79</v>
      </c>
      <c r="B80" s="2" t="s">
        <v>1097</v>
      </c>
      <c r="C80" s="2" t="s">
        <v>893</v>
      </c>
      <c r="D80" s="2" t="s">
        <v>894</v>
      </c>
      <c r="E80" s="2" t="s">
        <v>1098</v>
      </c>
      <c r="F80" s="2" t="s">
        <v>1099</v>
      </c>
      <c r="G80" s="3"/>
      <c r="H80" s="2"/>
      <c r="I80" s="2" t="s">
        <v>74</v>
      </c>
      <c r="J80" s="3" t="s">
        <v>1100</v>
      </c>
      <c r="K80" s="2" t="s">
        <v>51</v>
      </c>
      <c r="L80" s="2" t="s">
        <v>52</v>
      </c>
      <c r="M80" s="2"/>
      <c r="N80" s="2"/>
      <c r="O80" s="2"/>
      <c r="P80" s="2" t="n">
        <v>40.1943</v>
      </c>
      <c r="Q80" s="2" t="n">
        <v>26.5358</v>
      </c>
      <c r="R80" s="2" t="s">
        <v>95</v>
      </c>
      <c r="S80" s="2" t="n">
        <v>-600</v>
      </c>
      <c r="T80" s="2" t="s">
        <v>76</v>
      </c>
      <c r="U80" s="2" t="s">
        <v>96</v>
      </c>
      <c r="V80" s="2" t="s">
        <v>97</v>
      </c>
      <c r="W80" s="2" t="s">
        <v>58</v>
      </c>
      <c r="X80" s="2" t="s">
        <v>59</v>
      </c>
      <c r="Y80" s="2" t="s">
        <v>979</v>
      </c>
      <c r="Z80" s="2" t="s">
        <v>61</v>
      </c>
      <c r="AA80" s="2" t="s">
        <v>111</v>
      </c>
      <c r="AB80" s="2" t="s">
        <v>81</v>
      </c>
      <c r="AC80" s="2"/>
      <c r="AD80" s="2"/>
      <c r="AE80" s="3"/>
      <c r="AF80" s="3" t="s">
        <v>1101</v>
      </c>
      <c r="AG80" s="2"/>
      <c r="AH80" s="2" t="s">
        <v>113</v>
      </c>
      <c r="AI80" s="3" t="s">
        <v>1102</v>
      </c>
      <c r="AJ80" s="3" t="s">
        <v>1103</v>
      </c>
      <c r="AK80" s="2" t="n">
        <v>501359</v>
      </c>
      <c r="AL80" s="3" t="s">
        <v>1104</v>
      </c>
      <c r="AM80" s="2"/>
      <c r="AN80" s="2"/>
      <c r="AO80" s="3" t="s">
        <v>1105</v>
      </c>
      <c r="AP80" s="3" t="s">
        <v>1106</v>
      </c>
      <c r="AQ80" s="2" t="s">
        <v>89</v>
      </c>
    </row>
    <row r="81" customFormat="false" ht="35.05" hidden="false" customHeight="false" outlineLevel="0" collapsed="false">
      <c r="A81" s="2" t="n">
        <v>80</v>
      </c>
      <c r="B81" s="2" t="s">
        <v>1107</v>
      </c>
      <c r="C81" s="2" t="s">
        <v>893</v>
      </c>
      <c r="D81" s="2" t="s">
        <v>894</v>
      </c>
      <c r="E81" s="2" t="s">
        <v>1108</v>
      </c>
      <c r="F81" s="2" t="s">
        <v>1109</v>
      </c>
      <c r="G81" s="3" t="s">
        <v>1110</v>
      </c>
      <c r="H81" s="2"/>
      <c r="I81" s="2" t="s">
        <v>74</v>
      </c>
      <c r="J81" s="3" t="s">
        <v>1111</v>
      </c>
      <c r="K81" s="2" t="s">
        <v>51</v>
      </c>
      <c r="L81" s="2" t="s">
        <v>52</v>
      </c>
      <c r="M81" s="2"/>
      <c r="N81" s="2"/>
      <c r="O81" s="2"/>
      <c r="P81" s="2" t="n">
        <v>40.1942</v>
      </c>
      <c r="Q81" s="2" t="n">
        <v>26.4113</v>
      </c>
      <c r="R81" s="2" t="s">
        <v>54</v>
      </c>
      <c r="S81" s="2" t="n">
        <v>-670</v>
      </c>
      <c r="T81" s="2" t="s">
        <v>423</v>
      </c>
      <c r="U81" s="2" t="s">
        <v>96</v>
      </c>
      <c r="V81" s="2" t="s">
        <v>57</v>
      </c>
      <c r="W81" s="2" t="s">
        <v>58</v>
      </c>
      <c r="X81" s="2" t="s">
        <v>59</v>
      </c>
      <c r="Y81" s="2" t="s">
        <v>1112</v>
      </c>
      <c r="Z81" s="2" t="s">
        <v>61</v>
      </c>
      <c r="AA81" s="2" t="s">
        <v>111</v>
      </c>
      <c r="AB81" s="2" t="s">
        <v>63</v>
      </c>
      <c r="AC81" s="2" t="s">
        <v>64</v>
      </c>
      <c r="AD81" s="2"/>
      <c r="AE81" s="3"/>
      <c r="AF81" s="3" t="s">
        <v>1113</v>
      </c>
      <c r="AG81" s="2"/>
      <c r="AH81" s="2" t="s">
        <v>54</v>
      </c>
      <c r="AI81" s="3" t="s">
        <v>1114</v>
      </c>
      <c r="AJ81" s="3" t="s">
        <v>1115</v>
      </c>
      <c r="AK81" s="2" t="n">
        <v>501325</v>
      </c>
      <c r="AL81" s="3" t="s">
        <v>1116</v>
      </c>
      <c r="AM81" s="2"/>
      <c r="AN81" s="2"/>
      <c r="AO81" s="3"/>
      <c r="AP81" s="3"/>
      <c r="AQ81" s="2"/>
    </row>
    <row r="82" customFormat="false" ht="68.65" hidden="false" customHeight="false" outlineLevel="0" collapsed="false">
      <c r="A82" s="2" t="n">
        <v>81</v>
      </c>
      <c r="B82" s="2" t="s">
        <v>1117</v>
      </c>
      <c r="C82" s="2" t="s">
        <v>893</v>
      </c>
      <c r="D82" s="2" t="s">
        <v>894</v>
      </c>
      <c r="E82" s="2" t="s">
        <v>1118</v>
      </c>
      <c r="F82" s="2" t="s">
        <v>1119</v>
      </c>
      <c r="G82" s="3" t="s">
        <v>1120</v>
      </c>
      <c r="H82" s="2"/>
      <c r="I82" s="2" t="s">
        <v>74</v>
      </c>
      <c r="J82" s="3" t="s">
        <v>1121</v>
      </c>
      <c r="K82" s="2" t="s">
        <v>51</v>
      </c>
      <c r="L82" s="2" t="s">
        <v>52</v>
      </c>
      <c r="M82" s="2"/>
      <c r="N82" s="2"/>
      <c r="O82" s="2"/>
      <c r="P82" s="2" t="n">
        <v>40.0797</v>
      </c>
      <c r="Q82" s="2" t="n">
        <v>26.3744</v>
      </c>
      <c r="R82" s="2" t="s">
        <v>54</v>
      </c>
      <c r="S82" s="2" t="n">
        <v>-497</v>
      </c>
      <c r="T82" s="2" t="s">
        <v>1090</v>
      </c>
      <c r="U82" s="2" t="s">
        <v>56</v>
      </c>
      <c r="V82" s="2" t="s">
        <v>57</v>
      </c>
      <c r="W82" s="2" t="s">
        <v>58</v>
      </c>
      <c r="X82" s="2" t="s">
        <v>59</v>
      </c>
      <c r="Y82" s="2" t="s">
        <v>1122</v>
      </c>
      <c r="Z82" s="2" t="s">
        <v>61</v>
      </c>
      <c r="AA82" s="2" t="s">
        <v>1123</v>
      </c>
      <c r="AB82" s="2" t="s">
        <v>81</v>
      </c>
      <c r="AC82" s="2"/>
      <c r="AD82" s="2"/>
      <c r="AE82" s="3"/>
      <c r="AF82" s="3" t="s">
        <v>1124</v>
      </c>
      <c r="AG82" s="2"/>
      <c r="AH82" s="2" t="s">
        <v>54</v>
      </c>
      <c r="AI82" s="3" t="s">
        <v>1125</v>
      </c>
      <c r="AJ82" s="3" t="s">
        <v>1126</v>
      </c>
      <c r="AK82" s="2" t="n">
        <v>501393</v>
      </c>
      <c r="AL82" s="3" t="s">
        <v>1127</v>
      </c>
      <c r="AM82" s="2"/>
      <c r="AN82" s="2"/>
      <c r="AO82" s="3" t="s">
        <v>1128</v>
      </c>
      <c r="AP82" s="3" t="s">
        <v>1129</v>
      </c>
      <c r="AQ82" s="2" t="s">
        <v>89</v>
      </c>
    </row>
    <row r="83" customFormat="false" ht="57.45" hidden="false" customHeight="false" outlineLevel="0" collapsed="false">
      <c r="A83" s="2" t="n">
        <v>82</v>
      </c>
      <c r="B83" s="2" t="s">
        <v>1130</v>
      </c>
      <c r="C83" s="2" t="s">
        <v>893</v>
      </c>
      <c r="D83" s="2" t="s">
        <v>894</v>
      </c>
      <c r="E83" s="2" t="s">
        <v>1131</v>
      </c>
      <c r="F83" s="2" t="s">
        <v>1132</v>
      </c>
      <c r="G83" s="3" t="s">
        <v>1133</v>
      </c>
      <c r="H83" s="2"/>
      <c r="I83" s="2" t="s">
        <v>74</v>
      </c>
      <c r="J83" s="3" t="s">
        <v>1134</v>
      </c>
      <c r="K83" s="2" t="s">
        <v>51</v>
      </c>
      <c r="L83" s="2" t="s">
        <v>52</v>
      </c>
      <c r="M83" s="2"/>
      <c r="N83" s="2"/>
      <c r="O83" s="2"/>
      <c r="P83" s="2" t="n">
        <v>40.0247</v>
      </c>
      <c r="Q83" s="2" t="n">
        <v>26.3378</v>
      </c>
      <c r="R83" s="2" t="s">
        <v>54</v>
      </c>
      <c r="S83" s="2" t="n">
        <v>-400</v>
      </c>
      <c r="T83" s="2" t="s">
        <v>288</v>
      </c>
      <c r="U83" s="2" t="s">
        <v>56</v>
      </c>
      <c r="V83" s="2" t="s">
        <v>97</v>
      </c>
      <c r="W83" s="2" t="s">
        <v>168</v>
      </c>
      <c r="X83" s="2" t="s">
        <v>59</v>
      </c>
      <c r="Y83" s="2" t="s">
        <v>1122</v>
      </c>
      <c r="Z83" s="2" t="s">
        <v>61</v>
      </c>
      <c r="AA83" s="2" t="s">
        <v>1123</v>
      </c>
      <c r="AB83" s="2" t="s">
        <v>695</v>
      </c>
      <c r="AC83" s="2" t="s">
        <v>696</v>
      </c>
      <c r="AD83" s="2"/>
      <c r="AE83" s="3"/>
      <c r="AF83" s="3" t="s">
        <v>1135</v>
      </c>
      <c r="AG83" s="2"/>
      <c r="AH83" s="2" t="s">
        <v>54</v>
      </c>
      <c r="AI83" s="3" t="s">
        <v>1136</v>
      </c>
      <c r="AJ83" s="3" t="s">
        <v>1137</v>
      </c>
      <c r="AK83" s="2" t="n">
        <v>550787</v>
      </c>
      <c r="AL83" s="3" t="s">
        <v>1138</v>
      </c>
      <c r="AM83" s="2"/>
      <c r="AN83" s="2"/>
      <c r="AO83" s="3" t="s">
        <v>1139</v>
      </c>
      <c r="AP83" s="3" t="s">
        <v>1140</v>
      </c>
      <c r="AQ83" s="2" t="s">
        <v>89</v>
      </c>
    </row>
    <row r="84" customFormat="false" ht="46.25" hidden="false" customHeight="false" outlineLevel="0" collapsed="false">
      <c r="A84" s="2" t="n">
        <v>83</v>
      </c>
      <c r="B84" s="2" t="s">
        <v>1141</v>
      </c>
      <c r="C84" s="2" t="s">
        <v>893</v>
      </c>
      <c r="D84" s="2" t="s">
        <v>894</v>
      </c>
      <c r="E84" s="2" t="s">
        <v>1142</v>
      </c>
      <c r="F84" s="2" t="s">
        <v>1143</v>
      </c>
      <c r="G84" s="3" t="s">
        <v>1144</v>
      </c>
      <c r="H84" s="2"/>
      <c r="I84" s="2" t="s">
        <v>74</v>
      </c>
      <c r="J84" s="3" t="s">
        <v>1145</v>
      </c>
      <c r="K84" s="2" t="s">
        <v>51</v>
      </c>
      <c r="L84" s="2" t="s">
        <v>52</v>
      </c>
      <c r="M84" s="2"/>
      <c r="N84" s="2"/>
      <c r="O84" s="2"/>
      <c r="P84" s="2" t="n">
        <v>40.0097</v>
      </c>
      <c r="Q84" s="2" t="n">
        <v>26.3033</v>
      </c>
      <c r="R84" s="2" t="s">
        <v>54</v>
      </c>
      <c r="S84" s="2" t="n">
        <v>-480</v>
      </c>
      <c r="T84" s="2" t="s">
        <v>1146</v>
      </c>
      <c r="U84" s="2" t="s">
        <v>56</v>
      </c>
      <c r="V84" s="2" t="s">
        <v>57</v>
      </c>
      <c r="W84" s="2" t="s">
        <v>168</v>
      </c>
      <c r="X84" s="2" t="s">
        <v>59</v>
      </c>
      <c r="Y84" s="2" t="s">
        <v>1122</v>
      </c>
      <c r="Z84" s="2" t="s">
        <v>61</v>
      </c>
      <c r="AA84" s="2" t="s">
        <v>1123</v>
      </c>
      <c r="AB84" s="2" t="s">
        <v>63</v>
      </c>
      <c r="AC84" s="2" t="s">
        <v>77</v>
      </c>
      <c r="AD84" s="2"/>
      <c r="AE84" s="3"/>
      <c r="AF84" s="3" t="s">
        <v>1147</v>
      </c>
      <c r="AG84" s="2"/>
      <c r="AH84" s="2" t="s">
        <v>54</v>
      </c>
      <c r="AI84" s="3" t="s">
        <v>1148</v>
      </c>
      <c r="AJ84" s="3" t="s">
        <v>1149</v>
      </c>
      <c r="AK84" s="2" t="n">
        <v>550856</v>
      </c>
      <c r="AL84" s="3" t="s">
        <v>1150</v>
      </c>
      <c r="AM84" s="2"/>
      <c r="AN84" s="2"/>
      <c r="AO84" s="3" t="s">
        <v>1151</v>
      </c>
      <c r="AP84" s="3" t="s">
        <v>1152</v>
      </c>
      <c r="AQ84" s="2" t="s">
        <v>151</v>
      </c>
    </row>
    <row r="85" customFormat="false" ht="68.65" hidden="false" customHeight="false" outlineLevel="0" collapsed="false">
      <c r="A85" s="2" t="n">
        <v>84</v>
      </c>
      <c r="B85" s="2" t="s">
        <v>1153</v>
      </c>
      <c r="C85" s="2" t="s">
        <v>893</v>
      </c>
      <c r="D85" s="2" t="s">
        <v>894</v>
      </c>
      <c r="E85" s="2" t="s">
        <v>1154</v>
      </c>
      <c r="F85" s="2" t="s">
        <v>1155</v>
      </c>
      <c r="G85" s="3" t="s">
        <v>1156</v>
      </c>
      <c r="H85" s="2"/>
      <c r="I85" s="2" t="s">
        <v>74</v>
      </c>
      <c r="J85" s="3" t="s">
        <v>1157</v>
      </c>
      <c r="K85" s="2" t="s">
        <v>51</v>
      </c>
      <c r="L85" s="2" t="s">
        <v>52</v>
      </c>
      <c r="M85" s="2"/>
      <c r="N85" s="2"/>
      <c r="O85" s="2"/>
      <c r="P85" s="2" t="n">
        <v>39.9574</v>
      </c>
      <c r="Q85" s="2" t="n">
        <v>26.2385</v>
      </c>
      <c r="R85" s="2" t="s">
        <v>54</v>
      </c>
      <c r="S85" s="2" t="n">
        <v>-700</v>
      </c>
      <c r="T85" s="2" t="s">
        <v>900</v>
      </c>
      <c r="U85" s="2" t="s">
        <v>77</v>
      </c>
      <c r="V85" s="2" t="s">
        <v>78</v>
      </c>
      <c r="W85" s="2" t="s">
        <v>58</v>
      </c>
      <c r="X85" s="2" t="s">
        <v>59</v>
      </c>
      <c r="Y85" s="2" t="s">
        <v>1158</v>
      </c>
      <c r="Z85" s="2" t="s">
        <v>61</v>
      </c>
      <c r="AA85" s="2" t="s">
        <v>1123</v>
      </c>
      <c r="AB85" s="2" t="s">
        <v>63</v>
      </c>
      <c r="AC85" s="2" t="s">
        <v>452</v>
      </c>
      <c r="AD85" s="2" t="s">
        <v>1159</v>
      </c>
      <c r="AE85" s="3" t="s">
        <v>1160</v>
      </c>
      <c r="AF85" s="3" t="s">
        <v>1161</v>
      </c>
      <c r="AG85" s="2"/>
      <c r="AH85" s="2" t="s">
        <v>54</v>
      </c>
      <c r="AI85" s="3" t="s">
        <v>1162</v>
      </c>
      <c r="AJ85" s="3" t="s">
        <v>1163</v>
      </c>
      <c r="AK85" s="2" t="n">
        <v>550595</v>
      </c>
      <c r="AL85" s="3" t="s">
        <v>1164</v>
      </c>
      <c r="AM85" s="2"/>
      <c r="AN85" s="2"/>
      <c r="AO85" s="3"/>
      <c r="AP85" s="3"/>
      <c r="AQ85" s="2"/>
    </row>
    <row r="86" customFormat="false" ht="57.45" hidden="false" customHeight="false" outlineLevel="0" collapsed="false">
      <c r="A86" s="2" t="n">
        <v>85</v>
      </c>
      <c r="B86" s="2" t="s">
        <v>1165</v>
      </c>
      <c r="C86" s="2" t="s">
        <v>893</v>
      </c>
      <c r="D86" s="2" t="s">
        <v>894</v>
      </c>
      <c r="E86" s="2" t="s">
        <v>1166</v>
      </c>
      <c r="F86" s="2" t="s">
        <v>1167</v>
      </c>
      <c r="G86" s="3" t="s">
        <v>1168</v>
      </c>
      <c r="H86" s="2" t="s">
        <v>1169</v>
      </c>
      <c r="I86" s="2" t="s">
        <v>49</v>
      </c>
      <c r="J86" s="3" t="s">
        <v>1170</v>
      </c>
      <c r="K86" s="2" t="s">
        <v>51</v>
      </c>
      <c r="L86" s="2" t="s">
        <v>52</v>
      </c>
      <c r="M86" s="2"/>
      <c r="N86" s="2"/>
      <c r="O86" s="2" t="s">
        <v>53</v>
      </c>
      <c r="P86" s="2" t="n">
        <v>39.9835</v>
      </c>
      <c r="Q86" s="2" t="n">
        <v>26.1809</v>
      </c>
      <c r="R86" s="2" t="s">
        <v>54</v>
      </c>
      <c r="S86" s="2" t="n">
        <v>-620</v>
      </c>
      <c r="T86" s="2" t="s">
        <v>1171</v>
      </c>
      <c r="U86" s="2" t="s">
        <v>96</v>
      </c>
      <c r="V86" s="2" t="s">
        <v>78</v>
      </c>
      <c r="W86" s="2" t="s">
        <v>58</v>
      </c>
      <c r="X86" s="2" t="s">
        <v>59</v>
      </c>
      <c r="Y86" s="2" t="s">
        <v>1172</v>
      </c>
      <c r="Z86" s="2" t="s">
        <v>61</v>
      </c>
      <c r="AA86" s="2" t="s">
        <v>1173</v>
      </c>
      <c r="AB86" s="2" t="s">
        <v>81</v>
      </c>
      <c r="AC86" s="2"/>
      <c r="AD86" s="2"/>
      <c r="AE86" s="3"/>
      <c r="AF86" s="3" t="s">
        <v>1174</v>
      </c>
      <c r="AG86" s="2"/>
      <c r="AH86" s="2" t="s">
        <v>54</v>
      </c>
      <c r="AI86" s="3" t="s">
        <v>1175</v>
      </c>
      <c r="AJ86" s="3" t="s">
        <v>1176</v>
      </c>
      <c r="AK86" s="2" t="n">
        <v>550877</v>
      </c>
      <c r="AL86" s="3" t="s">
        <v>1177</v>
      </c>
      <c r="AM86" s="2"/>
      <c r="AN86" s="2"/>
      <c r="AO86" s="3" t="s">
        <v>1178</v>
      </c>
      <c r="AP86" s="3" t="s">
        <v>1179</v>
      </c>
      <c r="AQ86" s="2" t="s">
        <v>89</v>
      </c>
    </row>
    <row r="87" customFormat="false" ht="68.65" hidden="false" customHeight="false" outlineLevel="0" collapsed="false">
      <c r="A87" s="2" t="n">
        <v>86</v>
      </c>
      <c r="B87" s="2" t="s">
        <v>1180</v>
      </c>
      <c r="C87" s="2" t="s">
        <v>893</v>
      </c>
      <c r="D87" s="2" t="s">
        <v>894</v>
      </c>
      <c r="E87" s="2" t="s">
        <v>1181</v>
      </c>
      <c r="F87" s="2" t="s">
        <v>1182</v>
      </c>
      <c r="G87" s="3" t="s">
        <v>1183</v>
      </c>
      <c r="H87" s="2"/>
      <c r="I87" s="2" t="s">
        <v>74</v>
      </c>
      <c r="J87" s="3" t="s">
        <v>1184</v>
      </c>
      <c r="K87" s="2" t="s">
        <v>51</v>
      </c>
      <c r="L87" s="2" t="s">
        <v>52</v>
      </c>
      <c r="M87" s="2"/>
      <c r="N87" s="2"/>
      <c r="O87" s="2"/>
      <c r="P87" s="2" t="n">
        <v>39.9151</v>
      </c>
      <c r="Q87" s="2" t="n">
        <v>26.1517</v>
      </c>
      <c r="R87" s="2" t="s">
        <v>54</v>
      </c>
      <c r="S87" s="2" t="n">
        <v>-600</v>
      </c>
      <c r="T87" s="2" t="s">
        <v>76</v>
      </c>
      <c r="U87" s="2" t="s">
        <v>96</v>
      </c>
      <c r="V87" s="2" t="s">
        <v>78</v>
      </c>
      <c r="W87" s="2" t="s">
        <v>58</v>
      </c>
      <c r="X87" s="2" t="s">
        <v>59</v>
      </c>
      <c r="Y87" s="2" t="s">
        <v>1185</v>
      </c>
      <c r="Z87" s="2" t="s">
        <v>61</v>
      </c>
      <c r="AA87" s="2" t="s">
        <v>1186</v>
      </c>
      <c r="AB87" s="2" t="s">
        <v>63</v>
      </c>
      <c r="AC87" s="2" t="s">
        <v>77</v>
      </c>
      <c r="AD87" s="2"/>
      <c r="AE87" s="3"/>
      <c r="AF87" s="3" t="s">
        <v>1187</v>
      </c>
      <c r="AG87" s="2"/>
      <c r="AH87" s="2" t="s">
        <v>54</v>
      </c>
      <c r="AI87" s="3" t="s">
        <v>1188</v>
      </c>
      <c r="AJ87" s="3" t="s">
        <v>1189</v>
      </c>
      <c r="AK87" s="2" t="n">
        <v>550401</v>
      </c>
      <c r="AL87" s="3" t="s">
        <v>1190</v>
      </c>
      <c r="AM87" s="2"/>
      <c r="AN87" s="2"/>
      <c r="AO87" s="3" t="s">
        <v>1191</v>
      </c>
      <c r="AP87" s="3" t="s">
        <v>1192</v>
      </c>
      <c r="AQ87" s="2" t="s">
        <v>151</v>
      </c>
    </row>
    <row r="88" customFormat="false" ht="68.65" hidden="false" customHeight="false" outlineLevel="0" collapsed="false">
      <c r="A88" s="2" t="n">
        <v>87</v>
      </c>
      <c r="B88" s="2" t="s">
        <v>1193</v>
      </c>
      <c r="C88" s="2" t="s">
        <v>893</v>
      </c>
      <c r="D88" s="2" t="s">
        <v>894</v>
      </c>
      <c r="E88" s="2" t="s">
        <v>1194</v>
      </c>
      <c r="F88" s="2" t="s">
        <v>1195</v>
      </c>
      <c r="G88" s="3" t="s">
        <v>1196</v>
      </c>
      <c r="H88" s="2" t="s">
        <v>1197</v>
      </c>
      <c r="I88" s="2" t="s">
        <v>49</v>
      </c>
      <c r="J88" s="3" t="s">
        <v>1198</v>
      </c>
      <c r="K88" s="2" t="s">
        <v>51</v>
      </c>
      <c r="L88" s="2" t="s">
        <v>52</v>
      </c>
      <c r="M88" s="2"/>
      <c r="N88" s="2"/>
      <c r="O88" s="2" t="s">
        <v>53</v>
      </c>
      <c r="P88" s="2" t="n">
        <v>39.7517</v>
      </c>
      <c r="Q88" s="2" t="n">
        <v>26.1576</v>
      </c>
      <c r="R88" s="2" t="s">
        <v>54</v>
      </c>
      <c r="S88" s="2" t="n">
        <v>-311</v>
      </c>
      <c r="T88" s="2" t="s">
        <v>1199</v>
      </c>
      <c r="U88" s="2" t="s">
        <v>139</v>
      </c>
      <c r="V88" s="2" t="s">
        <v>57</v>
      </c>
      <c r="W88" s="2" t="s">
        <v>195</v>
      </c>
      <c r="X88" s="2" t="s">
        <v>246</v>
      </c>
      <c r="Y88" s="2" t="s">
        <v>1200</v>
      </c>
      <c r="Z88" s="2" t="s">
        <v>248</v>
      </c>
      <c r="AA88" s="2"/>
      <c r="AB88" s="2" t="s">
        <v>81</v>
      </c>
      <c r="AC88" s="2"/>
      <c r="AD88" s="2"/>
      <c r="AE88" s="3"/>
      <c r="AF88" s="3" t="s">
        <v>1201</v>
      </c>
      <c r="AG88" s="2"/>
      <c r="AH88" s="2" t="s">
        <v>54</v>
      </c>
      <c r="AI88" s="3" t="s">
        <v>1202</v>
      </c>
      <c r="AJ88" s="3" t="s">
        <v>1203</v>
      </c>
      <c r="AK88" s="2" t="n">
        <v>550434</v>
      </c>
      <c r="AL88" s="3" t="s">
        <v>1204</v>
      </c>
      <c r="AM88" s="2"/>
      <c r="AN88" s="2"/>
      <c r="AO88" s="3" t="s">
        <v>1205</v>
      </c>
      <c r="AP88" s="3" t="s">
        <v>1206</v>
      </c>
      <c r="AQ88" s="2" t="s">
        <v>89</v>
      </c>
    </row>
    <row r="89" customFormat="false" ht="46.25" hidden="false" customHeight="false" outlineLevel="0" collapsed="false">
      <c r="A89" s="2" t="n">
        <v>88</v>
      </c>
      <c r="B89" s="2" t="s">
        <v>1207</v>
      </c>
      <c r="C89" s="2" t="s">
        <v>893</v>
      </c>
      <c r="D89" s="2" t="s">
        <v>894</v>
      </c>
      <c r="E89" s="2" t="s">
        <v>1208</v>
      </c>
      <c r="F89" s="2" t="s">
        <v>1209</v>
      </c>
      <c r="G89" s="3" t="s">
        <v>1210</v>
      </c>
      <c r="H89" s="2"/>
      <c r="I89" s="2" t="s">
        <v>74</v>
      </c>
      <c r="J89" s="3" t="s">
        <v>1211</v>
      </c>
      <c r="K89" s="2" t="s">
        <v>51</v>
      </c>
      <c r="L89" s="2" t="s">
        <v>52</v>
      </c>
      <c r="M89" s="2"/>
      <c r="N89" s="2"/>
      <c r="O89" s="2"/>
      <c r="P89" s="2" t="n">
        <v>39.677</v>
      </c>
      <c r="Q89" s="2" t="n">
        <v>26.1664</v>
      </c>
      <c r="R89" s="2" t="s">
        <v>54</v>
      </c>
      <c r="S89" s="2" t="n">
        <v>-477</v>
      </c>
      <c r="T89" s="2" t="s">
        <v>1212</v>
      </c>
      <c r="U89" s="2" t="s">
        <v>56</v>
      </c>
      <c r="V89" s="2" t="s">
        <v>57</v>
      </c>
      <c r="W89" s="2" t="s">
        <v>168</v>
      </c>
      <c r="X89" s="2" t="s">
        <v>59</v>
      </c>
      <c r="Y89" s="2" t="s">
        <v>1213</v>
      </c>
      <c r="Z89" s="2" t="s">
        <v>61</v>
      </c>
      <c r="AA89" s="2" t="s">
        <v>1123</v>
      </c>
      <c r="AB89" s="2" t="s">
        <v>63</v>
      </c>
      <c r="AC89" s="2" t="s">
        <v>77</v>
      </c>
      <c r="AD89" s="2"/>
      <c r="AE89" s="3"/>
      <c r="AF89" s="3" t="s">
        <v>1214</v>
      </c>
      <c r="AG89" s="2"/>
      <c r="AH89" s="2" t="s">
        <v>54</v>
      </c>
      <c r="AI89" s="3" t="s">
        <v>1215</v>
      </c>
      <c r="AJ89" s="3" t="s">
        <v>1216</v>
      </c>
      <c r="AK89" s="2" t="n">
        <v>550661</v>
      </c>
      <c r="AL89" s="3" t="s">
        <v>1217</v>
      </c>
      <c r="AM89" s="2"/>
      <c r="AN89" s="2"/>
      <c r="AO89" s="3" t="s">
        <v>1218</v>
      </c>
      <c r="AP89" s="3" t="s">
        <v>1219</v>
      </c>
      <c r="AQ89" s="2" t="s">
        <v>106</v>
      </c>
    </row>
    <row r="90" customFormat="false" ht="46.25" hidden="false" customHeight="false" outlineLevel="0" collapsed="false">
      <c r="A90" s="2" t="n">
        <v>89</v>
      </c>
      <c r="B90" s="2" t="s">
        <v>1220</v>
      </c>
      <c r="C90" s="2" t="s">
        <v>893</v>
      </c>
      <c r="D90" s="2" t="s">
        <v>894</v>
      </c>
      <c r="E90" s="2" t="s">
        <v>1221</v>
      </c>
      <c r="F90" s="2" t="s">
        <v>1222</v>
      </c>
      <c r="G90" s="3" t="s">
        <v>1223</v>
      </c>
      <c r="H90" s="2"/>
      <c r="I90" s="2" t="s">
        <v>74</v>
      </c>
      <c r="J90" s="3" t="s">
        <v>1224</v>
      </c>
      <c r="K90" s="2" t="s">
        <v>51</v>
      </c>
      <c r="L90" s="2" t="s">
        <v>52</v>
      </c>
      <c r="M90" s="2"/>
      <c r="N90" s="2"/>
      <c r="O90" s="2"/>
      <c r="P90" s="2" t="n">
        <v>39.6155</v>
      </c>
      <c r="Q90" s="2" t="n">
        <v>26.1464</v>
      </c>
      <c r="R90" s="2" t="s">
        <v>54</v>
      </c>
      <c r="S90" s="2" t="n">
        <v>-399</v>
      </c>
      <c r="T90" s="2" t="s">
        <v>1225</v>
      </c>
      <c r="U90" s="2" t="s">
        <v>56</v>
      </c>
      <c r="V90" s="2" t="s">
        <v>57</v>
      </c>
      <c r="W90" s="2" t="s">
        <v>168</v>
      </c>
      <c r="X90" s="2" t="s">
        <v>59</v>
      </c>
      <c r="Y90" s="2" t="s">
        <v>1122</v>
      </c>
      <c r="Z90" s="2" t="s">
        <v>61</v>
      </c>
      <c r="AA90" s="2" t="s">
        <v>1123</v>
      </c>
      <c r="AB90" s="2" t="s">
        <v>63</v>
      </c>
      <c r="AC90" s="2" t="s">
        <v>77</v>
      </c>
      <c r="AD90" s="2"/>
      <c r="AE90" s="3"/>
      <c r="AF90" s="3" t="s">
        <v>1226</v>
      </c>
      <c r="AG90" s="2"/>
      <c r="AH90" s="2" t="s">
        <v>54</v>
      </c>
      <c r="AI90" s="3" t="s">
        <v>1227</v>
      </c>
      <c r="AJ90" s="3" t="s">
        <v>1228</v>
      </c>
      <c r="AK90" s="2" t="n">
        <v>550685</v>
      </c>
      <c r="AL90" s="3" t="s">
        <v>1229</v>
      </c>
      <c r="AM90" s="2"/>
      <c r="AN90" s="2"/>
      <c r="AO90" s="3" t="s">
        <v>1230</v>
      </c>
      <c r="AP90" s="3" t="s">
        <v>1231</v>
      </c>
      <c r="AQ90" s="2" t="s">
        <v>106</v>
      </c>
    </row>
    <row r="91" customFormat="false" ht="102.2" hidden="false" customHeight="false" outlineLevel="0" collapsed="false">
      <c r="A91" s="2" t="n">
        <v>90</v>
      </c>
      <c r="B91" s="2" t="s">
        <v>1232</v>
      </c>
      <c r="C91" s="2" t="s">
        <v>893</v>
      </c>
      <c r="D91" s="2" t="s">
        <v>894</v>
      </c>
      <c r="E91" s="2" t="s">
        <v>1233</v>
      </c>
      <c r="F91" s="2" t="s">
        <v>1234</v>
      </c>
      <c r="G91" s="3" t="s">
        <v>1235</v>
      </c>
      <c r="H91" s="2"/>
      <c r="I91" s="2" t="s">
        <v>74</v>
      </c>
      <c r="J91" s="3" t="s">
        <v>1236</v>
      </c>
      <c r="K91" s="2" t="s">
        <v>51</v>
      </c>
      <c r="L91" s="2" t="s">
        <v>52</v>
      </c>
      <c r="M91" s="2"/>
      <c r="N91" s="2"/>
      <c r="O91" s="2"/>
      <c r="P91" s="2" t="n">
        <v>39.5436</v>
      </c>
      <c r="Q91" s="2" t="n">
        <v>26.0947</v>
      </c>
      <c r="R91" s="2" t="s">
        <v>54</v>
      </c>
      <c r="S91" s="2" t="n">
        <v>-399</v>
      </c>
      <c r="T91" s="2" t="s">
        <v>1225</v>
      </c>
      <c r="U91" s="2" t="s">
        <v>56</v>
      </c>
      <c r="V91" s="2" t="s">
        <v>57</v>
      </c>
      <c r="W91" s="2" t="s">
        <v>168</v>
      </c>
      <c r="X91" s="2" t="s">
        <v>59</v>
      </c>
      <c r="Y91" s="2" t="s">
        <v>1237</v>
      </c>
      <c r="Z91" s="2" t="s">
        <v>61</v>
      </c>
      <c r="AA91" s="2" t="s">
        <v>1123</v>
      </c>
      <c r="AB91" s="2" t="s">
        <v>81</v>
      </c>
      <c r="AC91" s="2"/>
      <c r="AD91" s="2"/>
      <c r="AE91" s="3"/>
      <c r="AF91" s="3" t="s">
        <v>1238</v>
      </c>
      <c r="AG91" s="2"/>
      <c r="AH91" s="2" t="s">
        <v>54</v>
      </c>
      <c r="AI91" s="3" t="s">
        <v>1239</v>
      </c>
      <c r="AJ91" s="3" t="s">
        <v>1240</v>
      </c>
      <c r="AK91" s="2" t="n">
        <v>550565</v>
      </c>
      <c r="AL91" s="3" t="s">
        <v>1241</v>
      </c>
      <c r="AM91" s="2"/>
      <c r="AN91" s="2"/>
      <c r="AO91" s="3" t="s">
        <v>1242</v>
      </c>
      <c r="AP91" s="3" t="s">
        <v>1243</v>
      </c>
      <c r="AQ91" s="2" t="s">
        <v>151</v>
      </c>
    </row>
    <row r="92" customFormat="false" ht="68.65" hidden="false" customHeight="false" outlineLevel="0" collapsed="false">
      <c r="A92" s="2" t="n">
        <v>91</v>
      </c>
      <c r="B92" s="2" t="s">
        <v>1244</v>
      </c>
      <c r="C92" s="2" t="s">
        <v>893</v>
      </c>
      <c r="D92" s="2" t="s">
        <v>894</v>
      </c>
      <c r="E92" s="2" t="s">
        <v>1245</v>
      </c>
      <c r="F92" s="2" t="s">
        <v>1246</v>
      </c>
      <c r="G92" s="3" t="s">
        <v>1247</v>
      </c>
      <c r="H92" s="2" t="s">
        <v>1248</v>
      </c>
      <c r="I92" s="2" t="s">
        <v>49</v>
      </c>
      <c r="J92" s="3" t="s">
        <v>1249</v>
      </c>
      <c r="K92" s="2" t="s">
        <v>51</v>
      </c>
      <c r="L92" s="2" t="s">
        <v>52</v>
      </c>
      <c r="M92" s="2"/>
      <c r="N92" s="2"/>
      <c r="O92" s="2" t="s">
        <v>5</v>
      </c>
      <c r="P92" s="2" t="n">
        <v>39.4901</v>
      </c>
      <c r="Q92" s="2" t="n">
        <v>26.3364</v>
      </c>
      <c r="R92" s="2" t="s">
        <v>54</v>
      </c>
      <c r="S92" s="2" t="n">
        <v>-700</v>
      </c>
      <c r="T92" s="2" t="s">
        <v>900</v>
      </c>
      <c r="U92" s="2" t="s">
        <v>77</v>
      </c>
      <c r="V92" s="2" t="s">
        <v>78</v>
      </c>
      <c r="W92" s="2" t="s">
        <v>58</v>
      </c>
      <c r="X92" s="2" t="s">
        <v>59</v>
      </c>
      <c r="Y92" s="2" t="s">
        <v>1250</v>
      </c>
      <c r="Z92" s="2" t="s">
        <v>61</v>
      </c>
      <c r="AA92" s="2" t="s">
        <v>1251</v>
      </c>
      <c r="AB92" s="2" t="s">
        <v>81</v>
      </c>
      <c r="AC92" s="2"/>
      <c r="AD92" s="2"/>
      <c r="AE92" s="3"/>
      <c r="AF92" s="3" t="s">
        <v>1252</v>
      </c>
      <c r="AG92" s="2"/>
      <c r="AH92" s="2" t="s">
        <v>54</v>
      </c>
      <c r="AI92" s="3" t="s">
        <v>1253</v>
      </c>
      <c r="AJ92" s="3" t="s">
        <v>1254</v>
      </c>
      <c r="AK92" s="2" t="n">
        <v>550463</v>
      </c>
      <c r="AL92" s="3" t="s">
        <v>1255</v>
      </c>
      <c r="AM92" s="2"/>
      <c r="AN92" s="2" t="s">
        <v>200</v>
      </c>
      <c r="AO92" s="3" t="s">
        <v>1256</v>
      </c>
      <c r="AP92" s="3" t="s">
        <v>1257</v>
      </c>
      <c r="AQ92" s="2" t="s">
        <v>89</v>
      </c>
    </row>
    <row r="93" customFormat="false" ht="46.25" hidden="false" customHeight="false" outlineLevel="0" collapsed="false">
      <c r="A93" s="2" t="n">
        <v>92</v>
      </c>
      <c r="B93" s="2" t="s">
        <v>1258</v>
      </c>
      <c r="C93" s="2" t="s">
        <v>893</v>
      </c>
      <c r="D93" s="2" t="s">
        <v>894</v>
      </c>
      <c r="E93" s="2" t="s">
        <v>1259</v>
      </c>
      <c r="F93" s="2" t="s">
        <v>1260</v>
      </c>
      <c r="G93" s="3" t="s">
        <v>1261</v>
      </c>
      <c r="H93" s="2"/>
      <c r="I93" s="2" t="s">
        <v>74</v>
      </c>
      <c r="J93" s="3" t="s">
        <v>1262</v>
      </c>
      <c r="K93" s="2" t="s">
        <v>51</v>
      </c>
      <c r="L93" s="2" t="s">
        <v>52</v>
      </c>
      <c r="M93" s="2"/>
      <c r="N93" s="2"/>
      <c r="O93" s="2"/>
      <c r="P93" s="2" t="n">
        <v>39.5381</v>
      </c>
      <c r="Q93" s="2" t="n">
        <v>26.4212</v>
      </c>
      <c r="R93" s="2" t="s">
        <v>95</v>
      </c>
      <c r="S93" s="2" t="n">
        <v>-511</v>
      </c>
      <c r="T93" s="2" t="s">
        <v>1263</v>
      </c>
      <c r="U93" s="2" t="s">
        <v>56</v>
      </c>
      <c r="V93" s="2" t="s">
        <v>57</v>
      </c>
      <c r="W93" s="2" t="s">
        <v>58</v>
      </c>
      <c r="X93" s="2" t="s">
        <v>59</v>
      </c>
      <c r="Y93" s="2" t="s">
        <v>1122</v>
      </c>
      <c r="Z93" s="2" t="s">
        <v>61</v>
      </c>
      <c r="AA93" s="2" t="s">
        <v>1123</v>
      </c>
      <c r="AB93" s="2" t="s">
        <v>63</v>
      </c>
      <c r="AC93" s="2" t="s">
        <v>77</v>
      </c>
      <c r="AD93" s="2"/>
      <c r="AE93" s="3"/>
      <c r="AF93" s="3" t="s">
        <v>1264</v>
      </c>
      <c r="AG93" s="2"/>
      <c r="AH93" s="2" t="s">
        <v>54</v>
      </c>
      <c r="AI93" s="3" t="s">
        <v>1265</v>
      </c>
      <c r="AJ93" s="3" t="s">
        <v>1266</v>
      </c>
      <c r="AK93" s="2" t="n">
        <v>550678</v>
      </c>
      <c r="AL93" s="3" t="s">
        <v>1267</v>
      </c>
      <c r="AM93" s="2"/>
      <c r="AN93" s="2"/>
      <c r="AO93" s="3" t="s">
        <v>1268</v>
      </c>
      <c r="AP93" s="3" t="s">
        <v>1269</v>
      </c>
      <c r="AQ93" s="2" t="s">
        <v>89</v>
      </c>
    </row>
    <row r="94" customFormat="false" ht="57.45" hidden="false" customHeight="false" outlineLevel="0" collapsed="false">
      <c r="A94" s="2" t="n">
        <v>93</v>
      </c>
      <c r="B94" s="2" t="s">
        <v>1270</v>
      </c>
      <c r="C94" s="2" t="s">
        <v>893</v>
      </c>
      <c r="D94" s="2" t="s">
        <v>894</v>
      </c>
      <c r="E94" s="2" t="s">
        <v>1271</v>
      </c>
      <c r="F94" s="2" t="s">
        <v>1272</v>
      </c>
      <c r="G94" s="3" t="s">
        <v>1273</v>
      </c>
      <c r="H94" s="2"/>
      <c r="I94" s="2" t="s">
        <v>74</v>
      </c>
      <c r="J94" s="3" t="s">
        <v>1274</v>
      </c>
      <c r="K94" s="2" t="s">
        <v>51</v>
      </c>
      <c r="L94" s="2" t="s">
        <v>52</v>
      </c>
      <c r="M94" s="2"/>
      <c r="N94" s="2"/>
      <c r="O94" s="2"/>
      <c r="P94" s="2" t="n">
        <v>39.5345</v>
      </c>
      <c r="Q94" s="2" t="n">
        <v>26.5408</v>
      </c>
      <c r="R94" s="2" t="s">
        <v>54</v>
      </c>
      <c r="S94" s="2" t="n">
        <v>-450</v>
      </c>
      <c r="T94" s="2" t="s">
        <v>915</v>
      </c>
      <c r="U94" s="2" t="s">
        <v>56</v>
      </c>
      <c r="V94" s="2" t="s">
        <v>97</v>
      </c>
      <c r="W94" s="2" t="s">
        <v>168</v>
      </c>
      <c r="X94" s="2" t="s">
        <v>59</v>
      </c>
      <c r="Y94" s="2" t="s">
        <v>1275</v>
      </c>
      <c r="Z94" s="2" t="s">
        <v>61</v>
      </c>
      <c r="AA94" s="2" t="s">
        <v>1245</v>
      </c>
      <c r="AB94" s="2" t="s">
        <v>81</v>
      </c>
      <c r="AC94" s="2"/>
      <c r="AD94" s="2"/>
      <c r="AE94" s="3"/>
      <c r="AF94" s="3" t="s">
        <v>1276</v>
      </c>
      <c r="AG94" s="2"/>
      <c r="AH94" s="2" t="s">
        <v>54</v>
      </c>
      <c r="AI94" s="3" t="s">
        <v>1277</v>
      </c>
      <c r="AJ94" s="3" t="s">
        <v>1278</v>
      </c>
      <c r="AK94" s="2" t="n">
        <v>550544</v>
      </c>
      <c r="AL94" s="3" t="s">
        <v>1279</v>
      </c>
      <c r="AM94" s="2"/>
      <c r="AN94" s="2"/>
      <c r="AO94" s="3" t="s">
        <v>1280</v>
      </c>
      <c r="AP94" s="3" t="s">
        <v>1281</v>
      </c>
      <c r="AQ94" s="2" t="s">
        <v>89</v>
      </c>
    </row>
    <row r="95" customFormat="false" ht="46.25" hidden="false" customHeight="false" outlineLevel="0" collapsed="false">
      <c r="A95" s="2" t="n">
        <v>94</v>
      </c>
      <c r="B95" s="2" t="s">
        <v>1282</v>
      </c>
      <c r="C95" s="2" t="s">
        <v>893</v>
      </c>
      <c r="D95" s="2" t="s">
        <v>894</v>
      </c>
      <c r="E95" s="2" t="s">
        <v>1283</v>
      </c>
      <c r="F95" s="2" t="s">
        <v>1284</v>
      </c>
      <c r="G95" s="3" t="s">
        <v>1285</v>
      </c>
      <c r="H95" s="2"/>
      <c r="I95" s="2" t="s">
        <v>74</v>
      </c>
      <c r="J95" s="3" t="s">
        <v>1286</v>
      </c>
      <c r="K95" s="2" t="s">
        <v>977</v>
      </c>
      <c r="L95" s="2" t="s">
        <v>52</v>
      </c>
      <c r="M95" s="2"/>
      <c r="N95" s="2"/>
      <c r="O95" s="2"/>
      <c r="P95" s="2" t="n">
        <v>39.5716</v>
      </c>
      <c r="Q95" s="2" t="n">
        <v>26.7863</v>
      </c>
      <c r="R95" s="2" t="s">
        <v>54</v>
      </c>
      <c r="S95" s="2" t="n">
        <v>-700</v>
      </c>
      <c r="T95" s="2" t="s">
        <v>900</v>
      </c>
      <c r="U95" s="2" t="s">
        <v>77</v>
      </c>
      <c r="V95" s="2" t="s">
        <v>78</v>
      </c>
      <c r="W95" s="2" t="s">
        <v>58</v>
      </c>
      <c r="X95" s="2" t="s">
        <v>59</v>
      </c>
      <c r="Y95" s="2" t="s">
        <v>1287</v>
      </c>
      <c r="Z95" s="2" t="s">
        <v>61</v>
      </c>
      <c r="AA95" s="2" t="s">
        <v>1123</v>
      </c>
      <c r="AB95" s="2" t="s">
        <v>63</v>
      </c>
      <c r="AC95" s="2" t="s">
        <v>64</v>
      </c>
      <c r="AD95" s="2"/>
      <c r="AE95" s="3"/>
      <c r="AF95" s="3" t="s">
        <v>1288</v>
      </c>
      <c r="AG95" s="2"/>
      <c r="AH95" s="2" t="s">
        <v>54</v>
      </c>
      <c r="AI95" s="3" t="s">
        <v>1289</v>
      </c>
      <c r="AJ95" s="3" t="s">
        <v>1290</v>
      </c>
      <c r="AK95" s="2" t="n">
        <v>550433</v>
      </c>
      <c r="AL95" s="3" t="s">
        <v>1291</v>
      </c>
      <c r="AM95" s="2"/>
      <c r="AN95" s="2"/>
      <c r="AO95" s="3"/>
      <c r="AP95" s="3"/>
      <c r="AQ95" s="2"/>
    </row>
    <row r="96" customFormat="false" ht="57.45" hidden="false" customHeight="false" outlineLevel="0" collapsed="false">
      <c r="A96" s="2" t="n">
        <v>95</v>
      </c>
      <c r="B96" s="2" t="s">
        <v>1292</v>
      </c>
      <c r="C96" s="2" t="s">
        <v>893</v>
      </c>
      <c r="D96" s="2" t="s">
        <v>910</v>
      </c>
      <c r="E96" s="2" t="s">
        <v>1293</v>
      </c>
      <c r="F96" s="2" t="s">
        <v>1294</v>
      </c>
      <c r="G96" s="3" t="s">
        <v>1295</v>
      </c>
      <c r="H96" s="2"/>
      <c r="I96" s="2" t="s">
        <v>74</v>
      </c>
      <c r="J96" s="3" t="s">
        <v>1296</v>
      </c>
      <c r="K96" s="2" t="s">
        <v>977</v>
      </c>
      <c r="L96" s="2" t="s">
        <v>52</v>
      </c>
      <c r="M96" s="2"/>
      <c r="N96" s="2"/>
      <c r="O96" s="2"/>
      <c r="P96" s="2" t="n">
        <v>39.5866</v>
      </c>
      <c r="Q96" s="2" t="n">
        <v>26.8886</v>
      </c>
      <c r="R96" s="2" t="s">
        <v>95</v>
      </c>
      <c r="S96" s="2" t="n">
        <v>-450</v>
      </c>
      <c r="T96" s="2" t="s">
        <v>915</v>
      </c>
      <c r="U96" s="2" t="s">
        <v>56</v>
      </c>
      <c r="V96" s="2" t="s">
        <v>97</v>
      </c>
      <c r="W96" s="2" t="s">
        <v>168</v>
      </c>
      <c r="X96" s="2" t="s">
        <v>289</v>
      </c>
      <c r="Y96" s="2"/>
      <c r="Z96" s="2" t="s">
        <v>170</v>
      </c>
      <c r="AA96" s="2"/>
      <c r="AB96" s="2" t="s">
        <v>63</v>
      </c>
      <c r="AC96" s="2" t="s">
        <v>64</v>
      </c>
      <c r="AD96" s="2"/>
      <c r="AE96" s="3"/>
      <c r="AF96" s="3" t="s">
        <v>1297</v>
      </c>
      <c r="AG96" s="2"/>
      <c r="AH96" s="2" t="s">
        <v>113</v>
      </c>
      <c r="AI96" s="3" t="s">
        <v>1298</v>
      </c>
      <c r="AJ96" s="3" t="s">
        <v>1299</v>
      </c>
      <c r="AK96" s="2" t="n">
        <v>550468</v>
      </c>
      <c r="AL96" s="3" t="s">
        <v>1300</v>
      </c>
      <c r="AM96" s="2"/>
      <c r="AN96" s="2"/>
      <c r="AO96" s="3"/>
      <c r="AP96" s="3"/>
      <c r="AQ96" s="2"/>
    </row>
    <row r="97" customFormat="false" ht="57.45" hidden="false" customHeight="false" outlineLevel="0" collapsed="false">
      <c r="A97" s="2" t="n">
        <v>96</v>
      </c>
      <c r="B97" s="2" t="s">
        <v>1301</v>
      </c>
      <c r="C97" s="2" t="s">
        <v>893</v>
      </c>
      <c r="D97" s="2" t="s">
        <v>910</v>
      </c>
      <c r="E97" s="2" t="s">
        <v>1302</v>
      </c>
      <c r="F97" s="2" t="s">
        <v>1303</v>
      </c>
      <c r="G97" s="3" t="s">
        <v>1304</v>
      </c>
      <c r="H97" s="2" t="s">
        <v>1305</v>
      </c>
      <c r="I97" s="2" t="s">
        <v>49</v>
      </c>
      <c r="J97" s="3" t="s">
        <v>1306</v>
      </c>
      <c r="K97" s="2" t="s">
        <v>977</v>
      </c>
      <c r="L97" s="2" t="s">
        <v>52</v>
      </c>
      <c r="M97" s="2"/>
      <c r="N97" s="2"/>
      <c r="O97" s="2" t="s">
        <v>53</v>
      </c>
      <c r="P97" s="2" t="n">
        <v>39.4986</v>
      </c>
      <c r="Q97" s="2" t="n">
        <v>26.9361</v>
      </c>
      <c r="R97" s="2" t="s">
        <v>54</v>
      </c>
      <c r="S97" s="2" t="n">
        <v>-480</v>
      </c>
      <c r="T97" s="2" t="s">
        <v>1146</v>
      </c>
      <c r="U97" s="2" t="s">
        <v>56</v>
      </c>
      <c r="V97" s="2" t="s">
        <v>57</v>
      </c>
      <c r="W97" s="2" t="s">
        <v>168</v>
      </c>
      <c r="X97" s="2" t="s">
        <v>289</v>
      </c>
      <c r="Y97" s="2" t="s">
        <v>1307</v>
      </c>
      <c r="Z97" s="2" t="s">
        <v>170</v>
      </c>
      <c r="AA97" s="2"/>
      <c r="AB97" s="2" t="s">
        <v>63</v>
      </c>
      <c r="AC97" s="2" t="s">
        <v>64</v>
      </c>
      <c r="AD97" s="2"/>
      <c r="AE97" s="3"/>
      <c r="AF97" s="3" t="s">
        <v>1308</v>
      </c>
      <c r="AG97" s="2"/>
      <c r="AH97" s="2" t="s">
        <v>54</v>
      </c>
      <c r="AI97" s="3" t="s">
        <v>1309</v>
      </c>
      <c r="AJ97" s="3" t="s">
        <v>1310</v>
      </c>
      <c r="AK97" s="2" t="n">
        <v>550403</v>
      </c>
      <c r="AL97" s="3" t="s">
        <v>1311</v>
      </c>
      <c r="AM97" s="2"/>
      <c r="AN97" s="2"/>
      <c r="AO97" s="3"/>
      <c r="AP97" s="3"/>
      <c r="AQ97" s="2"/>
    </row>
    <row r="98" customFormat="false" ht="35.05" hidden="false" customHeight="false" outlineLevel="0" collapsed="false">
      <c r="A98" s="2" t="n">
        <v>97</v>
      </c>
      <c r="B98" s="2" t="s">
        <v>1312</v>
      </c>
      <c r="C98" s="2" t="s">
        <v>893</v>
      </c>
      <c r="D98" s="2" t="s">
        <v>910</v>
      </c>
      <c r="E98" s="2" t="s">
        <v>1313</v>
      </c>
      <c r="F98" s="2" t="s">
        <v>1314</v>
      </c>
      <c r="G98" s="3" t="s">
        <v>1315</v>
      </c>
      <c r="H98" s="2"/>
      <c r="I98" s="2" t="s">
        <v>74</v>
      </c>
      <c r="J98" s="3" t="s">
        <v>1316</v>
      </c>
      <c r="K98" s="2" t="s">
        <v>977</v>
      </c>
      <c r="L98" s="2" t="s">
        <v>52</v>
      </c>
      <c r="M98" s="2"/>
      <c r="N98" s="2"/>
      <c r="O98" s="2"/>
      <c r="P98" s="2" t="n">
        <v>39.3932</v>
      </c>
      <c r="Q98" s="2" t="n">
        <v>26.8132</v>
      </c>
      <c r="R98" s="2" t="s">
        <v>95</v>
      </c>
      <c r="S98" s="2" t="n">
        <v>-400</v>
      </c>
      <c r="T98" s="2" t="s">
        <v>288</v>
      </c>
      <c r="U98" s="2" t="s">
        <v>56</v>
      </c>
      <c r="V98" s="2" t="s">
        <v>97</v>
      </c>
      <c r="W98" s="2" t="s">
        <v>168</v>
      </c>
      <c r="X98" s="2" t="s">
        <v>59</v>
      </c>
      <c r="Y98" s="2" t="s">
        <v>1317</v>
      </c>
      <c r="Z98" s="2" t="s">
        <v>61</v>
      </c>
      <c r="AA98" s="2" t="s">
        <v>1123</v>
      </c>
      <c r="AB98" s="2" t="s">
        <v>63</v>
      </c>
      <c r="AC98" s="2" t="s">
        <v>77</v>
      </c>
      <c r="AD98" s="2"/>
      <c r="AE98" s="3"/>
      <c r="AF98" s="3" t="s">
        <v>1318</v>
      </c>
      <c r="AG98" s="2"/>
      <c r="AH98" s="2" t="s">
        <v>113</v>
      </c>
      <c r="AI98" s="3" t="s">
        <v>1319</v>
      </c>
      <c r="AJ98" s="3" t="s">
        <v>1320</v>
      </c>
      <c r="AK98" s="2" t="n">
        <v>550648</v>
      </c>
      <c r="AL98" s="3" t="s">
        <v>1321</v>
      </c>
      <c r="AM98" s="2"/>
      <c r="AN98" s="2"/>
      <c r="AO98" s="3"/>
      <c r="AP98" s="3"/>
      <c r="AQ98" s="2"/>
    </row>
    <row r="99" customFormat="false" ht="23.85" hidden="false" customHeight="false" outlineLevel="0" collapsed="false">
      <c r="A99" s="2" t="n">
        <v>98</v>
      </c>
      <c r="B99" s="2" t="s">
        <v>1322</v>
      </c>
      <c r="C99" s="2" t="s">
        <v>893</v>
      </c>
      <c r="D99" s="2" t="s">
        <v>910</v>
      </c>
      <c r="E99" s="2" t="s">
        <v>1323</v>
      </c>
      <c r="F99" s="2" t="s">
        <v>1324</v>
      </c>
      <c r="G99" s="3" t="s">
        <v>1325</v>
      </c>
      <c r="H99" s="2"/>
      <c r="I99" s="2" t="s">
        <v>74</v>
      </c>
      <c r="J99" s="3" t="s">
        <v>1326</v>
      </c>
      <c r="K99" s="2" t="s">
        <v>977</v>
      </c>
      <c r="L99" s="2" t="s">
        <v>52</v>
      </c>
      <c r="M99" s="2"/>
      <c r="N99" s="2"/>
      <c r="O99" s="2"/>
      <c r="P99" s="2" t="n">
        <v>39.179</v>
      </c>
      <c r="Q99" s="2" t="n">
        <v>26.8423</v>
      </c>
      <c r="R99" s="2" t="s">
        <v>95</v>
      </c>
      <c r="S99" s="2" t="n">
        <v>-480</v>
      </c>
      <c r="T99" s="2" t="s">
        <v>1146</v>
      </c>
      <c r="U99" s="2" t="s">
        <v>56</v>
      </c>
      <c r="V99" s="2" t="s">
        <v>57</v>
      </c>
      <c r="W99" s="2" t="s">
        <v>168</v>
      </c>
      <c r="X99" s="2" t="s">
        <v>59</v>
      </c>
      <c r="Y99" s="2" t="s">
        <v>1122</v>
      </c>
      <c r="Z99" s="2" t="s">
        <v>61</v>
      </c>
      <c r="AA99" s="2" t="s">
        <v>1123</v>
      </c>
      <c r="AB99" s="2" t="s">
        <v>81</v>
      </c>
      <c r="AC99" s="2"/>
      <c r="AD99" s="2"/>
      <c r="AE99" s="3"/>
      <c r="AF99" s="3" t="s">
        <v>1327</v>
      </c>
      <c r="AG99" s="2"/>
      <c r="AH99" s="2" t="s">
        <v>113</v>
      </c>
      <c r="AI99" s="3" t="s">
        <v>1328</v>
      </c>
      <c r="AJ99" s="3" t="s">
        <v>1329</v>
      </c>
      <c r="AK99" s="2" t="n">
        <v>550621</v>
      </c>
      <c r="AL99" s="3" t="s">
        <v>1330</v>
      </c>
      <c r="AM99" s="2"/>
      <c r="AN99" s="2"/>
      <c r="AO99" s="3" t="s">
        <v>1331</v>
      </c>
      <c r="AP99" s="3" t="s">
        <v>1332</v>
      </c>
      <c r="AQ99" s="2" t="s">
        <v>106</v>
      </c>
    </row>
    <row r="100" customFormat="false" ht="46.25" hidden="false" customHeight="false" outlineLevel="0" collapsed="false">
      <c r="A100" s="2" t="n">
        <v>99</v>
      </c>
      <c r="B100" s="2" t="s">
        <v>1333</v>
      </c>
      <c r="C100" s="2" t="s">
        <v>893</v>
      </c>
      <c r="D100" s="2" t="s">
        <v>894</v>
      </c>
      <c r="E100" s="2" t="s">
        <v>1334</v>
      </c>
      <c r="F100" s="2" t="s">
        <v>1335</v>
      </c>
      <c r="G100" s="3" t="s">
        <v>1336</v>
      </c>
      <c r="H100" s="2"/>
      <c r="I100" s="2" t="s">
        <v>74</v>
      </c>
      <c r="J100" s="3" t="s">
        <v>1337</v>
      </c>
      <c r="K100" s="2" t="s">
        <v>51</v>
      </c>
      <c r="L100" s="2" t="s">
        <v>52</v>
      </c>
      <c r="M100" s="2"/>
      <c r="N100" s="2"/>
      <c r="O100" s="2"/>
      <c r="P100" s="2" t="n">
        <v>39.95</v>
      </c>
      <c r="Q100" s="2" t="n">
        <v>26.3833</v>
      </c>
      <c r="R100" s="2" t="s">
        <v>95</v>
      </c>
      <c r="S100" s="2" t="n">
        <v>-400</v>
      </c>
      <c r="T100" s="2" t="s">
        <v>288</v>
      </c>
      <c r="U100" s="2" t="s">
        <v>56</v>
      </c>
      <c r="V100" s="2" t="s">
        <v>97</v>
      </c>
      <c r="W100" s="2" t="s">
        <v>168</v>
      </c>
      <c r="X100" s="2" t="s">
        <v>169</v>
      </c>
      <c r="Y100" s="2"/>
      <c r="Z100" s="2" t="s">
        <v>170</v>
      </c>
      <c r="AA100" s="2"/>
      <c r="AB100" s="2" t="s">
        <v>81</v>
      </c>
      <c r="AC100" s="2"/>
      <c r="AD100" s="2"/>
      <c r="AE100" s="3"/>
      <c r="AF100" s="3" t="s">
        <v>1338</v>
      </c>
      <c r="AG100" s="2"/>
      <c r="AH100" s="2" t="s">
        <v>113</v>
      </c>
      <c r="AI100" s="3" t="s">
        <v>1339</v>
      </c>
      <c r="AJ100" s="3" t="s">
        <v>1340</v>
      </c>
      <c r="AK100" s="2" t="n">
        <v>550486</v>
      </c>
      <c r="AL100" s="3" t="s">
        <v>1341</v>
      </c>
      <c r="AM100" s="2"/>
      <c r="AN100" s="2"/>
      <c r="AO100" s="3" t="s">
        <v>1342</v>
      </c>
      <c r="AP100" s="3" t="s">
        <v>1343</v>
      </c>
      <c r="AQ100" s="2" t="s">
        <v>89</v>
      </c>
    </row>
    <row r="101" customFormat="false" ht="57.45" hidden="false" customHeight="false" outlineLevel="0" collapsed="false">
      <c r="A101" s="2" t="n">
        <v>100</v>
      </c>
      <c r="B101" s="2" t="s">
        <v>1344</v>
      </c>
      <c r="C101" s="2" t="s">
        <v>893</v>
      </c>
      <c r="D101" s="2" t="s">
        <v>894</v>
      </c>
      <c r="E101" s="2" t="s">
        <v>1345</v>
      </c>
      <c r="F101" s="2" t="s">
        <v>1346</v>
      </c>
      <c r="G101" s="3" t="s">
        <v>1347</v>
      </c>
      <c r="H101" s="2"/>
      <c r="I101" s="2" t="s">
        <v>74</v>
      </c>
      <c r="J101" s="3" t="s">
        <v>1348</v>
      </c>
      <c r="K101" s="2" t="s">
        <v>51</v>
      </c>
      <c r="L101" s="2" t="s">
        <v>52</v>
      </c>
      <c r="M101" s="2"/>
      <c r="N101" s="2"/>
      <c r="O101" s="2"/>
      <c r="P101" s="2" t="n">
        <v>39.8758</v>
      </c>
      <c r="Q101" s="2" t="n">
        <v>26.2898</v>
      </c>
      <c r="R101" s="2" t="s">
        <v>95</v>
      </c>
      <c r="S101" s="2" t="n">
        <v>-452</v>
      </c>
      <c r="T101" s="2" t="s">
        <v>1349</v>
      </c>
      <c r="U101" s="2" t="s">
        <v>56</v>
      </c>
      <c r="V101" s="2" t="s">
        <v>57</v>
      </c>
      <c r="W101" s="2" t="s">
        <v>168</v>
      </c>
      <c r="X101" s="2" t="s">
        <v>169</v>
      </c>
      <c r="Y101" s="2"/>
      <c r="Z101" s="2" t="s">
        <v>170</v>
      </c>
      <c r="AA101" s="2"/>
      <c r="AB101" s="2" t="s">
        <v>63</v>
      </c>
      <c r="AC101" s="2" t="s">
        <v>77</v>
      </c>
      <c r="AD101" s="2"/>
      <c r="AE101" s="3"/>
      <c r="AF101" s="3" t="s">
        <v>1350</v>
      </c>
      <c r="AG101" s="2"/>
      <c r="AH101" s="2" t="s">
        <v>113</v>
      </c>
      <c r="AI101" s="3" t="s">
        <v>1351</v>
      </c>
      <c r="AJ101" s="3" t="s">
        <v>1352</v>
      </c>
      <c r="AK101" s="2" t="n">
        <v>550546</v>
      </c>
      <c r="AL101" s="3" t="s">
        <v>1353</v>
      </c>
      <c r="AM101" s="2"/>
      <c r="AN101" s="2"/>
      <c r="AO101" s="3" t="s">
        <v>1354</v>
      </c>
      <c r="AP101" s="3" t="s">
        <v>1355</v>
      </c>
      <c r="AQ101" s="2" t="s">
        <v>89</v>
      </c>
    </row>
    <row r="102" customFormat="false" ht="57.45" hidden="false" customHeight="false" outlineLevel="0" collapsed="false">
      <c r="A102" s="2" t="n">
        <v>101</v>
      </c>
      <c r="B102" s="2" t="s">
        <v>1356</v>
      </c>
      <c r="C102" s="2" t="s">
        <v>893</v>
      </c>
      <c r="D102" s="2" t="s">
        <v>894</v>
      </c>
      <c r="E102" s="2" t="s">
        <v>1357</v>
      </c>
      <c r="F102" s="2" t="s">
        <v>1358</v>
      </c>
      <c r="G102" s="3" t="s">
        <v>1359</v>
      </c>
      <c r="H102" s="2"/>
      <c r="I102" s="2" t="s">
        <v>74</v>
      </c>
      <c r="J102" s="3" t="s">
        <v>1360</v>
      </c>
      <c r="K102" s="2" t="s">
        <v>51</v>
      </c>
      <c r="L102" s="2" t="s">
        <v>52</v>
      </c>
      <c r="M102" s="2"/>
      <c r="N102" s="2"/>
      <c r="O102" s="2"/>
      <c r="P102" s="2" t="n">
        <v>39.8003</v>
      </c>
      <c r="Q102" s="2" t="n">
        <v>26.3612</v>
      </c>
      <c r="R102" s="2" t="s">
        <v>95</v>
      </c>
      <c r="S102" s="2" t="n">
        <v>77</v>
      </c>
      <c r="T102" s="2" t="s">
        <v>1361</v>
      </c>
      <c r="U102" s="2" t="s">
        <v>56</v>
      </c>
      <c r="V102" s="2" t="s">
        <v>97</v>
      </c>
      <c r="W102" s="2" t="s">
        <v>140</v>
      </c>
      <c r="X102" s="2" t="s">
        <v>169</v>
      </c>
      <c r="Y102" s="2"/>
      <c r="Z102" s="2" t="s">
        <v>170</v>
      </c>
      <c r="AA102" s="2"/>
      <c r="AB102" s="2" t="s">
        <v>81</v>
      </c>
      <c r="AC102" s="2"/>
      <c r="AD102" s="2"/>
      <c r="AE102" s="3"/>
      <c r="AF102" s="3" t="s">
        <v>1362</v>
      </c>
      <c r="AG102" s="2"/>
      <c r="AH102" s="2" t="s">
        <v>263</v>
      </c>
      <c r="AI102" s="3" t="s">
        <v>1363</v>
      </c>
      <c r="AJ102" s="3" t="s">
        <v>1364</v>
      </c>
      <c r="AK102" s="2" t="n">
        <v>550889</v>
      </c>
      <c r="AL102" s="3" t="s">
        <v>1365</v>
      </c>
      <c r="AM102" s="2"/>
      <c r="AN102" s="2"/>
      <c r="AO102" s="3" t="s">
        <v>1366</v>
      </c>
      <c r="AP102" s="3" t="s">
        <v>1367</v>
      </c>
      <c r="AQ102" s="2" t="s">
        <v>89</v>
      </c>
    </row>
    <row r="103" customFormat="false" ht="46.25" hidden="false" customHeight="false" outlineLevel="0" collapsed="false">
      <c r="A103" s="2" t="n">
        <v>102</v>
      </c>
      <c r="B103" s="2" t="s">
        <v>1368</v>
      </c>
      <c r="C103" s="2" t="s">
        <v>893</v>
      </c>
      <c r="D103" s="2" t="s">
        <v>894</v>
      </c>
      <c r="E103" s="2" t="s">
        <v>1369</v>
      </c>
      <c r="F103" s="2" t="s">
        <v>1370</v>
      </c>
      <c r="G103" s="3" t="s">
        <v>1371</v>
      </c>
      <c r="H103" s="2"/>
      <c r="I103" s="2" t="s">
        <v>74</v>
      </c>
      <c r="J103" s="3" t="s">
        <v>1372</v>
      </c>
      <c r="K103" s="2" t="s">
        <v>51</v>
      </c>
      <c r="L103" s="2" t="s">
        <v>52</v>
      </c>
      <c r="M103" s="2"/>
      <c r="N103" s="2"/>
      <c r="O103" s="2"/>
      <c r="P103" s="2" t="n">
        <v>39.7237</v>
      </c>
      <c r="Q103" s="2" t="n">
        <v>26.2732</v>
      </c>
      <c r="R103" s="2" t="s">
        <v>54</v>
      </c>
      <c r="S103" s="2" t="n">
        <v>-550</v>
      </c>
      <c r="T103" s="2" t="s">
        <v>1373</v>
      </c>
      <c r="U103" s="2" t="s">
        <v>77</v>
      </c>
      <c r="V103" s="2" t="s">
        <v>78</v>
      </c>
      <c r="W103" s="2" t="s">
        <v>58</v>
      </c>
      <c r="X103" s="2" t="s">
        <v>59</v>
      </c>
      <c r="Y103" s="2" t="s">
        <v>1122</v>
      </c>
      <c r="Z103" s="2" t="s">
        <v>61</v>
      </c>
      <c r="AA103" s="2" t="s">
        <v>1123</v>
      </c>
      <c r="AB103" s="2" t="s">
        <v>695</v>
      </c>
      <c r="AC103" s="2" t="s">
        <v>696</v>
      </c>
      <c r="AD103" s="2"/>
      <c r="AE103" s="3"/>
      <c r="AF103" s="3" t="s">
        <v>1374</v>
      </c>
      <c r="AG103" s="2"/>
      <c r="AH103" s="2" t="s">
        <v>54</v>
      </c>
      <c r="AI103" s="3" t="s">
        <v>1375</v>
      </c>
      <c r="AJ103" s="3" t="s">
        <v>1376</v>
      </c>
      <c r="AK103" s="2" t="n">
        <v>550772</v>
      </c>
      <c r="AL103" s="3" t="s">
        <v>1377</v>
      </c>
      <c r="AM103" s="2"/>
      <c r="AN103" s="2"/>
      <c r="AO103" s="3" t="s">
        <v>1378</v>
      </c>
      <c r="AP103" s="3" t="s">
        <v>1379</v>
      </c>
      <c r="AQ103" s="2" t="s">
        <v>151</v>
      </c>
    </row>
    <row r="104" customFormat="false" ht="23.85" hidden="false" customHeight="false" outlineLevel="0" collapsed="false">
      <c r="A104" s="2" t="n">
        <v>103</v>
      </c>
      <c r="B104" s="2" t="s">
        <v>1380</v>
      </c>
      <c r="C104" s="2" t="s">
        <v>893</v>
      </c>
      <c r="D104" s="2" t="s">
        <v>894</v>
      </c>
      <c r="E104" s="2" t="s">
        <v>1381</v>
      </c>
      <c r="F104" s="2" t="s">
        <v>1382</v>
      </c>
      <c r="G104" s="3" t="s">
        <v>1383</v>
      </c>
      <c r="H104" s="2"/>
      <c r="I104" s="2" t="s">
        <v>74</v>
      </c>
      <c r="J104" s="3" t="s">
        <v>1384</v>
      </c>
      <c r="K104" s="2" t="s">
        <v>51</v>
      </c>
      <c r="L104" s="2" t="s">
        <v>52</v>
      </c>
      <c r="M104" s="2"/>
      <c r="N104" s="2"/>
      <c r="O104" s="2"/>
      <c r="P104" s="2" t="n">
        <v>39.6729</v>
      </c>
      <c r="Q104" s="2" t="n">
        <v>26.4102</v>
      </c>
      <c r="R104" s="2" t="s">
        <v>95</v>
      </c>
      <c r="S104" s="2" t="n">
        <v>-399</v>
      </c>
      <c r="T104" s="2" t="s">
        <v>1225</v>
      </c>
      <c r="U104" s="2" t="s">
        <v>56</v>
      </c>
      <c r="V104" s="2" t="s">
        <v>57</v>
      </c>
      <c r="W104" s="2" t="s">
        <v>168</v>
      </c>
      <c r="X104" s="2" t="s">
        <v>169</v>
      </c>
      <c r="Y104" s="2"/>
      <c r="Z104" s="2" t="s">
        <v>170</v>
      </c>
      <c r="AA104" s="2"/>
      <c r="AB104" s="2" t="s">
        <v>81</v>
      </c>
      <c r="AC104" s="2"/>
      <c r="AD104" s="2"/>
      <c r="AE104" s="3"/>
      <c r="AF104" s="3" t="s">
        <v>1385</v>
      </c>
      <c r="AG104" s="2"/>
      <c r="AH104" s="2" t="s">
        <v>113</v>
      </c>
      <c r="AI104" s="3" t="s">
        <v>1386</v>
      </c>
      <c r="AJ104" s="3" t="s">
        <v>1387</v>
      </c>
      <c r="AK104" s="2" t="n">
        <v>550658</v>
      </c>
      <c r="AL104" s="3" t="s">
        <v>1388</v>
      </c>
      <c r="AM104" s="2"/>
      <c r="AN104" s="2"/>
      <c r="AO104" s="3" t="s">
        <v>1389</v>
      </c>
      <c r="AP104" s="3" t="s">
        <v>1390</v>
      </c>
      <c r="AQ104" s="2" t="s">
        <v>89</v>
      </c>
    </row>
    <row r="105" customFormat="false" ht="46.25" hidden="false" customHeight="false" outlineLevel="0" collapsed="false">
      <c r="A105" s="2" t="n">
        <v>104</v>
      </c>
      <c r="B105" s="2" t="s">
        <v>1391</v>
      </c>
      <c r="C105" s="2" t="s">
        <v>893</v>
      </c>
      <c r="D105" s="2" t="s">
        <v>894</v>
      </c>
      <c r="E105" s="2" t="s">
        <v>1392</v>
      </c>
      <c r="F105" s="2" t="s">
        <v>1393</v>
      </c>
      <c r="G105" s="3" t="s">
        <v>1394</v>
      </c>
      <c r="H105" s="2"/>
      <c r="I105" s="2" t="s">
        <v>74</v>
      </c>
      <c r="J105" s="3" t="s">
        <v>1395</v>
      </c>
      <c r="K105" s="2" t="s">
        <v>51</v>
      </c>
      <c r="L105" s="2" t="s">
        <v>52</v>
      </c>
      <c r="M105" s="2"/>
      <c r="N105" s="2"/>
      <c r="O105" s="2"/>
      <c r="P105" s="2" t="n">
        <v>39.7418</v>
      </c>
      <c r="Q105" s="2" t="n">
        <v>26.563</v>
      </c>
      <c r="R105" s="2" t="s">
        <v>54</v>
      </c>
      <c r="S105" s="2" t="n">
        <v>-500</v>
      </c>
      <c r="T105" s="2" t="s">
        <v>55</v>
      </c>
      <c r="U105" s="2" t="s">
        <v>56</v>
      </c>
      <c r="V105" s="2" t="s">
        <v>97</v>
      </c>
      <c r="W105" s="2" t="s">
        <v>58</v>
      </c>
      <c r="X105" s="2" t="s">
        <v>59</v>
      </c>
      <c r="Y105" s="2" t="s">
        <v>1396</v>
      </c>
      <c r="Z105" s="2" t="s">
        <v>61</v>
      </c>
      <c r="AA105" s="2" t="s">
        <v>1397</v>
      </c>
      <c r="AB105" s="2" t="s">
        <v>63</v>
      </c>
      <c r="AC105" s="2" t="s">
        <v>77</v>
      </c>
      <c r="AD105" s="2"/>
      <c r="AE105" s="3"/>
      <c r="AF105" s="3" t="s">
        <v>1398</v>
      </c>
      <c r="AG105" s="2"/>
      <c r="AH105" s="2" t="s">
        <v>54</v>
      </c>
      <c r="AI105" s="3" t="s">
        <v>1399</v>
      </c>
      <c r="AJ105" s="3" t="s">
        <v>1400</v>
      </c>
      <c r="AK105" s="2" t="n">
        <v>550633</v>
      </c>
      <c r="AL105" s="3" t="s">
        <v>1401</v>
      </c>
      <c r="AM105" s="2"/>
      <c r="AN105" s="2"/>
      <c r="AO105" s="3" t="s">
        <v>1402</v>
      </c>
      <c r="AP105" s="3" t="s">
        <v>1403</v>
      </c>
      <c r="AQ105" s="2" t="s">
        <v>89</v>
      </c>
    </row>
    <row r="106" customFormat="false" ht="46.25" hidden="false" customHeight="false" outlineLevel="0" collapsed="false">
      <c r="A106" s="2" t="n">
        <v>105</v>
      </c>
      <c r="B106" s="2" t="s">
        <v>1404</v>
      </c>
      <c r="C106" s="2" t="s">
        <v>893</v>
      </c>
      <c r="D106" s="2" t="s">
        <v>894</v>
      </c>
      <c r="E106" s="2" t="s">
        <v>1405</v>
      </c>
      <c r="F106" s="2" t="s">
        <v>1406</v>
      </c>
      <c r="G106" s="3" t="s">
        <v>1407</v>
      </c>
      <c r="H106" s="2" t="s">
        <v>1408</v>
      </c>
      <c r="I106" s="2" t="s">
        <v>49</v>
      </c>
      <c r="J106" s="3" t="s">
        <v>1409</v>
      </c>
      <c r="K106" s="2" t="s">
        <v>51</v>
      </c>
      <c r="L106" s="2" t="s">
        <v>52</v>
      </c>
      <c r="M106" s="2"/>
      <c r="N106" s="2"/>
      <c r="O106" s="2" t="s">
        <v>53</v>
      </c>
      <c r="P106" s="2" t="n">
        <v>39.8074</v>
      </c>
      <c r="Q106" s="2" t="n">
        <v>26.7029</v>
      </c>
      <c r="R106" s="2" t="s">
        <v>54</v>
      </c>
      <c r="S106" s="2" t="n">
        <v>-480</v>
      </c>
      <c r="T106" s="2" t="s">
        <v>1146</v>
      </c>
      <c r="U106" s="2" t="s">
        <v>56</v>
      </c>
      <c r="V106" s="2" t="s">
        <v>57</v>
      </c>
      <c r="W106" s="2" t="s">
        <v>168</v>
      </c>
      <c r="X106" s="2" t="s">
        <v>59</v>
      </c>
      <c r="Y106" s="2" t="s">
        <v>1410</v>
      </c>
      <c r="Z106" s="2" t="s">
        <v>61</v>
      </c>
      <c r="AA106" s="2" t="s">
        <v>111</v>
      </c>
      <c r="AB106" s="2" t="s">
        <v>81</v>
      </c>
      <c r="AC106" s="2"/>
      <c r="AD106" s="2"/>
      <c r="AE106" s="3"/>
      <c r="AF106" s="3" t="s">
        <v>1411</v>
      </c>
      <c r="AG106" s="2"/>
      <c r="AH106" s="2" t="s">
        <v>54</v>
      </c>
      <c r="AI106" s="3" t="s">
        <v>1412</v>
      </c>
      <c r="AJ106" s="3" t="s">
        <v>1413</v>
      </c>
      <c r="AK106" s="2" t="n">
        <v>550890</v>
      </c>
      <c r="AL106" s="3" t="s">
        <v>1414</v>
      </c>
      <c r="AM106" s="2"/>
      <c r="AN106" s="2"/>
      <c r="AO106" s="3" t="s">
        <v>1415</v>
      </c>
      <c r="AP106" s="3" t="s">
        <v>1416</v>
      </c>
      <c r="AQ106" s="2" t="s">
        <v>89</v>
      </c>
    </row>
    <row r="107" customFormat="false" ht="46.25" hidden="false" customHeight="false" outlineLevel="0" collapsed="false">
      <c r="A107" s="2" t="n">
        <v>106</v>
      </c>
      <c r="B107" s="2" t="s">
        <v>1417</v>
      </c>
      <c r="C107" s="2" t="s">
        <v>893</v>
      </c>
      <c r="D107" s="2" t="s">
        <v>894</v>
      </c>
      <c r="E107" s="2" t="s">
        <v>1418</v>
      </c>
      <c r="F107" s="2" t="s">
        <v>1419</v>
      </c>
      <c r="G107" s="3" t="s">
        <v>1420</v>
      </c>
      <c r="H107" s="2"/>
      <c r="I107" s="2" t="s">
        <v>74</v>
      </c>
      <c r="J107" s="3" t="s">
        <v>1421</v>
      </c>
      <c r="K107" s="2" t="s">
        <v>51</v>
      </c>
      <c r="L107" s="2" t="s">
        <v>52</v>
      </c>
      <c r="M107" s="2"/>
      <c r="N107" s="2"/>
      <c r="O107" s="2"/>
      <c r="P107" s="2" t="n">
        <v>39.8985</v>
      </c>
      <c r="Q107" s="2" t="n">
        <v>26.6093</v>
      </c>
      <c r="R107" s="2" t="s">
        <v>95</v>
      </c>
      <c r="S107" s="2" t="n">
        <v>-400</v>
      </c>
      <c r="T107" s="2" t="s">
        <v>288</v>
      </c>
      <c r="U107" s="2" t="s">
        <v>56</v>
      </c>
      <c r="V107" s="2" t="s">
        <v>97</v>
      </c>
      <c r="W107" s="2" t="s">
        <v>168</v>
      </c>
      <c r="X107" s="2" t="s">
        <v>289</v>
      </c>
      <c r="Y107" s="2"/>
      <c r="Z107" s="2" t="s">
        <v>170</v>
      </c>
      <c r="AA107" s="2"/>
      <c r="AB107" s="2" t="s">
        <v>63</v>
      </c>
      <c r="AC107" s="2" t="s">
        <v>64</v>
      </c>
      <c r="AD107" s="2"/>
      <c r="AE107" s="3"/>
      <c r="AF107" s="3" t="s">
        <v>1422</v>
      </c>
      <c r="AG107" s="2"/>
      <c r="AH107" s="2" t="s">
        <v>113</v>
      </c>
      <c r="AI107" s="3" t="s">
        <v>1423</v>
      </c>
      <c r="AJ107" s="3" t="s">
        <v>1424</v>
      </c>
      <c r="AK107" s="2" t="n">
        <v>550547</v>
      </c>
      <c r="AL107" s="3" t="s">
        <v>1425</v>
      </c>
      <c r="AM107" s="2"/>
      <c r="AN107" s="2"/>
      <c r="AO107" s="3"/>
      <c r="AP107" s="3"/>
      <c r="AQ107" s="2"/>
    </row>
    <row r="108" customFormat="false" ht="23.85" hidden="false" customHeight="false" outlineLevel="0" collapsed="false">
      <c r="A108" s="2" t="n">
        <v>107</v>
      </c>
      <c r="B108" s="2" t="s">
        <v>1426</v>
      </c>
      <c r="C108" s="2" t="s">
        <v>893</v>
      </c>
      <c r="D108" s="2" t="s">
        <v>894</v>
      </c>
      <c r="E108" s="2" t="s">
        <v>1427</v>
      </c>
      <c r="F108" s="2" t="s">
        <v>1428</v>
      </c>
      <c r="G108" s="3" t="s">
        <v>1429</v>
      </c>
      <c r="H108" s="2"/>
      <c r="I108" s="2" t="s">
        <v>93</v>
      </c>
      <c r="J108" s="3" t="s">
        <v>1430</v>
      </c>
      <c r="K108" s="2" t="s">
        <v>51</v>
      </c>
      <c r="L108" s="2" t="s">
        <v>52</v>
      </c>
      <c r="M108" s="2"/>
      <c r="N108" s="2"/>
      <c r="O108" s="2"/>
      <c r="P108" s="2" t="n">
        <v>39.8</v>
      </c>
      <c r="Q108" s="2" t="n">
        <v>26.5</v>
      </c>
      <c r="R108" s="2" t="s">
        <v>637</v>
      </c>
      <c r="S108" s="2" t="n">
        <v>-452</v>
      </c>
      <c r="T108" s="2" t="s">
        <v>1349</v>
      </c>
      <c r="U108" s="2" t="s">
        <v>56</v>
      </c>
      <c r="V108" s="2" t="s">
        <v>57</v>
      </c>
      <c r="W108" s="2" t="s">
        <v>168</v>
      </c>
      <c r="X108" s="2" t="s">
        <v>169</v>
      </c>
      <c r="Y108" s="2"/>
      <c r="Z108" s="2" t="s">
        <v>170</v>
      </c>
      <c r="AA108" s="2"/>
      <c r="AB108" s="2" t="s">
        <v>81</v>
      </c>
      <c r="AC108" s="2"/>
      <c r="AD108" s="2"/>
      <c r="AE108" s="3"/>
      <c r="AF108" s="3" t="s">
        <v>1431</v>
      </c>
      <c r="AG108" s="2"/>
      <c r="AH108" s="2" t="s">
        <v>113</v>
      </c>
      <c r="AI108" s="3" t="s">
        <v>1432</v>
      </c>
      <c r="AJ108" s="3" t="s">
        <v>1433</v>
      </c>
      <c r="AK108" s="2"/>
      <c r="AL108" s="3" t="s">
        <v>1434</v>
      </c>
      <c r="AM108" s="2"/>
      <c r="AN108" s="2"/>
      <c r="AO108" s="3" t="s">
        <v>1435</v>
      </c>
      <c r="AP108" s="3" t="s">
        <v>1436</v>
      </c>
      <c r="AQ108" s="2" t="s">
        <v>106</v>
      </c>
    </row>
    <row r="109" customFormat="false" ht="46.25" hidden="false" customHeight="false" outlineLevel="0" collapsed="false">
      <c r="A109" s="2" t="n">
        <v>108</v>
      </c>
      <c r="B109" s="2" t="s">
        <v>1437</v>
      </c>
      <c r="C109" s="2" t="s">
        <v>893</v>
      </c>
      <c r="D109" s="2" t="s">
        <v>894</v>
      </c>
      <c r="E109" s="2" t="s">
        <v>1438</v>
      </c>
      <c r="F109" s="2" t="s">
        <v>1439</v>
      </c>
      <c r="G109" s="3" t="s">
        <v>1440</v>
      </c>
      <c r="H109" s="2"/>
      <c r="I109" s="2" t="s">
        <v>93</v>
      </c>
      <c r="J109" s="3" t="s">
        <v>1441</v>
      </c>
      <c r="K109" s="2" t="s">
        <v>51</v>
      </c>
      <c r="L109" s="2" t="s">
        <v>52</v>
      </c>
      <c r="M109" s="2"/>
      <c r="N109" s="2"/>
      <c r="O109" s="2"/>
      <c r="P109" s="2" t="n">
        <v>39.85</v>
      </c>
      <c r="Q109" s="2" t="n">
        <v>26.95</v>
      </c>
      <c r="R109" s="2" t="s">
        <v>637</v>
      </c>
      <c r="S109" s="2" t="n">
        <v>77</v>
      </c>
      <c r="T109" s="2" t="s">
        <v>1361</v>
      </c>
      <c r="U109" s="2" t="s">
        <v>56</v>
      </c>
      <c r="V109" s="2" t="s">
        <v>97</v>
      </c>
      <c r="W109" s="2" t="s">
        <v>140</v>
      </c>
      <c r="X109" s="2" t="s">
        <v>169</v>
      </c>
      <c r="Y109" s="2"/>
      <c r="Z109" s="2" t="s">
        <v>170</v>
      </c>
      <c r="AA109" s="2"/>
      <c r="AB109" s="2" t="s">
        <v>81</v>
      </c>
      <c r="AC109" s="2"/>
      <c r="AD109" s="2"/>
      <c r="AE109" s="3"/>
      <c r="AF109" s="3" t="s">
        <v>1442</v>
      </c>
      <c r="AG109" s="2"/>
      <c r="AH109" s="2" t="s">
        <v>263</v>
      </c>
      <c r="AI109" s="3" t="s">
        <v>1443</v>
      </c>
      <c r="AJ109" s="3" t="s">
        <v>1444</v>
      </c>
      <c r="AK109" s="2"/>
      <c r="AL109" s="3" t="s">
        <v>1445</v>
      </c>
      <c r="AM109" s="2"/>
      <c r="AN109" s="2"/>
      <c r="AO109" s="3" t="s">
        <v>1435</v>
      </c>
      <c r="AP109" s="3" t="s">
        <v>1446</v>
      </c>
      <c r="AQ109" s="2" t="s">
        <v>106</v>
      </c>
    </row>
    <row r="110" customFormat="false" ht="46.25" hidden="false" customHeight="false" outlineLevel="0" collapsed="false">
      <c r="A110" s="2" t="n">
        <v>109</v>
      </c>
      <c r="B110" s="2" t="s">
        <v>1447</v>
      </c>
      <c r="C110" s="2" t="s">
        <v>893</v>
      </c>
      <c r="D110" s="2" t="s">
        <v>910</v>
      </c>
      <c r="E110" s="2" t="s">
        <v>1448</v>
      </c>
      <c r="F110" s="2" t="s">
        <v>1449</v>
      </c>
      <c r="G110" s="3" t="s">
        <v>1450</v>
      </c>
      <c r="H110" s="2" t="s">
        <v>1451</v>
      </c>
      <c r="I110" s="2" t="s">
        <v>49</v>
      </c>
      <c r="J110" s="3" t="s">
        <v>1452</v>
      </c>
      <c r="K110" s="2" t="s">
        <v>977</v>
      </c>
      <c r="L110" s="2" t="s">
        <v>52</v>
      </c>
      <c r="M110" s="2"/>
      <c r="N110" s="2"/>
      <c r="O110" s="2" t="s">
        <v>53</v>
      </c>
      <c r="P110" s="2" t="n">
        <v>40.2036</v>
      </c>
      <c r="Q110" s="2" t="n">
        <v>27.5961</v>
      </c>
      <c r="R110" s="2" t="s">
        <v>95</v>
      </c>
      <c r="S110" s="2" t="n">
        <v>-470</v>
      </c>
      <c r="T110" s="2" t="s">
        <v>1453</v>
      </c>
      <c r="U110" s="2" t="s">
        <v>56</v>
      </c>
      <c r="V110" s="2" t="s">
        <v>57</v>
      </c>
      <c r="W110" s="2" t="s">
        <v>168</v>
      </c>
      <c r="X110" s="2" t="s">
        <v>289</v>
      </c>
      <c r="Y110" s="2"/>
      <c r="Z110" s="2" t="s">
        <v>170</v>
      </c>
      <c r="AA110" s="2"/>
      <c r="AB110" s="2" t="s">
        <v>63</v>
      </c>
      <c r="AC110" s="2" t="s">
        <v>64</v>
      </c>
      <c r="AD110" s="2"/>
      <c r="AE110" s="3"/>
      <c r="AF110" s="3" t="s">
        <v>1454</v>
      </c>
      <c r="AG110" s="2"/>
      <c r="AH110" s="2" t="s">
        <v>113</v>
      </c>
      <c r="AI110" s="3" t="s">
        <v>1455</v>
      </c>
      <c r="AJ110" s="3" t="s">
        <v>1456</v>
      </c>
      <c r="AK110" s="2" t="n">
        <v>511461</v>
      </c>
      <c r="AL110" s="3" t="s">
        <v>1457</v>
      </c>
      <c r="AM110" s="2"/>
      <c r="AN110" s="2"/>
      <c r="AO110" s="3"/>
      <c r="AP110" s="3"/>
      <c r="AQ110" s="2"/>
    </row>
    <row r="111" customFormat="false" ht="79.85" hidden="false" customHeight="false" outlineLevel="0" collapsed="false">
      <c r="A111" s="2" t="n">
        <v>110</v>
      </c>
      <c r="B111" s="2" t="s">
        <v>1458</v>
      </c>
      <c r="C111" s="2" t="s">
        <v>893</v>
      </c>
      <c r="D111" s="2" t="s">
        <v>910</v>
      </c>
      <c r="E111" s="2" t="s">
        <v>1459</v>
      </c>
      <c r="F111" s="2" t="s">
        <v>1460</v>
      </c>
      <c r="G111" s="3"/>
      <c r="H111" s="2" t="s">
        <v>1461</v>
      </c>
      <c r="I111" s="2" t="s">
        <v>123</v>
      </c>
      <c r="J111" s="3" t="s">
        <v>1462</v>
      </c>
      <c r="K111" s="2" t="s">
        <v>977</v>
      </c>
      <c r="L111" s="2" t="s">
        <v>52</v>
      </c>
      <c r="M111" s="2" t="s">
        <v>1461</v>
      </c>
      <c r="N111" s="2"/>
      <c r="O111" s="2" t="s">
        <v>53</v>
      </c>
      <c r="P111" s="2" t="n">
        <v>40.1022</v>
      </c>
      <c r="Q111" s="2" t="n">
        <v>27.6554</v>
      </c>
      <c r="R111" s="2" t="s">
        <v>95</v>
      </c>
      <c r="S111" s="2" t="n">
        <v>451</v>
      </c>
      <c r="T111" s="2" t="s">
        <v>1463</v>
      </c>
      <c r="U111" s="2" t="s">
        <v>56</v>
      </c>
      <c r="V111" s="2" t="s">
        <v>97</v>
      </c>
      <c r="W111" s="2" t="s">
        <v>304</v>
      </c>
      <c r="X111" s="2" t="s">
        <v>169</v>
      </c>
      <c r="Y111" s="2"/>
      <c r="Z111" s="2" t="s">
        <v>170</v>
      </c>
      <c r="AA111" s="2"/>
      <c r="AB111" s="2" t="s">
        <v>81</v>
      </c>
      <c r="AC111" s="2"/>
      <c r="AD111" s="2"/>
      <c r="AE111" s="3"/>
      <c r="AF111" s="3" t="s">
        <v>1464</v>
      </c>
      <c r="AG111" s="2"/>
      <c r="AH111" s="2" t="s">
        <v>113</v>
      </c>
      <c r="AI111" s="3" t="s">
        <v>1465</v>
      </c>
      <c r="AJ111" s="3" t="s">
        <v>1466</v>
      </c>
      <c r="AK111" s="2" t="n">
        <v>511178</v>
      </c>
      <c r="AL111" s="3" t="s">
        <v>1467</v>
      </c>
      <c r="AM111" s="2"/>
      <c r="AN111" s="2"/>
      <c r="AO111" s="3" t="s">
        <v>1468</v>
      </c>
      <c r="AP111" s="3" t="s">
        <v>1469</v>
      </c>
      <c r="AQ111" s="2" t="s">
        <v>89</v>
      </c>
    </row>
    <row r="112" customFormat="false" ht="46.25" hidden="false" customHeight="false" outlineLevel="0" collapsed="false">
      <c r="A112" s="2" t="n">
        <v>111</v>
      </c>
      <c r="B112" s="2" t="s">
        <v>1470</v>
      </c>
      <c r="C112" s="2" t="s">
        <v>893</v>
      </c>
      <c r="D112" s="2" t="s">
        <v>910</v>
      </c>
      <c r="E112" s="2" t="s">
        <v>1471</v>
      </c>
      <c r="F112" s="2" t="s">
        <v>1472</v>
      </c>
      <c r="G112" s="3" t="s">
        <v>1473</v>
      </c>
      <c r="H112" s="2" t="s">
        <v>1474</v>
      </c>
      <c r="I112" s="2" t="s">
        <v>49</v>
      </c>
      <c r="J112" s="3" t="s">
        <v>1475</v>
      </c>
      <c r="K112" s="2" t="s">
        <v>977</v>
      </c>
      <c r="L112" s="2" t="s">
        <v>52</v>
      </c>
      <c r="M112" s="2"/>
      <c r="N112" s="2"/>
      <c r="O112" s="2" t="s">
        <v>53</v>
      </c>
      <c r="P112" s="2" t="n">
        <v>40.079</v>
      </c>
      <c r="Q112" s="2" t="n">
        <v>27.8923</v>
      </c>
      <c r="R112" s="2" t="s">
        <v>95</v>
      </c>
      <c r="S112" s="2" t="n">
        <v>77</v>
      </c>
      <c r="T112" s="2" t="s">
        <v>1361</v>
      </c>
      <c r="U112" s="2" t="s">
        <v>56</v>
      </c>
      <c r="V112" s="2" t="s">
        <v>97</v>
      </c>
      <c r="W112" s="2" t="s">
        <v>140</v>
      </c>
      <c r="X112" s="2" t="s">
        <v>169</v>
      </c>
      <c r="Y112" s="2"/>
      <c r="Z112" s="2" t="s">
        <v>170</v>
      </c>
      <c r="AA112" s="2"/>
      <c r="AB112" s="2" t="s">
        <v>81</v>
      </c>
      <c r="AC112" s="2"/>
      <c r="AD112" s="2"/>
      <c r="AE112" s="3"/>
      <c r="AF112" s="3" t="s">
        <v>1476</v>
      </c>
      <c r="AG112" s="2"/>
      <c r="AH112" s="2" t="s">
        <v>113</v>
      </c>
      <c r="AI112" s="3" t="s">
        <v>1477</v>
      </c>
      <c r="AJ112" s="3" t="s">
        <v>1478</v>
      </c>
      <c r="AK112" s="2" t="n">
        <v>511368</v>
      </c>
      <c r="AL112" s="3" t="s">
        <v>1479</v>
      </c>
      <c r="AM112" s="2"/>
      <c r="AN112" s="2"/>
      <c r="AO112" s="3" t="s">
        <v>1480</v>
      </c>
      <c r="AP112" s="3" t="s">
        <v>1481</v>
      </c>
      <c r="AQ112" s="2" t="s">
        <v>151</v>
      </c>
    </row>
    <row r="113" customFormat="false" ht="35.05" hidden="false" customHeight="false" outlineLevel="0" collapsed="false">
      <c r="A113" s="2" t="n">
        <v>112</v>
      </c>
      <c r="B113" s="2" t="s">
        <v>1482</v>
      </c>
      <c r="C113" s="2" t="s">
        <v>893</v>
      </c>
      <c r="D113" s="2" t="s">
        <v>910</v>
      </c>
      <c r="E113" s="2" t="s">
        <v>1483</v>
      </c>
      <c r="F113" s="2" t="s">
        <v>1484</v>
      </c>
      <c r="G113" s="3" t="s">
        <v>1485</v>
      </c>
      <c r="H113" s="2"/>
      <c r="I113" s="2" t="s">
        <v>74</v>
      </c>
      <c r="J113" s="3" t="s">
        <v>1486</v>
      </c>
      <c r="K113" s="2" t="s">
        <v>51</v>
      </c>
      <c r="L113" s="2" t="s">
        <v>52</v>
      </c>
      <c r="M113" s="2"/>
      <c r="N113" s="2"/>
      <c r="O113" s="2"/>
      <c r="P113" s="2" t="n">
        <v>39.8435</v>
      </c>
      <c r="Q113" s="2" t="n">
        <v>27.4093</v>
      </c>
      <c r="R113" s="2" t="s">
        <v>95</v>
      </c>
      <c r="S113" s="2" t="n">
        <v>527</v>
      </c>
      <c r="T113" s="2" t="s">
        <v>330</v>
      </c>
      <c r="U113" s="2" t="s">
        <v>56</v>
      </c>
      <c r="V113" s="2" t="s">
        <v>97</v>
      </c>
      <c r="W113" s="2" t="s">
        <v>304</v>
      </c>
      <c r="X113" s="2" t="s">
        <v>289</v>
      </c>
      <c r="Y113" s="2"/>
      <c r="Z113" s="2" t="s">
        <v>170</v>
      </c>
      <c r="AA113" s="2"/>
      <c r="AB113" s="2" t="s">
        <v>63</v>
      </c>
      <c r="AC113" s="2" t="s">
        <v>64</v>
      </c>
      <c r="AD113" s="2"/>
      <c r="AE113" s="3"/>
      <c r="AF113" s="3" t="s">
        <v>1487</v>
      </c>
      <c r="AG113" s="2"/>
      <c r="AH113" s="2" t="s">
        <v>113</v>
      </c>
      <c r="AI113" s="3" t="s">
        <v>1488</v>
      </c>
      <c r="AJ113" s="3" t="s">
        <v>1489</v>
      </c>
      <c r="AK113" s="2" t="n">
        <v>550450</v>
      </c>
      <c r="AL113" s="3" t="s">
        <v>1490</v>
      </c>
      <c r="AM113" s="2"/>
      <c r="AN113" s="2"/>
      <c r="AO113" s="3"/>
      <c r="AP113" s="3"/>
      <c r="AQ113" s="2"/>
    </row>
    <row r="114" customFormat="false" ht="35.05" hidden="false" customHeight="false" outlineLevel="0" collapsed="false">
      <c r="A114" s="2" t="n">
        <v>113</v>
      </c>
      <c r="B114" s="2" t="s">
        <v>1491</v>
      </c>
      <c r="C114" s="2" t="s">
        <v>893</v>
      </c>
      <c r="D114" s="2" t="s">
        <v>910</v>
      </c>
      <c r="E114" s="2" t="s">
        <v>1492</v>
      </c>
      <c r="F114" s="2" t="s">
        <v>1493</v>
      </c>
      <c r="G114" s="3" t="s">
        <v>1494</v>
      </c>
      <c r="H114" s="2"/>
      <c r="I114" s="2" t="s">
        <v>74</v>
      </c>
      <c r="J114" s="3" t="s">
        <v>1495</v>
      </c>
      <c r="K114" s="2" t="s">
        <v>977</v>
      </c>
      <c r="L114" s="2" t="s">
        <v>52</v>
      </c>
      <c r="M114" s="2"/>
      <c r="N114" s="2"/>
      <c r="O114" s="2"/>
      <c r="P114" s="2" t="n">
        <v>39.6262</v>
      </c>
      <c r="Q114" s="2" t="n">
        <v>27.5796</v>
      </c>
      <c r="R114" s="2" t="s">
        <v>95</v>
      </c>
      <c r="S114" s="2" t="n">
        <v>-30</v>
      </c>
      <c r="T114" s="2" t="s">
        <v>1496</v>
      </c>
      <c r="U114" s="2" t="s">
        <v>56</v>
      </c>
      <c r="V114" s="2" t="s">
        <v>97</v>
      </c>
      <c r="W114" s="2" t="s">
        <v>140</v>
      </c>
      <c r="X114" s="2" t="s">
        <v>289</v>
      </c>
      <c r="Y114" s="2" t="s">
        <v>1497</v>
      </c>
      <c r="Z114" s="2" t="s">
        <v>170</v>
      </c>
      <c r="AA114" s="2"/>
      <c r="AB114" s="2" t="s">
        <v>63</v>
      </c>
      <c r="AC114" s="2" t="s">
        <v>64</v>
      </c>
      <c r="AD114" s="2"/>
      <c r="AE114" s="3"/>
      <c r="AF114" s="3" t="s">
        <v>1498</v>
      </c>
      <c r="AG114" s="2"/>
      <c r="AH114" s="2" t="s">
        <v>113</v>
      </c>
      <c r="AI114" s="3" t="s">
        <v>1499</v>
      </c>
      <c r="AJ114" s="3" t="s">
        <v>1500</v>
      </c>
      <c r="AK114" s="2" t="n">
        <v>550832</v>
      </c>
      <c r="AL114" s="3" t="s">
        <v>1501</v>
      </c>
      <c r="AM114" s="2"/>
      <c r="AN114" s="2"/>
      <c r="AO114" s="3"/>
      <c r="AP114" s="3"/>
      <c r="AQ114" s="2"/>
    </row>
    <row r="115" customFormat="false" ht="46.25" hidden="false" customHeight="false" outlineLevel="0" collapsed="false">
      <c r="A115" s="2" t="n">
        <v>114</v>
      </c>
      <c r="B115" s="2" t="s">
        <v>1502</v>
      </c>
      <c r="C115" s="2" t="s">
        <v>893</v>
      </c>
      <c r="D115" s="2" t="s">
        <v>910</v>
      </c>
      <c r="E115" s="2" t="s">
        <v>1503</v>
      </c>
      <c r="F115" s="2" t="s">
        <v>1504</v>
      </c>
      <c r="G115" s="3" t="s">
        <v>1505</v>
      </c>
      <c r="H115" s="2"/>
      <c r="I115" s="2" t="s">
        <v>74</v>
      </c>
      <c r="J115" s="3" t="s">
        <v>1506</v>
      </c>
      <c r="K115" s="2" t="s">
        <v>977</v>
      </c>
      <c r="L115" s="2" t="s">
        <v>52</v>
      </c>
      <c r="M115" s="2"/>
      <c r="N115" s="2"/>
      <c r="O115" s="2"/>
      <c r="P115" s="2" t="n">
        <v>39.3687</v>
      </c>
      <c r="Q115" s="2" t="n">
        <v>27.6907</v>
      </c>
      <c r="R115" s="2" t="s">
        <v>95</v>
      </c>
      <c r="S115" s="2" t="n">
        <v>150</v>
      </c>
      <c r="T115" s="2" t="s">
        <v>1507</v>
      </c>
      <c r="U115" s="2" t="s">
        <v>56</v>
      </c>
      <c r="V115" s="2" t="s">
        <v>97</v>
      </c>
      <c r="W115" s="2" t="s">
        <v>140</v>
      </c>
      <c r="X115" s="2" t="s">
        <v>289</v>
      </c>
      <c r="Y115" s="2"/>
      <c r="Z115" s="2" t="s">
        <v>170</v>
      </c>
      <c r="AA115" s="2"/>
      <c r="AB115" s="2" t="s">
        <v>63</v>
      </c>
      <c r="AC115" s="2" t="s">
        <v>64</v>
      </c>
      <c r="AD115" s="2"/>
      <c r="AE115" s="3"/>
      <c r="AF115" s="3" t="s">
        <v>1508</v>
      </c>
      <c r="AG115" s="2"/>
      <c r="AH115" s="2" t="s">
        <v>113</v>
      </c>
      <c r="AI115" s="3" t="s">
        <v>1509</v>
      </c>
      <c r="AJ115" s="3" t="s">
        <v>1510</v>
      </c>
      <c r="AK115" s="2" t="n">
        <v>550577</v>
      </c>
      <c r="AL115" s="3" t="s">
        <v>1511</v>
      </c>
      <c r="AM115" s="2"/>
      <c r="AN115" s="2"/>
      <c r="AO115" s="3"/>
      <c r="AP115" s="3"/>
      <c r="AQ115" s="2"/>
    </row>
    <row r="116" customFormat="false" ht="91" hidden="false" customHeight="false" outlineLevel="0" collapsed="false">
      <c r="A116" s="2" t="n">
        <v>115</v>
      </c>
      <c r="B116" s="2" t="s">
        <v>1512</v>
      </c>
      <c r="C116" s="2" t="s">
        <v>893</v>
      </c>
      <c r="D116" s="2" t="s">
        <v>910</v>
      </c>
      <c r="E116" s="2" t="s">
        <v>1513</v>
      </c>
      <c r="F116" s="2" t="s">
        <v>1514</v>
      </c>
      <c r="G116" s="3" t="s">
        <v>1515</v>
      </c>
      <c r="H116" s="2" t="s">
        <v>977</v>
      </c>
      <c r="I116" s="2" t="s">
        <v>123</v>
      </c>
      <c r="J116" s="3" t="s">
        <v>1516</v>
      </c>
      <c r="K116" s="2" t="s">
        <v>977</v>
      </c>
      <c r="L116" s="2" t="s">
        <v>52</v>
      </c>
      <c r="M116" s="2" t="s">
        <v>1517</v>
      </c>
      <c r="N116" s="2" t="s">
        <v>63</v>
      </c>
      <c r="O116" s="2" t="s">
        <v>5</v>
      </c>
      <c r="P116" s="2" t="n">
        <v>39.6067</v>
      </c>
      <c r="Q116" s="2" t="n">
        <v>27.9107</v>
      </c>
      <c r="R116" s="2" t="s">
        <v>95</v>
      </c>
      <c r="S116" s="2" t="n">
        <v>124</v>
      </c>
      <c r="T116" s="2" t="s">
        <v>1518</v>
      </c>
      <c r="U116" s="2" t="s">
        <v>139</v>
      </c>
      <c r="V116" s="2" t="s">
        <v>57</v>
      </c>
      <c r="W116" s="2" t="s">
        <v>140</v>
      </c>
      <c r="X116" s="2" t="s">
        <v>141</v>
      </c>
      <c r="Y116" s="2" t="s">
        <v>583</v>
      </c>
      <c r="Z116" s="2" t="s">
        <v>143</v>
      </c>
      <c r="AA116" s="2"/>
      <c r="AB116" s="2" t="s">
        <v>81</v>
      </c>
      <c r="AC116" s="2"/>
      <c r="AD116" s="2"/>
      <c r="AE116" s="3"/>
      <c r="AF116" s="3" t="s">
        <v>1519</v>
      </c>
      <c r="AG116" s="2"/>
      <c r="AH116" s="2" t="s">
        <v>54</v>
      </c>
      <c r="AI116" s="3" t="s">
        <v>1520</v>
      </c>
      <c r="AJ116" s="3" t="s">
        <v>1521</v>
      </c>
      <c r="AK116" s="2" t="n">
        <v>550560</v>
      </c>
      <c r="AL116" s="3" t="s">
        <v>1522</v>
      </c>
      <c r="AM116" s="2"/>
      <c r="AN116" s="2" t="s">
        <v>200</v>
      </c>
      <c r="AO116" s="3" t="s">
        <v>1523</v>
      </c>
      <c r="AP116" s="3" t="s">
        <v>1524</v>
      </c>
      <c r="AQ116" s="2" t="s">
        <v>89</v>
      </c>
    </row>
    <row r="117" customFormat="false" ht="57.45" hidden="false" customHeight="false" outlineLevel="0" collapsed="false">
      <c r="A117" s="2" t="n">
        <v>116</v>
      </c>
      <c r="B117" s="2" t="s">
        <v>1525</v>
      </c>
      <c r="C117" s="2" t="s">
        <v>893</v>
      </c>
      <c r="D117" s="2" t="s">
        <v>910</v>
      </c>
      <c r="E117" s="2" t="s">
        <v>1526</v>
      </c>
      <c r="F117" s="2" t="s">
        <v>1527</v>
      </c>
      <c r="G117" s="3" t="s">
        <v>1528</v>
      </c>
      <c r="H117" s="2"/>
      <c r="I117" s="2" t="s">
        <v>74</v>
      </c>
      <c r="J117" s="3" t="s">
        <v>1529</v>
      </c>
      <c r="K117" s="2" t="s">
        <v>977</v>
      </c>
      <c r="L117" s="2" t="s">
        <v>52</v>
      </c>
      <c r="M117" s="2"/>
      <c r="N117" s="2"/>
      <c r="O117" s="2"/>
      <c r="P117" s="2" t="n">
        <v>39.516</v>
      </c>
      <c r="Q117" s="2" t="n">
        <v>28.1159</v>
      </c>
      <c r="R117" s="2" t="s">
        <v>95</v>
      </c>
      <c r="S117" s="2" t="n">
        <v>200</v>
      </c>
      <c r="T117" s="2" t="s">
        <v>1530</v>
      </c>
      <c r="U117" s="2" t="s">
        <v>56</v>
      </c>
      <c r="V117" s="2" t="s">
        <v>97</v>
      </c>
      <c r="W117" s="2" t="s">
        <v>140</v>
      </c>
      <c r="X117" s="2" t="s">
        <v>289</v>
      </c>
      <c r="Y117" s="2"/>
      <c r="Z117" s="2" t="s">
        <v>170</v>
      </c>
      <c r="AA117" s="2"/>
      <c r="AB117" s="2" t="s">
        <v>63</v>
      </c>
      <c r="AC117" s="2" t="s">
        <v>64</v>
      </c>
      <c r="AD117" s="2"/>
      <c r="AE117" s="3"/>
      <c r="AF117" s="3" t="s">
        <v>1531</v>
      </c>
      <c r="AG117" s="2"/>
      <c r="AH117" s="2" t="s">
        <v>263</v>
      </c>
      <c r="AI117" s="3" t="s">
        <v>1532</v>
      </c>
      <c r="AJ117" s="3" t="s">
        <v>1533</v>
      </c>
      <c r="AK117" s="2" t="n">
        <v>550474</v>
      </c>
      <c r="AL117" s="3" t="s">
        <v>1534</v>
      </c>
      <c r="AM117" s="2"/>
      <c r="AN117" s="2"/>
      <c r="AO117" s="3"/>
      <c r="AP117" s="3"/>
      <c r="AQ117" s="2"/>
    </row>
    <row r="118" customFormat="false" ht="57.45" hidden="false" customHeight="false" outlineLevel="0" collapsed="false">
      <c r="A118" s="2" t="n">
        <v>117</v>
      </c>
      <c r="B118" s="2" t="s">
        <v>1535</v>
      </c>
      <c r="C118" s="2" t="s">
        <v>893</v>
      </c>
      <c r="D118" s="2" t="s">
        <v>910</v>
      </c>
      <c r="E118" s="2" t="s">
        <v>1536</v>
      </c>
      <c r="F118" s="2" t="s">
        <v>1537</v>
      </c>
      <c r="G118" s="3" t="s">
        <v>1538</v>
      </c>
      <c r="H118" s="2" t="s">
        <v>1539</v>
      </c>
      <c r="I118" s="2" t="s">
        <v>123</v>
      </c>
      <c r="J118" s="3" t="s">
        <v>1540</v>
      </c>
      <c r="K118" s="2" t="s">
        <v>977</v>
      </c>
      <c r="L118" s="2" t="s">
        <v>52</v>
      </c>
      <c r="M118" s="2" t="s">
        <v>1539</v>
      </c>
      <c r="N118" s="2"/>
      <c r="O118" s="2" t="s">
        <v>53</v>
      </c>
      <c r="P118" s="2" t="n">
        <v>39.5898</v>
      </c>
      <c r="Q118" s="2" t="n">
        <v>28.6336</v>
      </c>
      <c r="R118" s="2" t="s">
        <v>95</v>
      </c>
      <c r="S118" s="2" t="n">
        <v>124</v>
      </c>
      <c r="T118" s="2" t="s">
        <v>1518</v>
      </c>
      <c r="U118" s="2" t="s">
        <v>139</v>
      </c>
      <c r="V118" s="2" t="s">
        <v>57</v>
      </c>
      <c r="W118" s="2" t="s">
        <v>140</v>
      </c>
      <c r="X118" s="2" t="s">
        <v>141</v>
      </c>
      <c r="Y118" s="2" t="s">
        <v>583</v>
      </c>
      <c r="Z118" s="2" t="s">
        <v>143</v>
      </c>
      <c r="AA118" s="2"/>
      <c r="AB118" s="2" t="s">
        <v>81</v>
      </c>
      <c r="AC118" s="2"/>
      <c r="AD118" s="2"/>
      <c r="AE118" s="3"/>
      <c r="AF118" s="3" t="s">
        <v>1541</v>
      </c>
      <c r="AG118" s="2"/>
      <c r="AH118" s="2" t="s">
        <v>113</v>
      </c>
      <c r="AI118" s="3" t="s">
        <v>1542</v>
      </c>
      <c r="AJ118" s="3" t="s">
        <v>1543</v>
      </c>
      <c r="AK118" s="2" t="n">
        <v>609395</v>
      </c>
      <c r="AL118" s="3" t="s">
        <v>1544</v>
      </c>
      <c r="AM118" s="2"/>
      <c r="AN118" s="2"/>
      <c r="AO118" s="3" t="s">
        <v>1545</v>
      </c>
      <c r="AP118" s="3" t="s">
        <v>1546</v>
      </c>
      <c r="AQ118" s="2" t="s">
        <v>106</v>
      </c>
    </row>
    <row r="119" customFormat="false" ht="46.25" hidden="false" customHeight="false" outlineLevel="0" collapsed="false">
      <c r="A119" s="2" t="n">
        <v>118</v>
      </c>
      <c r="B119" s="2" t="s">
        <v>1547</v>
      </c>
      <c r="C119" s="2" t="s">
        <v>893</v>
      </c>
      <c r="D119" s="2" t="s">
        <v>910</v>
      </c>
      <c r="E119" s="2" t="s">
        <v>1548</v>
      </c>
      <c r="F119" s="2" t="s">
        <v>1549</v>
      </c>
      <c r="G119" s="3" t="s">
        <v>1550</v>
      </c>
      <c r="H119" s="2"/>
      <c r="I119" s="2" t="s">
        <v>74</v>
      </c>
      <c r="J119" s="3" t="s">
        <v>1551</v>
      </c>
      <c r="K119" s="2" t="s">
        <v>1552</v>
      </c>
      <c r="L119" s="2" t="s">
        <v>1553</v>
      </c>
      <c r="M119" s="2"/>
      <c r="N119" s="2"/>
      <c r="O119" s="2"/>
      <c r="P119" s="2" t="n">
        <v>39.2405</v>
      </c>
      <c r="Q119" s="2" t="n">
        <v>26.9623</v>
      </c>
      <c r="R119" s="2" t="s">
        <v>54</v>
      </c>
      <c r="S119" s="2" t="n">
        <v>-400</v>
      </c>
      <c r="T119" s="2" t="s">
        <v>288</v>
      </c>
      <c r="U119" s="2" t="s">
        <v>56</v>
      </c>
      <c r="V119" s="2" t="s">
        <v>78</v>
      </c>
      <c r="W119" s="2" t="s">
        <v>168</v>
      </c>
      <c r="X119" s="2" t="s">
        <v>289</v>
      </c>
      <c r="Y119" s="2"/>
      <c r="Z119" s="2" t="s">
        <v>170</v>
      </c>
      <c r="AA119" s="2"/>
      <c r="AB119" s="2" t="s">
        <v>63</v>
      </c>
      <c r="AC119" s="2" t="s">
        <v>64</v>
      </c>
      <c r="AD119" s="2"/>
      <c r="AE119" s="3"/>
      <c r="AF119" s="3" t="s">
        <v>1554</v>
      </c>
      <c r="AG119" s="2"/>
      <c r="AH119" s="2" t="s">
        <v>54</v>
      </c>
      <c r="AI119" s="3" t="s">
        <v>1555</v>
      </c>
      <c r="AJ119" s="3" t="s">
        <v>1556</v>
      </c>
      <c r="AK119" s="2" t="n">
        <v>550814</v>
      </c>
      <c r="AL119" s="3" t="s">
        <v>1557</v>
      </c>
      <c r="AM119" s="2"/>
      <c r="AN119" s="2"/>
      <c r="AO119" s="3"/>
      <c r="AP119" s="3"/>
      <c r="AQ119" s="2"/>
    </row>
    <row r="120" customFormat="false" ht="35.05" hidden="false" customHeight="false" outlineLevel="0" collapsed="false">
      <c r="A120" s="2" t="n">
        <v>119</v>
      </c>
      <c r="B120" s="2" t="s">
        <v>1558</v>
      </c>
      <c r="C120" s="2" t="s">
        <v>893</v>
      </c>
      <c r="D120" s="2" t="s">
        <v>910</v>
      </c>
      <c r="E120" s="2" t="s">
        <v>1559</v>
      </c>
      <c r="F120" s="2" t="s">
        <v>1560</v>
      </c>
      <c r="G120" s="3"/>
      <c r="H120" s="2"/>
      <c r="I120" s="2" t="s">
        <v>74</v>
      </c>
      <c r="J120" s="3" t="s">
        <v>1561</v>
      </c>
      <c r="K120" s="2" t="s">
        <v>1552</v>
      </c>
      <c r="L120" s="2" t="s">
        <v>1553</v>
      </c>
      <c r="M120" s="2"/>
      <c r="N120" s="2"/>
      <c r="O120" s="2"/>
      <c r="P120" s="2" t="n">
        <v>39.25</v>
      </c>
      <c r="Q120" s="2" t="n">
        <v>27.25</v>
      </c>
      <c r="R120" s="2" t="s">
        <v>95</v>
      </c>
      <c r="S120" s="2" t="n">
        <v>-400</v>
      </c>
      <c r="T120" s="2" t="s">
        <v>288</v>
      </c>
      <c r="U120" s="2" t="s">
        <v>56</v>
      </c>
      <c r="V120" s="2" t="s">
        <v>78</v>
      </c>
      <c r="W120" s="2" t="s">
        <v>168</v>
      </c>
      <c r="X120" s="2" t="s">
        <v>289</v>
      </c>
      <c r="Y120" s="2"/>
      <c r="Z120" s="2" t="s">
        <v>170</v>
      </c>
      <c r="AA120" s="2"/>
      <c r="AB120" s="2" t="s">
        <v>63</v>
      </c>
      <c r="AC120" s="2" t="s">
        <v>64</v>
      </c>
      <c r="AD120" s="2"/>
      <c r="AE120" s="3"/>
      <c r="AF120" s="3" t="s">
        <v>1562</v>
      </c>
      <c r="AG120" s="2"/>
      <c r="AH120" s="2" t="s">
        <v>54</v>
      </c>
      <c r="AI120" s="3" t="s">
        <v>1563</v>
      </c>
      <c r="AJ120" s="3" t="s">
        <v>1564</v>
      </c>
      <c r="AK120" s="2" t="n">
        <v>550542</v>
      </c>
      <c r="AL120" s="3" t="s">
        <v>1565</v>
      </c>
      <c r="AM120" s="2"/>
      <c r="AN120" s="2"/>
      <c r="AO120" s="3"/>
      <c r="AP120" s="3"/>
      <c r="AQ120" s="2"/>
    </row>
    <row r="121" customFormat="false" ht="68.65" hidden="false" customHeight="false" outlineLevel="0" collapsed="false">
      <c r="A121" s="2" t="n">
        <v>120</v>
      </c>
      <c r="B121" s="2" t="s">
        <v>1566</v>
      </c>
      <c r="C121" s="2" t="s">
        <v>893</v>
      </c>
      <c r="D121" s="2" t="s">
        <v>910</v>
      </c>
      <c r="E121" s="2" t="s">
        <v>1567</v>
      </c>
      <c r="F121" s="2" t="s">
        <v>1568</v>
      </c>
      <c r="G121" s="3" t="s">
        <v>1569</v>
      </c>
      <c r="H121" s="2" t="s">
        <v>1570</v>
      </c>
      <c r="I121" s="2" t="s">
        <v>123</v>
      </c>
      <c r="J121" s="3" t="s">
        <v>1571</v>
      </c>
      <c r="K121" s="2" t="s">
        <v>1552</v>
      </c>
      <c r="L121" s="2" t="s">
        <v>1553</v>
      </c>
      <c r="M121" s="2" t="s">
        <v>1570</v>
      </c>
      <c r="N121" s="2"/>
      <c r="O121" s="2" t="s">
        <v>5</v>
      </c>
      <c r="P121" s="2" t="n">
        <v>39.1325</v>
      </c>
      <c r="Q121" s="2" t="n">
        <v>27.1842</v>
      </c>
      <c r="R121" s="2" t="s">
        <v>54</v>
      </c>
      <c r="S121" s="2" t="n">
        <v>-450</v>
      </c>
      <c r="T121" s="2" t="s">
        <v>915</v>
      </c>
      <c r="U121" s="2" t="s">
        <v>56</v>
      </c>
      <c r="V121" s="2" t="s">
        <v>78</v>
      </c>
      <c r="W121" s="2" t="s">
        <v>168</v>
      </c>
      <c r="X121" s="2" t="s">
        <v>169</v>
      </c>
      <c r="Y121" s="2" t="s">
        <v>1572</v>
      </c>
      <c r="Z121" s="2" t="s">
        <v>170</v>
      </c>
      <c r="AA121" s="2"/>
      <c r="AB121" s="2" t="s">
        <v>81</v>
      </c>
      <c r="AC121" s="2"/>
      <c r="AD121" s="2"/>
      <c r="AE121" s="3"/>
      <c r="AF121" s="3" t="s">
        <v>1573</v>
      </c>
      <c r="AG121" s="2"/>
      <c r="AH121" s="2" t="s">
        <v>54</v>
      </c>
      <c r="AI121" s="3" t="s">
        <v>1574</v>
      </c>
      <c r="AJ121" s="3" t="s">
        <v>1575</v>
      </c>
      <c r="AK121" s="2" t="n">
        <v>550812</v>
      </c>
      <c r="AL121" s="3" t="s">
        <v>1576</v>
      </c>
      <c r="AM121" s="2"/>
      <c r="AN121" s="2" t="s">
        <v>200</v>
      </c>
      <c r="AO121" s="3" t="s">
        <v>1577</v>
      </c>
      <c r="AP121" s="3" t="s">
        <v>1578</v>
      </c>
      <c r="AQ121" s="2" t="s">
        <v>151</v>
      </c>
    </row>
    <row r="122" customFormat="false" ht="35.05" hidden="false" customHeight="false" outlineLevel="0" collapsed="false">
      <c r="A122" s="2" t="n">
        <v>121</v>
      </c>
      <c r="B122" s="2" t="s">
        <v>1579</v>
      </c>
      <c r="C122" s="2" t="s">
        <v>893</v>
      </c>
      <c r="D122" s="2" t="s">
        <v>910</v>
      </c>
      <c r="E122" s="2" t="s">
        <v>1580</v>
      </c>
      <c r="F122" s="2" t="s">
        <v>1581</v>
      </c>
      <c r="G122" s="3"/>
      <c r="H122" s="2"/>
      <c r="I122" s="2" t="s">
        <v>74</v>
      </c>
      <c r="J122" s="3" t="s">
        <v>1582</v>
      </c>
      <c r="K122" s="2" t="s">
        <v>1552</v>
      </c>
      <c r="L122" s="2" t="s">
        <v>1553</v>
      </c>
      <c r="M122" s="2"/>
      <c r="N122" s="2"/>
      <c r="O122" s="2"/>
      <c r="P122" s="2" t="n">
        <v>39.0352</v>
      </c>
      <c r="Q122" s="2" t="n">
        <v>27.0548</v>
      </c>
      <c r="R122" s="2" t="s">
        <v>54</v>
      </c>
      <c r="S122" s="2" t="n">
        <v>-400</v>
      </c>
      <c r="T122" s="2" t="s">
        <v>288</v>
      </c>
      <c r="U122" s="2" t="s">
        <v>56</v>
      </c>
      <c r="V122" s="2" t="s">
        <v>78</v>
      </c>
      <c r="W122" s="2" t="s">
        <v>168</v>
      </c>
      <c r="X122" s="2" t="s">
        <v>289</v>
      </c>
      <c r="Y122" s="2"/>
      <c r="Z122" s="2" t="s">
        <v>170</v>
      </c>
      <c r="AA122" s="2"/>
      <c r="AB122" s="2" t="s">
        <v>63</v>
      </c>
      <c r="AC122" s="2" t="s">
        <v>64</v>
      </c>
      <c r="AD122" s="2"/>
      <c r="AE122" s="3"/>
      <c r="AF122" s="3" t="s">
        <v>1583</v>
      </c>
      <c r="AG122" s="2"/>
      <c r="AH122" s="2" t="s">
        <v>113</v>
      </c>
      <c r="AI122" s="3" t="s">
        <v>1584</v>
      </c>
      <c r="AJ122" s="3" t="s">
        <v>1585</v>
      </c>
      <c r="AK122" s="2" t="n">
        <v>550916</v>
      </c>
      <c r="AL122" s="3" t="s">
        <v>1586</v>
      </c>
      <c r="AM122" s="2"/>
      <c r="AN122" s="2"/>
      <c r="AO122" s="3"/>
      <c r="AP122" s="3"/>
      <c r="AQ122" s="2"/>
    </row>
    <row r="123" customFormat="false" ht="23.85" hidden="false" customHeight="false" outlineLevel="0" collapsed="false">
      <c r="A123" s="2" t="n">
        <v>122</v>
      </c>
      <c r="B123" s="2" t="s">
        <v>1587</v>
      </c>
      <c r="C123" s="2" t="s">
        <v>893</v>
      </c>
      <c r="D123" s="2" t="s">
        <v>910</v>
      </c>
      <c r="E123" s="2" t="s">
        <v>1588</v>
      </c>
      <c r="F123" s="2" t="s">
        <v>1589</v>
      </c>
      <c r="G123" s="3"/>
      <c r="H123" s="2"/>
      <c r="I123" s="2" t="s">
        <v>74</v>
      </c>
      <c r="J123" s="3" t="s">
        <v>1590</v>
      </c>
      <c r="K123" s="2" t="s">
        <v>1552</v>
      </c>
      <c r="L123" s="2" t="s">
        <v>1553</v>
      </c>
      <c r="M123" s="2"/>
      <c r="N123" s="2"/>
      <c r="O123" s="2"/>
      <c r="P123" s="2" t="n">
        <v>39.0451</v>
      </c>
      <c r="Q123" s="2" t="n">
        <v>27.115</v>
      </c>
      <c r="R123" s="2" t="s">
        <v>95</v>
      </c>
      <c r="S123" s="2" t="n">
        <v>-400</v>
      </c>
      <c r="T123" s="2" t="s">
        <v>288</v>
      </c>
      <c r="U123" s="2" t="s">
        <v>56</v>
      </c>
      <c r="V123" s="2" t="s">
        <v>78</v>
      </c>
      <c r="W123" s="2" t="s">
        <v>168</v>
      </c>
      <c r="X123" s="2" t="s">
        <v>289</v>
      </c>
      <c r="Y123" s="2"/>
      <c r="Z123" s="2" t="s">
        <v>170</v>
      </c>
      <c r="AA123" s="2"/>
      <c r="AB123" s="2" t="s">
        <v>63</v>
      </c>
      <c r="AC123" s="2" t="s">
        <v>64</v>
      </c>
      <c r="AD123" s="2"/>
      <c r="AE123" s="3"/>
      <c r="AF123" s="3" t="s">
        <v>1591</v>
      </c>
      <c r="AG123" s="2"/>
      <c r="AH123" s="2" t="s">
        <v>113</v>
      </c>
      <c r="AI123" s="3" t="s">
        <v>1592</v>
      </c>
      <c r="AJ123" s="3" t="s">
        <v>1593</v>
      </c>
      <c r="AK123" s="2" t="n">
        <v>550562</v>
      </c>
      <c r="AL123" s="3" t="s">
        <v>1594</v>
      </c>
      <c r="AM123" s="2"/>
      <c r="AN123" s="2"/>
      <c r="AO123" s="3"/>
      <c r="AP123" s="3"/>
      <c r="AQ123" s="2"/>
    </row>
    <row r="124" customFormat="false" ht="35.05" hidden="false" customHeight="false" outlineLevel="0" collapsed="false">
      <c r="A124" s="2" t="n">
        <v>123</v>
      </c>
      <c r="B124" s="2" t="s">
        <v>1595</v>
      </c>
      <c r="C124" s="2" t="s">
        <v>1596</v>
      </c>
      <c r="D124" s="2" t="s">
        <v>1597</v>
      </c>
      <c r="E124" s="2" t="s">
        <v>1598</v>
      </c>
      <c r="F124" s="2" t="s">
        <v>1599</v>
      </c>
      <c r="G124" s="3" t="s">
        <v>1600</v>
      </c>
      <c r="H124" s="2"/>
      <c r="I124" s="2" t="s">
        <v>74</v>
      </c>
      <c r="J124" s="3" t="s">
        <v>1601</v>
      </c>
      <c r="K124" s="2" t="s">
        <v>977</v>
      </c>
      <c r="L124" s="2" t="s">
        <v>52</v>
      </c>
      <c r="M124" s="2"/>
      <c r="N124" s="2"/>
      <c r="O124" s="2"/>
      <c r="P124" s="2" t="n">
        <v>39.3367</v>
      </c>
      <c r="Q124" s="2" t="n">
        <v>26.6548</v>
      </c>
      <c r="R124" s="2" t="s">
        <v>95</v>
      </c>
      <c r="S124" s="2" t="n">
        <v>-400</v>
      </c>
      <c r="T124" s="2" t="s">
        <v>288</v>
      </c>
      <c r="U124" s="2" t="s">
        <v>56</v>
      </c>
      <c r="V124" s="2" t="s">
        <v>97</v>
      </c>
      <c r="W124" s="2" t="s">
        <v>168</v>
      </c>
      <c r="X124" s="2" t="s">
        <v>59</v>
      </c>
      <c r="Y124" s="2" t="s">
        <v>1602</v>
      </c>
      <c r="Z124" s="2" t="s">
        <v>61</v>
      </c>
      <c r="AA124" s="2" t="s">
        <v>1123</v>
      </c>
      <c r="AB124" s="2" t="s">
        <v>81</v>
      </c>
      <c r="AC124" s="2"/>
      <c r="AD124" s="2"/>
      <c r="AE124" s="3"/>
      <c r="AF124" s="3" t="s">
        <v>1603</v>
      </c>
      <c r="AG124" s="2"/>
      <c r="AH124" s="2" t="s">
        <v>54</v>
      </c>
      <c r="AI124" s="3" t="s">
        <v>1604</v>
      </c>
      <c r="AJ124" s="3" t="s">
        <v>1605</v>
      </c>
      <c r="AK124" s="2" t="n">
        <v>550841</v>
      </c>
      <c r="AL124" s="3" t="s">
        <v>1606</v>
      </c>
      <c r="AM124" s="2"/>
      <c r="AN124" s="2"/>
      <c r="AO124" s="3" t="s">
        <v>1607</v>
      </c>
      <c r="AP124" s="3" t="s">
        <v>1608</v>
      </c>
      <c r="AQ124" s="2" t="s">
        <v>151</v>
      </c>
    </row>
    <row r="125" customFormat="false" ht="35.05" hidden="false" customHeight="false" outlineLevel="0" collapsed="false">
      <c r="A125" s="2" t="n">
        <v>124</v>
      </c>
      <c r="B125" s="2" t="s">
        <v>1609</v>
      </c>
      <c r="C125" s="2" t="s">
        <v>1596</v>
      </c>
      <c r="D125" s="2" t="s">
        <v>1597</v>
      </c>
      <c r="E125" s="2" t="s">
        <v>1610</v>
      </c>
      <c r="F125" s="2" t="s">
        <v>1611</v>
      </c>
      <c r="G125" s="3"/>
      <c r="H125" s="2"/>
      <c r="I125" s="2" t="s">
        <v>74</v>
      </c>
      <c r="J125" s="3" t="s">
        <v>1612</v>
      </c>
      <c r="K125" s="2" t="s">
        <v>1552</v>
      </c>
      <c r="L125" s="2" t="s">
        <v>1553</v>
      </c>
      <c r="M125" s="2"/>
      <c r="N125" s="2"/>
      <c r="O125" s="2"/>
      <c r="P125" s="2" t="n">
        <v>39.0915</v>
      </c>
      <c r="Q125" s="2" t="n">
        <v>26.9213</v>
      </c>
      <c r="R125" s="2" t="s">
        <v>54</v>
      </c>
      <c r="S125" s="2" t="n">
        <v>-546</v>
      </c>
      <c r="T125" s="2" t="s">
        <v>1613</v>
      </c>
      <c r="U125" s="2" t="s">
        <v>56</v>
      </c>
      <c r="V125" s="2" t="s">
        <v>57</v>
      </c>
      <c r="W125" s="2" t="s">
        <v>58</v>
      </c>
      <c r="X125" s="2" t="s">
        <v>289</v>
      </c>
      <c r="Y125" s="2"/>
      <c r="Z125" s="2" t="s">
        <v>170</v>
      </c>
      <c r="AA125" s="2"/>
      <c r="AB125" s="2" t="s">
        <v>63</v>
      </c>
      <c r="AC125" s="2" t="s">
        <v>64</v>
      </c>
      <c r="AD125" s="2"/>
      <c r="AE125" s="3"/>
      <c r="AF125" s="3" t="s">
        <v>1614</v>
      </c>
      <c r="AG125" s="2"/>
      <c r="AH125" s="2" t="s">
        <v>54</v>
      </c>
      <c r="AI125" s="3" t="s">
        <v>1615</v>
      </c>
      <c r="AJ125" s="3" t="s">
        <v>1616</v>
      </c>
      <c r="AK125" s="2" t="n">
        <v>550469</v>
      </c>
      <c r="AL125" s="3" t="s">
        <v>1617</v>
      </c>
      <c r="AM125" s="2"/>
      <c r="AN125" s="2"/>
      <c r="AO125" s="3"/>
      <c r="AP125" s="3"/>
      <c r="AQ125" s="2"/>
    </row>
    <row r="126" customFormat="false" ht="57.45" hidden="false" customHeight="false" outlineLevel="0" collapsed="false">
      <c r="A126" s="2" t="n">
        <v>125</v>
      </c>
      <c r="B126" s="2" t="s">
        <v>1618</v>
      </c>
      <c r="C126" s="2" t="s">
        <v>1596</v>
      </c>
      <c r="D126" s="2" t="s">
        <v>1597</v>
      </c>
      <c r="E126" s="2" t="s">
        <v>1619</v>
      </c>
      <c r="F126" s="2" t="s">
        <v>1620</v>
      </c>
      <c r="G126" s="3" t="s">
        <v>1621</v>
      </c>
      <c r="H126" s="2"/>
      <c r="I126" s="2" t="s">
        <v>74</v>
      </c>
      <c r="J126" s="3" t="s">
        <v>1622</v>
      </c>
      <c r="K126" s="2" t="s">
        <v>1552</v>
      </c>
      <c r="L126" s="2" t="s">
        <v>1553</v>
      </c>
      <c r="M126" s="2"/>
      <c r="N126" s="2"/>
      <c r="O126" s="2"/>
      <c r="P126" s="2" t="n">
        <v>39.0386</v>
      </c>
      <c r="Q126" s="2" t="n">
        <v>26.8147</v>
      </c>
      <c r="R126" s="2" t="s">
        <v>95</v>
      </c>
      <c r="S126" s="2" t="n">
        <v>-400</v>
      </c>
      <c r="T126" s="2" t="s">
        <v>288</v>
      </c>
      <c r="U126" s="2" t="s">
        <v>56</v>
      </c>
      <c r="V126" s="2" t="s">
        <v>78</v>
      </c>
      <c r="W126" s="2" t="s">
        <v>168</v>
      </c>
      <c r="X126" s="2" t="s">
        <v>59</v>
      </c>
      <c r="Y126" s="2" t="s">
        <v>1623</v>
      </c>
      <c r="Z126" s="2" t="s">
        <v>61</v>
      </c>
      <c r="AA126" s="2" t="s">
        <v>1624</v>
      </c>
      <c r="AB126" s="2" t="s">
        <v>81</v>
      </c>
      <c r="AC126" s="2"/>
      <c r="AD126" s="2"/>
      <c r="AE126" s="3"/>
      <c r="AF126" s="3" t="s">
        <v>1625</v>
      </c>
      <c r="AG126" s="2"/>
      <c r="AH126" s="2" t="s">
        <v>263</v>
      </c>
      <c r="AI126" s="3" t="s">
        <v>1626</v>
      </c>
      <c r="AJ126" s="3" t="s">
        <v>1627</v>
      </c>
      <c r="AK126" s="2"/>
      <c r="AL126" s="3" t="s">
        <v>1628</v>
      </c>
      <c r="AM126" s="2"/>
      <c r="AN126" s="2"/>
      <c r="AO126" s="3" t="s">
        <v>1629</v>
      </c>
      <c r="AP126" s="3" t="s">
        <v>1630</v>
      </c>
      <c r="AQ126" s="2" t="s">
        <v>151</v>
      </c>
    </row>
    <row r="127" customFormat="false" ht="35.05" hidden="false" customHeight="false" outlineLevel="0" collapsed="false">
      <c r="A127" s="2" t="n">
        <v>126</v>
      </c>
      <c r="B127" s="2" t="s">
        <v>1631</v>
      </c>
      <c r="C127" s="2" t="s">
        <v>1596</v>
      </c>
      <c r="D127" s="2" t="s">
        <v>1597</v>
      </c>
      <c r="E127" s="2" t="s">
        <v>1632</v>
      </c>
      <c r="F127" s="2" t="s">
        <v>1633</v>
      </c>
      <c r="G127" s="3"/>
      <c r="H127" s="2" t="s">
        <v>1634</v>
      </c>
      <c r="I127" s="2" t="s">
        <v>123</v>
      </c>
      <c r="J127" s="3" t="s">
        <v>1635</v>
      </c>
      <c r="K127" s="2" t="s">
        <v>1552</v>
      </c>
      <c r="L127" s="2" t="s">
        <v>1553</v>
      </c>
      <c r="M127" s="2"/>
      <c r="N127" s="2"/>
      <c r="O127" s="2" t="s">
        <v>53</v>
      </c>
      <c r="P127" s="2" t="n">
        <v>38.9283</v>
      </c>
      <c r="Q127" s="2" t="n">
        <v>26.9375</v>
      </c>
      <c r="R127" s="2" t="s">
        <v>54</v>
      </c>
      <c r="S127" s="2" t="n">
        <v>-1000</v>
      </c>
      <c r="T127" s="2" t="s">
        <v>1636</v>
      </c>
      <c r="U127" s="2" t="s">
        <v>96</v>
      </c>
      <c r="V127" s="2" t="s">
        <v>97</v>
      </c>
      <c r="W127" s="2" t="s">
        <v>1637</v>
      </c>
      <c r="X127" s="2" t="s">
        <v>901</v>
      </c>
      <c r="Y127" s="2" t="s">
        <v>903</v>
      </c>
      <c r="Z127" s="2" t="s">
        <v>903</v>
      </c>
      <c r="AA127" s="2"/>
      <c r="AB127" s="2" t="s">
        <v>63</v>
      </c>
      <c r="AC127" s="2" t="s">
        <v>77</v>
      </c>
      <c r="AD127" s="2"/>
      <c r="AE127" s="3"/>
      <c r="AF127" s="3" t="s">
        <v>1638</v>
      </c>
      <c r="AG127" s="2"/>
      <c r="AH127" s="2" t="s">
        <v>54</v>
      </c>
      <c r="AI127" s="3" t="s">
        <v>1639</v>
      </c>
      <c r="AJ127" s="3" t="s">
        <v>1640</v>
      </c>
      <c r="AK127" s="2" t="n">
        <v>550833</v>
      </c>
      <c r="AL127" s="3" t="s">
        <v>1641</v>
      </c>
      <c r="AM127" s="2"/>
      <c r="AN127" s="2"/>
      <c r="AO127" s="3"/>
      <c r="AP127" s="3"/>
      <c r="AQ127" s="2"/>
    </row>
    <row r="128" customFormat="false" ht="79.85" hidden="false" customHeight="false" outlineLevel="0" collapsed="false">
      <c r="A128" s="2" t="n">
        <v>127</v>
      </c>
      <c r="B128" s="2" t="s">
        <v>1642</v>
      </c>
      <c r="C128" s="2" t="s">
        <v>1596</v>
      </c>
      <c r="D128" s="2" t="s">
        <v>1597</v>
      </c>
      <c r="E128" s="2" t="s">
        <v>1643</v>
      </c>
      <c r="F128" s="2" t="s">
        <v>1644</v>
      </c>
      <c r="G128" s="3" t="s">
        <v>1645</v>
      </c>
      <c r="H128" s="2"/>
      <c r="I128" s="2" t="s">
        <v>74</v>
      </c>
      <c r="J128" s="3" t="s">
        <v>1646</v>
      </c>
      <c r="K128" s="2" t="s">
        <v>1552</v>
      </c>
      <c r="L128" s="2" t="s">
        <v>1553</v>
      </c>
      <c r="M128" s="2"/>
      <c r="N128" s="2"/>
      <c r="O128" s="2"/>
      <c r="P128" s="2" t="n">
        <v>38.9416</v>
      </c>
      <c r="Q128" s="2" t="n">
        <v>27.0553</v>
      </c>
      <c r="R128" s="2" t="s">
        <v>54</v>
      </c>
      <c r="S128" s="2" t="n">
        <v>-454</v>
      </c>
      <c r="T128" s="2" t="s">
        <v>408</v>
      </c>
      <c r="U128" s="2" t="s">
        <v>56</v>
      </c>
      <c r="V128" s="2" t="s">
        <v>57</v>
      </c>
      <c r="W128" s="2" t="s">
        <v>168</v>
      </c>
      <c r="X128" s="2" t="s">
        <v>901</v>
      </c>
      <c r="Y128" s="2" t="s">
        <v>1647</v>
      </c>
      <c r="Z128" s="2" t="s">
        <v>903</v>
      </c>
      <c r="AA128" s="2"/>
      <c r="AB128" s="2" t="s">
        <v>695</v>
      </c>
      <c r="AC128" s="2" t="s">
        <v>696</v>
      </c>
      <c r="AD128" s="2"/>
      <c r="AE128" s="3"/>
      <c r="AF128" s="3" t="s">
        <v>1648</v>
      </c>
      <c r="AG128" s="2"/>
      <c r="AH128" s="2" t="s">
        <v>54</v>
      </c>
      <c r="AI128" s="3" t="s">
        <v>1649</v>
      </c>
      <c r="AJ128" s="3" t="s">
        <v>1650</v>
      </c>
      <c r="AK128" s="2" t="n">
        <v>550523</v>
      </c>
      <c r="AL128" s="3" t="s">
        <v>1651</v>
      </c>
      <c r="AM128" s="2"/>
      <c r="AN128" s="2"/>
      <c r="AO128" s="3" t="s">
        <v>1652</v>
      </c>
      <c r="AP128" s="3" t="s">
        <v>1653</v>
      </c>
      <c r="AQ128" s="2" t="s">
        <v>89</v>
      </c>
    </row>
    <row r="129" customFormat="false" ht="102.2" hidden="false" customHeight="false" outlineLevel="0" collapsed="false">
      <c r="A129" s="2" t="n">
        <v>128</v>
      </c>
      <c r="B129" s="2" t="s">
        <v>1654</v>
      </c>
      <c r="C129" s="2" t="s">
        <v>1596</v>
      </c>
      <c r="D129" s="2" t="s">
        <v>1597</v>
      </c>
      <c r="E129" s="2" t="s">
        <v>1655</v>
      </c>
      <c r="F129" s="2" t="s">
        <v>1656</v>
      </c>
      <c r="G129" s="3" t="s">
        <v>1657</v>
      </c>
      <c r="H129" s="2"/>
      <c r="I129" s="2" t="s">
        <v>74</v>
      </c>
      <c r="J129" s="3" t="s">
        <v>1658</v>
      </c>
      <c r="K129" s="2" t="s">
        <v>1552</v>
      </c>
      <c r="L129" s="2" t="s">
        <v>1553</v>
      </c>
      <c r="M129" s="2"/>
      <c r="N129" s="2"/>
      <c r="O129" s="2"/>
      <c r="P129" s="2" t="n">
        <v>38.879</v>
      </c>
      <c r="Q129" s="2" t="n">
        <v>27.068</v>
      </c>
      <c r="R129" s="2" t="s">
        <v>54</v>
      </c>
      <c r="S129" s="2" t="n">
        <v>-1000</v>
      </c>
      <c r="T129" s="2" t="s">
        <v>1636</v>
      </c>
      <c r="U129" s="2" t="s">
        <v>96</v>
      </c>
      <c r="V129" s="2" t="s">
        <v>97</v>
      </c>
      <c r="W129" s="2" t="s">
        <v>1637</v>
      </c>
      <c r="X129" s="2" t="s">
        <v>901</v>
      </c>
      <c r="Y129" s="2" t="s">
        <v>903</v>
      </c>
      <c r="Z129" s="2" t="s">
        <v>903</v>
      </c>
      <c r="AA129" s="2"/>
      <c r="AB129" s="2" t="s">
        <v>81</v>
      </c>
      <c r="AC129" s="2"/>
      <c r="AD129" s="2"/>
      <c r="AE129" s="3"/>
      <c r="AF129" s="3" t="s">
        <v>1659</v>
      </c>
      <c r="AG129" s="2"/>
      <c r="AH129" s="2" t="s">
        <v>54</v>
      </c>
      <c r="AI129" s="3" t="s">
        <v>1660</v>
      </c>
      <c r="AJ129" s="3" t="s">
        <v>1661</v>
      </c>
      <c r="AK129" s="2" t="n">
        <v>550555</v>
      </c>
      <c r="AL129" s="3" t="s">
        <v>1641</v>
      </c>
      <c r="AM129" s="2"/>
      <c r="AN129" s="2"/>
      <c r="AO129" s="3" t="s">
        <v>1662</v>
      </c>
      <c r="AP129" s="3" t="s">
        <v>1663</v>
      </c>
      <c r="AQ129" s="2" t="s">
        <v>151</v>
      </c>
    </row>
    <row r="130" customFormat="false" ht="91" hidden="false" customHeight="false" outlineLevel="0" collapsed="false">
      <c r="A130" s="2" t="n">
        <v>129</v>
      </c>
      <c r="B130" s="2" t="s">
        <v>1664</v>
      </c>
      <c r="C130" s="2" t="s">
        <v>1596</v>
      </c>
      <c r="D130" s="2" t="s">
        <v>1597</v>
      </c>
      <c r="E130" s="2" t="s">
        <v>1665</v>
      </c>
      <c r="F130" s="2" t="s">
        <v>1666</v>
      </c>
      <c r="G130" s="3" t="s">
        <v>1667</v>
      </c>
      <c r="H130" s="2"/>
      <c r="I130" s="2" t="s">
        <v>74</v>
      </c>
      <c r="J130" s="3" t="s">
        <v>1668</v>
      </c>
      <c r="K130" s="2" t="s">
        <v>1552</v>
      </c>
      <c r="L130" s="2" t="s">
        <v>1553</v>
      </c>
      <c r="M130" s="2"/>
      <c r="N130" s="2"/>
      <c r="O130" s="2"/>
      <c r="P130" s="2" t="n">
        <v>38.847</v>
      </c>
      <c r="Q130" s="2" t="n">
        <v>26.9802</v>
      </c>
      <c r="R130" s="2" t="s">
        <v>54</v>
      </c>
      <c r="S130" s="2" t="n">
        <v>-1000</v>
      </c>
      <c r="T130" s="2" t="s">
        <v>1636</v>
      </c>
      <c r="U130" s="2" t="s">
        <v>96</v>
      </c>
      <c r="V130" s="2" t="s">
        <v>97</v>
      </c>
      <c r="W130" s="2" t="s">
        <v>1637</v>
      </c>
      <c r="X130" s="2" t="s">
        <v>901</v>
      </c>
      <c r="Y130" s="2" t="s">
        <v>1669</v>
      </c>
      <c r="Z130" s="2" t="s">
        <v>903</v>
      </c>
      <c r="AA130" s="2"/>
      <c r="AB130" s="2" t="s">
        <v>81</v>
      </c>
      <c r="AC130" s="2"/>
      <c r="AD130" s="2"/>
      <c r="AE130" s="3"/>
      <c r="AF130" s="3" t="s">
        <v>1670</v>
      </c>
      <c r="AG130" s="2"/>
      <c r="AH130" s="2" t="s">
        <v>54</v>
      </c>
      <c r="AI130" s="3" t="s">
        <v>1671</v>
      </c>
      <c r="AJ130" s="3" t="s">
        <v>1672</v>
      </c>
      <c r="AK130" s="2" t="n">
        <v>550756</v>
      </c>
      <c r="AL130" s="3" t="s">
        <v>1641</v>
      </c>
      <c r="AM130" s="2"/>
      <c r="AN130" s="2"/>
      <c r="AO130" s="3" t="s">
        <v>1673</v>
      </c>
      <c r="AP130" s="3" t="s">
        <v>1674</v>
      </c>
      <c r="AQ130" s="2" t="s">
        <v>151</v>
      </c>
    </row>
    <row r="131" customFormat="false" ht="113.4" hidden="false" customHeight="false" outlineLevel="0" collapsed="false">
      <c r="A131" s="2" t="n">
        <v>130</v>
      </c>
      <c r="B131" s="2" t="s">
        <v>1675</v>
      </c>
      <c r="C131" s="2" t="s">
        <v>1596</v>
      </c>
      <c r="D131" s="2" t="s">
        <v>1597</v>
      </c>
      <c r="E131" s="2" t="s">
        <v>1676</v>
      </c>
      <c r="F131" s="2" t="s">
        <v>1677</v>
      </c>
      <c r="G131" s="3" t="s">
        <v>1678</v>
      </c>
      <c r="H131" s="2"/>
      <c r="I131" s="2" t="s">
        <v>74</v>
      </c>
      <c r="J131" s="3" t="s">
        <v>1679</v>
      </c>
      <c r="K131" s="2" t="s">
        <v>1552</v>
      </c>
      <c r="L131" s="2" t="s">
        <v>1553</v>
      </c>
      <c r="M131" s="2"/>
      <c r="N131" s="2"/>
      <c r="O131" s="2"/>
      <c r="P131" s="2" t="n">
        <v>38.7839</v>
      </c>
      <c r="Q131" s="2" t="n">
        <v>27.0725</v>
      </c>
      <c r="R131" s="2" t="s">
        <v>54</v>
      </c>
      <c r="S131" s="2" t="n">
        <v>-900</v>
      </c>
      <c r="T131" s="2" t="s">
        <v>1680</v>
      </c>
      <c r="U131" s="2" t="s">
        <v>77</v>
      </c>
      <c r="V131" s="2" t="s">
        <v>78</v>
      </c>
      <c r="W131" s="2" t="s">
        <v>1637</v>
      </c>
      <c r="X131" s="2" t="s">
        <v>901</v>
      </c>
      <c r="Y131" s="2" t="s">
        <v>903</v>
      </c>
      <c r="Z131" s="2" t="s">
        <v>903</v>
      </c>
      <c r="AA131" s="2"/>
      <c r="AB131" s="2" t="s">
        <v>81</v>
      </c>
      <c r="AC131" s="2"/>
      <c r="AD131" s="2"/>
      <c r="AE131" s="3"/>
      <c r="AF131" s="3" t="s">
        <v>1681</v>
      </c>
      <c r="AG131" s="2"/>
      <c r="AH131" s="2" t="s">
        <v>113</v>
      </c>
      <c r="AI131" s="3" t="s">
        <v>1682</v>
      </c>
      <c r="AJ131" s="3" t="s">
        <v>1683</v>
      </c>
      <c r="AK131" s="2" t="n">
        <v>550933</v>
      </c>
      <c r="AL131" s="3" t="s">
        <v>1684</v>
      </c>
      <c r="AM131" s="2"/>
      <c r="AN131" s="2"/>
      <c r="AO131" s="3" t="s">
        <v>1685</v>
      </c>
      <c r="AP131" s="3" t="s">
        <v>1686</v>
      </c>
      <c r="AQ131" s="2" t="s">
        <v>151</v>
      </c>
    </row>
    <row r="132" customFormat="false" ht="68.65" hidden="false" customHeight="false" outlineLevel="0" collapsed="false">
      <c r="A132" s="2" t="n">
        <v>131</v>
      </c>
      <c r="B132" s="2" t="s">
        <v>1687</v>
      </c>
      <c r="C132" s="2" t="s">
        <v>1596</v>
      </c>
      <c r="D132" s="2" t="s">
        <v>1597</v>
      </c>
      <c r="E132" s="2" t="s">
        <v>1688</v>
      </c>
      <c r="F132" s="2" t="s">
        <v>1689</v>
      </c>
      <c r="G132" s="3" t="s">
        <v>1690</v>
      </c>
      <c r="H132" s="2"/>
      <c r="I132" s="2" t="s">
        <v>74</v>
      </c>
      <c r="J132" s="3" t="s">
        <v>1691</v>
      </c>
      <c r="K132" s="2" t="s">
        <v>1552</v>
      </c>
      <c r="L132" s="2" t="s">
        <v>1553</v>
      </c>
      <c r="M132" s="2"/>
      <c r="N132" s="2"/>
      <c r="O132" s="2"/>
      <c r="P132" s="2" t="n">
        <v>38.7602</v>
      </c>
      <c r="Q132" s="2" t="n">
        <v>26.9383</v>
      </c>
      <c r="R132" s="2" t="s">
        <v>54</v>
      </c>
      <c r="S132" s="2" t="n">
        <v>-1050</v>
      </c>
      <c r="T132" s="2" t="s">
        <v>1692</v>
      </c>
      <c r="U132" s="2" t="s">
        <v>96</v>
      </c>
      <c r="V132" s="2" t="s">
        <v>78</v>
      </c>
      <c r="W132" s="2" t="s">
        <v>1637</v>
      </c>
      <c r="X132" s="2" t="s">
        <v>901</v>
      </c>
      <c r="Y132" s="2" t="s">
        <v>1693</v>
      </c>
      <c r="Z132" s="2" t="s">
        <v>903</v>
      </c>
      <c r="AA132" s="2"/>
      <c r="AB132" s="2" t="s">
        <v>81</v>
      </c>
      <c r="AC132" s="2"/>
      <c r="AD132" s="2"/>
      <c r="AE132" s="3"/>
      <c r="AF132" s="3" t="s">
        <v>1694</v>
      </c>
      <c r="AG132" s="2"/>
      <c r="AH132" s="2" t="s">
        <v>54</v>
      </c>
      <c r="AI132" s="3" t="s">
        <v>1695</v>
      </c>
      <c r="AJ132" s="3" t="s">
        <v>1696</v>
      </c>
      <c r="AK132" s="2" t="n">
        <v>550506</v>
      </c>
      <c r="AL132" s="3" t="s">
        <v>1697</v>
      </c>
      <c r="AM132" s="2"/>
      <c r="AN132" s="2"/>
      <c r="AO132" s="3" t="s">
        <v>1698</v>
      </c>
      <c r="AP132" s="3" t="s">
        <v>1699</v>
      </c>
      <c r="AQ132" s="2" t="s">
        <v>151</v>
      </c>
    </row>
    <row r="133" customFormat="false" ht="46.25" hidden="false" customHeight="false" outlineLevel="0" collapsed="false">
      <c r="A133" s="2" t="n">
        <v>132</v>
      </c>
      <c r="B133" s="2" t="s">
        <v>1700</v>
      </c>
      <c r="C133" s="2" t="s">
        <v>1596</v>
      </c>
      <c r="D133" s="2" t="s">
        <v>1597</v>
      </c>
      <c r="E133" s="2" t="s">
        <v>1701</v>
      </c>
      <c r="F133" s="2" t="s">
        <v>1702</v>
      </c>
      <c r="G133" s="3"/>
      <c r="H133" s="2"/>
      <c r="I133" s="2" t="s">
        <v>93</v>
      </c>
      <c r="J133" s="3" t="s">
        <v>1703</v>
      </c>
      <c r="K133" s="2" t="s">
        <v>1552</v>
      </c>
      <c r="L133" s="2" t="s">
        <v>1553</v>
      </c>
      <c r="M133" s="2"/>
      <c r="N133" s="2"/>
      <c r="O133" s="2"/>
      <c r="P133" s="2" t="n">
        <v>38.65</v>
      </c>
      <c r="Q133" s="2" t="n">
        <v>26.9</v>
      </c>
      <c r="R133" s="2" t="s">
        <v>637</v>
      </c>
      <c r="S133" s="2" t="n">
        <v>-400</v>
      </c>
      <c r="T133" s="2" t="s">
        <v>288</v>
      </c>
      <c r="U133" s="2" t="s">
        <v>56</v>
      </c>
      <c r="V133" s="2" t="s">
        <v>78</v>
      </c>
      <c r="W133" s="2" t="s">
        <v>168</v>
      </c>
      <c r="X133" s="2" t="s">
        <v>169</v>
      </c>
      <c r="Y133" s="2"/>
      <c r="Z133" s="2" t="s">
        <v>170</v>
      </c>
      <c r="AA133" s="2"/>
      <c r="AB133" s="2" t="s">
        <v>81</v>
      </c>
      <c r="AC133" s="2"/>
      <c r="AD133" s="2"/>
      <c r="AE133" s="3"/>
      <c r="AF133" s="3" t="s">
        <v>1704</v>
      </c>
      <c r="AG133" s="2"/>
      <c r="AH133" s="2" t="s">
        <v>263</v>
      </c>
      <c r="AI133" s="3" t="s">
        <v>1705</v>
      </c>
      <c r="AJ133" s="3" t="s">
        <v>1706</v>
      </c>
      <c r="AK133" s="2"/>
      <c r="AL133" s="3" t="s">
        <v>1707</v>
      </c>
      <c r="AM133" s="2"/>
      <c r="AN133" s="2"/>
      <c r="AO133" s="3" t="s">
        <v>1708</v>
      </c>
      <c r="AP133" s="3" t="s">
        <v>1709</v>
      </c>
      <c r="AQ133" s="2" t="s">
        <v>106</v>
      </c>
    </row>
    <row r="134" customFormat="false" ht="46.25" hidden="false" customHeight="false" outlineLevel="0" collapsed="false">
      <c r="A134" s="2" t="n">
        <v>133</v>
      </c>
      <c r="B134" s="2" t="s">
        <v>1710</v>
      </c>
      <c r="C134" s="2" t="s">
        <v>1596</v>
      </c>
      <c r="D134" s="2" t="s">
        <v>1597</v>
      </c>
      <c r="E134" s="2" t="s">
        <v>1711</v>
      </c>
      <c r="F134" s="2" t="s">
        <v>1712</v>
      </c>
      <c r="G134" s="3"/>
      <c r="H134" s="2"/>
      <c r="I134" s="2" t="s">
        <v>93</v>
      </c>
      <c r="J134" s="3" t="s">
        <v>1713</v>
      </c>
      <c r="K134" s="2" t="s">
        <v>1552</v>
      </c>
      <c r="L134" s="2" t="s">
        <v>1553</v>
      </c>
      <c r="M134" s="2"/>
      <c r="N134" s="2"/>
      <c r="O134" s="2"/>
      <c r="P134" s="2" t="n">
        <v>38.75</v>
      </c>
      <c r="Q134" s="2" t="n">
        <v>27</v>
      </c>
      <c r="R134" s="2" t="s">
        <v>637</v>
      </c>
      <c r="S134" s="2" t="n">
        <v>-1000</v>
      </c>
      <c r="T134" s="2" t="s">
        <v>1636</v>
      </c>
      <c r="U134" s="2" t="s">
        <v>96</v>
      </c>
      <c r="V134" s="2" t="s">
        <v>97</v>
      </c>
      <c r="W134" s="2" t="s">
        <v>1637</v>
      </c>
      <c r="X134" s="2" t="s">
        <v>901</v>
      </c>
      <c r="Y134" s="2" t="s">
        <v>903</v>
      </c>
      <c r="Z134" s="2" t="s">
        <v>903</v>
      </c>
      <c r="AA134" s="2"/>
      <c r="AB134" s="2" t="s">
        <v>81</v>
      </c>
      <c r="AC134" s="2"/>
      <c r="AD134" s="2"/>
      <c r="AE134" s="3"/>
      <c r="AF134" s="3" t="s">
        <v>1714</v>
      </c>
      <c r="AG134" s="2"/>
      <c r="AH134" s="2" t="s">
        <v>263</v>
      </c>
      <c r="AI134" s="3" t="s">
        <v>1715</v>
      </c>
      <c r="AJ134" s="3" t="s">
        <v>1716</v>
      </c>
      <c r="AK134" s="2"/>
      <c r="AL134" s="3" t="s">
        <v>1641</v>
      </c>
      <c r="AM134" s="2"/>
      <c r="AN134" s="2"/>
      <c r="AO134" s="3" t="s">
        <v>1717</v>
      </c>
      <c r="AP134" s="3" t="s">
        <v>1718</v>
      </c>
      <c r="AQ134" s="2" t="s">
        <v>106</v>
      </c>
    </row>
    <row r="135" customFormat="false" ht="57.45" hidden="false" customHeight="false" outlineLevel="0" collapsed="false">
      <c r="A135" s="2" t="n">
        <v>134</v>
      </c>
      <c r="B135" s="2" t="s">
        <v>1719</v>
      </c>
      <c r="C135" s="2" t="s">
        <v>1596</v>
      </c>
      <c r="D135" s="2" t="s">
        <v>1597</v>
      </c>
      <c r="E135" s="2" t="s">
        <v>1720</v>
      </c>
      <c r="F135" s="2" t="s">
        <v>1721</v>
      </c>
      <c r="G135" s="3" t="s">
        <v>1722</v>
      </c>
      <c r="H135" s="2"/>
      <c r="I135" s="2" t="s">
        <v>74</v>
      </c>
      <c r="J135" s="3" t="s">
        <v>1723</v>
      </c>
      <c r="K135" s="2" t="s">
        <v>1724</v>
      </c>
      <c r="L135" s="2" t="s">
        <v>1553</v>
      </c>
      <c r="M135" s="2"/>
      <c r="N135" s="2"/>
      <c r="O135" s="2"/>
      <c r="P135" s="2" t="n">
        <v>38.8329</v>
      </c>
      <c r="Q135" s="2" t="n">
        <v>27.1917</v>
      </c>
      <c r="R135" s="2" t="s">
        <v>54</v>
      </c>
      <c r="S135" s="2" t="n">
        <v>-1000</v>
      </c>
      <c r="T135" s="2" t="s">
        <v>1636</v>
      </c>
      <c r="U135" s="2" t="s">
        <v>96</v>
      </c>
      <c r="V135" s="2" t="s">
        <v>97</v>
      </c>
      <c r="W135" s="2" t="s">
        <v>1637</v>
      </c>
      <c r="X135" s="2" t="s">
        <v>901</v>
      </c>
      <c r="Y135" s="2" t="s">
        <v>903</v>
      </c>
      <c r="Z135" s="2" t="s">
        <v>903</v>
      </c>
      <c r="AA135" s="2"/>
      <c r="AB135" s="2" t="s">
        <v>695</v>
      </c>
      <c r="AC135" s="2" t="s">
        <v>696</v>
      </c>
      <c r="AD135" s="2"/>
      <c r="AE135" s="3"/>
      <c r="AF135" s="3" t="s">
        <v>1725</v>
      </c>
      <c r="AG135" s="2"/>
      <c r="AH135" s="2" t="s">
        <v>54</v>
      </c>
      <c r="AI135" s="3" t="s">
        <v>1726</v>
      </c>
      <c r="AJ135" s="3" t="s">
        <v>1727</v>
      </c>
      <c r="AK135" s="2" t="n">
        <v>550404</v>
      </c>
      <c r="AL135" s="3" t="s">
        <v>1641</v>
      </c>
      <c r="AM135" s="2"/>
      <c r="AN135" s="2"/>
      <c r="AO135" s="3" t="s">
        <v>1728</v>
      </c>
      <c r="AP135" s="3" t="s">
        <v>1729</v>
      </c>
      <c r="AQ135" s="2" t="s">
        <v>151</v>
      </c>
    </row>
    <row r="136" customFormat="false" ht="35.05" hidden="false" customHeight="false" outlineLevel="0" collapsed="false">
      <c r="A136" s="2" t="n">
        <v>135</v>
      </c>
      <c r="B136" s="2" t="s">
        <v>1730</v>
      </c>
      <c r="C136" s="2" t="s">
        <v>1596</v>
      </c>
      <c r="D136" s="2" t="s">
        <v>1597</v>
      </c>
      <c r="E136" s="2" t="s">
        <v>1731</v>
      </c>
      <c r="F136" s="2" t="s">
        <v>1732</v>
      </c>
      <c r="G136" s="3" t="s">
        <v>1733</v>
      </c>
      <c r="H136" s="2"/>
      <c r="I136" s="2" t="s">
        <v>74</v>
      </c>
      <c r="J136" s="3" t="s">
        <v>1734</v>
      </c>
      <c r="K136" s="2" t="s">
        <v>1552</v>
      </c>
      <c r="L136" s="2" t="s">
        <v>1553</v>
      </c>
      <c r="M136" s="2"/>
      <c r="N136" s="2"/>
      <c r="O136" s="2"/>
      <c r="P136" s="2" t="n">
        <v>38.6766</v>
      </c>
      <c r="Q136" s="2" t="n">
        <v>27.1726</v>
      </c>
      <c r="R136" s="2" t="s">
        <v>54</v>
      </c>
      <c r="S136" s="2" t="n">
        <v>-1000</v>
      </c>
      <c r="T136" s="2" t="s">
        <v>1636</v>
      </c>
      <c r="U136" s="2" t="s">
        <v>96</v>
      </c>
      <c r="V136" s="2" t="s">
        <v>97</v>
      </c>
      <c r="W136" s="2" t="s">
        <v>1637</v>
      </c>
      <c r="X136" s="2" t="s">
        <v>901</v>
      </c>
      <c r="Y136" s="2" t="s">
        <v>903</v>
      </c>
      <c r="Z136" s="2" t="s">
        <v>903</v>
      </c>
      <c r="AA136" s="2"/>
      <c r="AB136" s="2" t="s">
        <v>81</v>
      </c>
      <c r="AC136" s="2"/>
      <c r="AD136" s="2"/>
      <c r="AE136" s="3"/>
      <c r="AF136" s="3" t="s">
        <v>1735</v>
      </c>
      <c r="AG136" s="2"/>
      <c r="AH136" s="2" t="s">
        <v>54</v>
      </c>
      <c r="AI136" s="3" t="s">
        <v>1736</v>
      </c>
      <c r="AJ136" s="3" t="s">
        <v>1737</v>
      </c>
      <c r="AK136" s="2" t="n">
        <v>550908</v>
      </c>
      <c r="AL136" s="3" t="s">
        <v>1641</v>
      </c>
      <c r="AM136" s="2"/>
      <c r="AN136" s="2"/>
      <c r="AO136" s="3" t="s">
        <v>1738</v>
      </c>
      <c r="AP136" s="3" t="s">
        <v>1739</v>
      </c>
      <c r="AQ136" s="2" t="s">
        <v>151</v>
      </c>
    </row>
    <row r="137" customFormat="false" ht="46.25" hidden="false" customHeight="false" outlineLevel="0" collapsed="false">
      <c r="A137" s="2" t="n">
        <v>136</v>
      </c>
      <c r="B137" s="2" t="s">
        <v>1740</v>
      </c>
      <c r="C137" s="2" t="s">
        <v>1596</v>
      </c>
      <c r="D137" s="2" t="s">
        <v>1597</v>
      </c>
      <c r="E137" s="2" t="s">
        <v>1741</v>
      </c>
      <c r="F137" s="2" t="s">
        <v>1222</v>
      </c>
      <c r="G137" s="3" t="s">
        <v>1742</v>
      </c>
      <c r="H137" s="2"/>
      <c r="I137" s="2" t="s">
        <v>74</v>
      </c>
      <c r="J137" s="3" t="s">
        <v>1743</v>
      </c>
      <c r="K137" s="2" t="s">
        <v>1552</v>
      </c>
      <c r="L137" s="2" t="s">
        <v>1553</v>
      </c>
      <c r="M137" s="2"/>
      <c r="N137" s="2"/>
      <c r="O137" s="2"/>
      <c r="P137" s="2" t="n">
        <v>38.6891</v>
      </c>
      <c r="Q137" s="2" t="n">
        <v>27.0334</v>
      </c>
      <c r="R137" s="2" t="s">
        <v>54</v>
      </c>
      <c r="S137" s="2" t="n">
        <v>-1000</v>
      </c>
      <c r="T137" s="2" t="s">
        <v>1636</v>
      </c>
      <c r="U137" s="2" t="s">
        <v>96</v>
      </c>
      <c r="V137" s="2" t="s">
        <v>97</v>
      </c>
      <c r="W137" s="2" t="s">
        <v>1637</v>
      </c>
      <c r="X137" s="2" t="s">
        <v>901</v>
      </c>
      <c r="Y137" s="2" t="s">
        <v>903</v>
      </c>
      <c r="Z137" s="2" t="s">
        <v>903</v>
      </c>
      <c r="AA137" s="2"/>
      <c r="AB137" s="2" t="s">
        <v>63</v>
      </c>
      <c r="AC137" s="2" t="s">
        <v>64</v>
      </c>
      <c r="AD137" s="2"/>
      <c r="AE137" s="3"/>
      <c r="AF137" s="3" t="s">
        <v>1744</v>
      </c>
      <c r="AG137" s="2"/>
      <c r="AH137" s="2" t="s">
        <v>113</v>
      </c>
      <c r="AI137" s="3" t="s">
        <v>1745</v>
      </c>
      <c r="AJ137" s="3" t="s">
        <v>1746</v>
      </c>
      <c r="AK137" s="2" t="n">
        <v>550683</v>
      </c>
      <c r="AL137" s="3" t="s">
        <v>1641</v>
      </c>
      <c r="AM137" s="2"/>
      <c r="AN137" s="2"/>
      <c r="AO137" s="3"/>
      <c r="AP137" s="3"/>
      <c r="AQ137" s="2"/>
    </row>
    <row r="138" customFormat="false" ht="68.65" hidden="false" customHeight="false" outlineLevel="0" collapsed="false">
      <c r="A138" s="2" t="n">
        <v>137</v>
      </c>
      <c r="B138" s="2" t="s">
        <v>1747</v>
      </c>
      <c r="C138" s="2" t="s">
        <v>1596</v>
      </c>
      <c r="D138" s="2" t="s">
        <v>1597</v>
      </c>
      <c r="E138" s="2" t="s">
        <v>1748</v>
      </c>
      <c r="F138" s="2" t="s">
        <v>1749</v>
      </c>
      <c r="G138" s="3"/>
      <c r="H138" s="2"/>
      <c r="I138" s="2" t="s">
        <v>74</v>
      </c>
      <c r="J138" s="3" t="s">
        <v>1750</v>
      </c>
      <c r="K138" s="2" t="s">
        <v>1552</v>
      </c>
      <c r="L138" s="2" t="s">
        <v>1553</v>
      </c>
      <c r="M138" s="2"/>
      <c r="N138" s="2"/>
      <c r="O138" s="2"/>
      <c r="P138" s="2" t="n">
        <v>38.6588</v>
      </c>
      <c r="Q138" s="2" t="n">
        <v>27.0915</v>
      </c>
      <c r="R138" s="2" t="s">
        <v>95</v>
      </c>
      <c r="S138" s="2" t="n">
        <v>-1050</v>
      </c>
      <c r="T138" s="2" t="s">
        <v>1692</v>
      </c>
      <c r="U138" s="2" t="s">
        <v>96</v>
      </c>
      <c r="V138" s="2" t="s">
        <v>78</v>
      </c>
      <c r="W138" s="2" t="s">
        <v>1637</v>
      </c>
      <c r="X138" s="2" t="s">
        <v>901</v>
      </c>
      <c r="Y138" s="2" t="s">
        <v>1751</v>
      </c>
      <c r="Z138" s="2" t="s">
        <v>903</v>
      </c>
      <c r="AA138" s="2"/>
      <c r="AB138" s="2" t="s">
        <v>81</v>
      </c>
      <c r="AC138" s="2"/>
      <c r="AD138" s="2"/>
      <c r="AE138" s="3"/>
      <c r="AF138" s="3" t="s">
        <v>1752</v>
      </c>
      <c r="AG138" s="2"/>
      <c r="AH138" s="2" t="s">
        <v>113</v>
      </c>
      <c r="AI138" s="3" t="s">
        <v>1753</v>
      </c>
      <c r="AJ138" s="3" t="s">
        <v>1754</v>
      </c>
      <c r="AK138" s="2" t="n">
        <v>550773</v>
      </c>
      <c r="AL138" s="3" t="s">
        <v>1755</v>
      </c>
      <c r="AM138" s="2"/>
      <c r="AN138" s="2"/>
      <c r="AO138" s="3" t="s">
        <v>1756</v>
      </c>
      <c r="AP138" s="3" t="s">
        <v>1757</v>
      </c>
      <c r="AQ138" s="2" t="s">
        <v>89</v>
      </c>
    </row>
    <row r="139" customFormat="false" ht="57.45" hidden="false" customHeight="false" outlineLevel="0" collapsed="false">
      <c r="A139" s="2" t="n">
        <v>138</v>
      </c>
      <c r="B139" s="2" t="s">
        <v>1758</v>
      </c>
      <c r="C139" s="2" t="s">
        <v>1596</v>
      </c>
      <c r="D139" s="2" t="s">
        <v>1759</v>
      </c>
      <c r="E139" s="2" t="s">
        <v>1760</v>
      </c>
      <c r="F139" s="2" t="s">
        <v>1761</v>
      </c>
      <c r="G139" s="3" t="s">
        <v>1762</v>
      </c>
      <c r="H139" s="2" t="s">
        <v>1763</v>
      </c>
      <c r="I139" s="2" t="s">
        <v>123</v>
      </c>
      <c r="J139" s="3" t="s">
        <v>1764</v>
      </c>
      <c r="K139" s="2" t="s">
        <v>1552</v>
      </c>
      <c r="L139" s="2" t="s">
        <v>1553</v>
      </c>
      <c r="M139" s="2"/>
      <c r="N139" s="2"/>
      <c r="O139" s="2" t="s">
        <v>5</v>
      </c>
      <c r="P139" s="2" t="n">
        <v>38.7397</v>
      </c>
      <c r="Q139" s="2" t="n">
        <v>26.8378</v>
      </c>
      <c r="R139" s="2" t="s">
        <v>95</v>
      </c>
      <c r="S139" s="2" t="n">
        <v>1300</v>
      </c>
      <c r="T139" s="2" t="s">
        <v>1765</v>
      </c>
      <c r="U139" s="2" t="s">
        <v>139</v>
      </c>
      <c r="V139" s="2" t="s">
        <v>57</v>
      </c>
      <c r="W139" s="2" t="s">
        <v>304</v>
      </c>
      <c r="X139" s="2" t="s">
        <v>141</v>
      </c>
      <c r="Y139" s="2" t="s">
        <v>1766</v>
      </c>
      <c r="Z139" s="2" t="s">
        <v>559</v>
      </c>
      <c r="AA139" s="2"/>
      <c r="AB139" s="2" t="s">
        <v>695</v>
      </c>
      <c r="AC139" s="2" t="s">
        <v>1767</v>
      </c>
      <c r="AD139" s="2"/>
      <c r="AE139" s="3"/>
      <c r="AF139" s="3" t="s">
        <v>1768</v>
      </c>
      <c r="AG139" s="2"/>
      <c r="AH139" s="2" t="s">
        <v>263</v>
      </c>
      <c r="AI139" s="3" t="s">
        <v>1769</v>
      </c>
      <c r="AJ139" s="3" t="s">
        <v>1770</v>
      </c>
      <c r="AK139" s="2"/>
      <c r="AL139" s="3" t="s">
        <v>1771</v>
      </c>
      <c r="AM139" s="2"/>
      <c r="AN139" s="2" t="s">
        <v>200</v>
      </c>
      <c r="AO139" s="3" t="s">
        <v>1772</v>
      </c>
      <c r="AP139" s="3" t="s">
        <v>1773</v>
      </c>
      <c r="AQ139" s="2" t="s">
        <v>151</v>
      </c>
    </row>
    <row r="140" customFormat="false" ht="46.25" hidden="false" customHeight="false" outlineLevel="0" collapsed="false">
      <c r="A140" s="2" t="n">
        <v>139</v>
      </c>
      <c r="B140" s="2" t="s">
        <v>1774</v>
      </c>
      <c r="C140" s="2" t="s">
        <v>1596</v>
      </c>
      <c r="D140" s="2" t="s">
        <v>1759</v>
      </c>
      <c r="E140" s="2" t="s">
        <v>1775</v>
      </c>
      <c r="F140" s="2" t="s">
        <v>1776</v>
      </c>
      <c r="G140" s="3" t="s">
        <v>1777</v>
      </c>
      <c r="H140" s="2" t="s">
        <v>1778</v>
      </c>
      <c r="I140" s="2" t="s">
        <v>123</v>
      </c>
      <c r="J140" s="3" t="s">
        <v>1779</v>
      </c>
      <c r="K140" s="2" t="s">
        <v>1552</v>
      </c>
      <c r="L140" s="2" t="s">
        <v>1553</v>
      </c>
      <c r="M140" s="2" t="s">
        <v>1778</v>
      </c>
      <c r="N140" s="2"/>
      <c r="O140" s="2" t="s">
        <v>5</v>
      </c>
      <c r="P140" s="2" t="n">
        <v>38.6703</v>
      </c>
      <c r="Q140" s="2" t="n">
        <v>26.7566</v>
      </c>
      <c r="R140" s="2" t="s">
        <v>54</v>
      </c>
      <c r="S140" s="2" t="n">
        <v>-900</v>
      </c>
      <c r="T140" s="2" t="s">
        <v>1680</v>
      </c>
      <c r="U140" s="2" t="s">
        <v>77</v>
      </c>
      <c r="V140" s="2" t="s">
        <v>78</v>
      </c>
      <c r="W140" s="2" t="s">
        <v>1637</v>
      </c>
      <c r="X140" s="2" t="s">
        <v>901</v>
      </c>
      <c r="Y140" s="2" t="s">
        <v>1780</v>
      </c>
      <c r="Z140" s="2" t="s">
        <v>1781</v>
      </c>
      <c r="AA140" s="2"/>
      <c r="AB140" s="2" t="s">
        <v>63</v>
      </c>
      <c r="AC140" s="2" t="s">
        <v>77</v>
      </c>
      <c r="AD140" s="2"/>
      <c r="AE140" s="3"/>
      <c r="AF140" s="3" t="s">
        <v>1782</v>
      </c>
      <c r="AG140" s="2"/>
      <c r="AH140" s="2" t="s">
        <v>54</v>
      </c>
      <c r="AI140" s="3" t="s">
        <v>1783</v>
      </c>
      <c r="AJ140" s="3" t="s">
        <v>1784</v>
      </c>
      <c r="AK140" s="2" t="n">
        <v>550823</v>
      </c>
      <c r="AL140" s="3" t="s">
        <v>1785</v>
      </c>
      <c r="AM140" s="2"/>
      <c r="AN140" s="2" t="s">
        <v>200</v>
      </c>
      <c r="AO140" s="3"/>
      <c r="AP140" s="3"/>
      <c r="AQ140" s="2"/>
    </row>
    <row r="141" customFormat="false" ht="113.4" hidden="false" customHeight="false" outlineLevel="0" collapsed="false">
      <c r="A141" s="2" t="n">
        <v>140</v>
      </c>
      <c r="B141" s="2" t="s">
        <v>1786</v>
      </c>
      <c r="C141" s="2" t="s">
        <v>1596</v>
      </c>
      <c r="D141" s="2" t="s">
        <v>1759</v>
      </c>
      <c r="E141" s="2" t="s">
        <v>1787</v>
      </c>
      <c r="F141" s="2" t="s">
        <v>1788</v>
      </c>
      <c r="G141" s="3" t="s">
        <v>1789</v>
      </c>
      <c r="H141" s="2"/>
      <c r="I141" s="2" t="s">
        <v>74</v>
      </c>
      <c r="J141" s="3" t="s">
        <v>1790</v>
      </c>
      <c r="K141" s="2" t="s">
        <v>1552</v>
      </c>
      <c r="L141" s="2" t="s">
        <v>1553</v>
      </c>
      <c r="M141" s="2"/>
      <c r="N141" s="2"/>
      <c r="O141" s="2"/>
      <c r="P141" s="2" t="n">
        <v>38.5467</v>
      </c>
      <c r="Q141" s="2" t="n">
        <v>26.8568</v>
      </c>
      <c r="R141" s="2" t="s">
        <v>54</v>
      </c>
      <c r="S141" s="2" t="n">
        <v>-383</v>
      </c>
      <c r="T141" s="2" t="s">
        <v>1791</v>
      </c>
      <c r="U141" s="2" t="s">
        <v>139</v>
      </c>
      <c r="V141" s="2" t="s">
        <v>57</v>
      </c>
      <c r="W141" s="2" t="s">
        <v>168</v>
      </c>
      <c r="X141" s="2" t="s">
        <v>246</v>
      </c>
      <c r="Y141" s="2" t="s">
        <v>1792</v>
      </c>
      <c r="Z141" s="2" t="s">
        <v>1793</v>
      </c>
      <c r="AA141" s="2"/>
      <c r="AB141" s="2" t="s">
        <v>695</v>
      </c>
      <c r="AC141" s="2" t="s">
        <v>696</v>
      </c>
      <c r="AD141" s="2"/>
      <c r="AE141" s="3"/>
      <c r="AF141" s="3" t="s">
        <v>1794</v>
      </c>
      <c r="AG141" s="2"/>
      <c r="AH141" s="2" t="s">
        <v>113</v>
      </c>
      <c r="AI141" s="3" t="s">
        <v>1795</v>
      </c>
      <c r="AJ141" s="3" t="s">
        <v>1796</v>
      </c>
      <c r="AK141" s="2" t="n">
        <v>550697</v>
      </c>
      <c r="AL141" s="3" t="s">
        <v>1797</v>
      </c>
      <c r="AM141" s="2"/>
      <c r="AN141" s="2"/>
      <c r="AO141" s="3" t="s">
        <v>1798</v>
      </c>
      <c r="AP141" s="3" t="s">
        <v>1799</v>
      </c>
      <c r="AQ141" s="2" t="s">
        <v>89</v>
      </c>
    </row>
    <row r="142" customFormat="false" ht="68.65" hidden="false" customHeight="false" outlineLevel="0" collapsed="false">
      <c r="A142" s="2" t="n">
        <v>141</v>
      </c>
      <c r="B142" s="2" t="s">
        <v>1800</v>
      </c>
      <c r="C142" s="2" t="s">
        <v>1596</v>
      </c>
      <c r="D142" s="2" t="s">
        <v>1759</v>
      </c>
      <c r="E142" s="2" t="s">
        <v>1801</v>
      </c>
      <c r="F142" s="2" t="s">
        <v>1802</v>
      </c>
      <c r="G142" s="3" t="s">
        <v>1803</v>
      </c>
      <c r="H142" s="2" t="s">
        <v>1552</v>
      </c>
      <c r="I142" s="2" t="s">
        <v>123</v>
      </c>
      <c r="J142" s="3" t="s">
        <v>1804</v>
      </c>
      <c r="K142" s="2" t="s">
        <v>1552</v>
      </c>
      <c r="L142" s="2" t="s">
        <v>1553</v>
      </c>
      <c r="M142" s="2" t="s">
        <v>1805</v>
      </c>
      <c r="N142" s="2" t="s">
        <v>63</v>
      </c>
      <c r="O142" s="2" t="s">
        <v>5</v>
      </c>
      <c r="P142" s="2" t="n">
        <v>38.4172</v>
      </c>
      <c r="Q142" s="2" t="n">
        <v>27.1414</v>
      </c>
      <c r="R142" s="2" t="s">
        <v>54</v>
      </c>
      <c r="S142" s="2" t="n">
        <v>-1000</v>
      </c>
      <c r="T142" s="2" t="s">
        <v>1636</v>
      </c>
      <c r="U142" s="2" t="s">
        <v>77</v>
      </c>
      <c r="V142" s="2" t="s">
        <v>78</v>
      </c>
      <c r="W142" s="2" t="s">
        <v>1637</v>
      </c>
      <c r="X142" s="2" t="s">
        <v>901</v>
      </c>
      <c r="Y142" s="2" t="s">
        <v>1806</v>
      </c>
      <c r="Z142" s="2" t="s">
        <v>903</v>
      </c>
      <c r="AA142" s="2"/>
      <c r="AB142" s="2" t="s">
        <v>63</v>
      </c>
      <c r="AC142" s="2" t="s">
        <v>452</v>
      </c>
      <c r="AD142" s="2" t="s">
        <v>1807</v>
      </c>
      <c r="AE142" s="3" t="s">
        <v>1808</v>
      </c>
      <c r="AF142" s="3" t="s">
        <v>1809</v>
      </c>
      <c r="AG142" s="2"/>
      <c r="AH142" s="2" t="s">
        <v>54</v>
      </c>
      <c r="AI142" s="3" t="s">
        <v>1810</v>
      </c>
      <c r="AJ142" s="3" t="s">
        <v>1811</v>
      </c>
      <c r="AK142" s="2" t="n">
        <v>550893</v>
      </c>
      <c r="AL142" s="3" t="s">
        <v>1812</v>
      </c>
      <c r="AM142" s="2"/>
      <c r="AN142" s="2" t="s">
        <v>200</v>
      </c>
      <c r="AO142" s="3"/>
      <c r="AP142" s="3"/>
      <c r="AQ142" s="2"/>
    </row>
    <row r="143" customFormat="false" ht="57.45" hidden="false" customHeight="false" outlineLevel="0" collapsed="false">
      <c r="A143" s="2" t="n">
        <v>142</v>
      </c>
      <c r="B143" s="2" t="s">
        <v>1813</v>
      </c>
      <c r="C143" s="2" t="s">
        <v>1596</v>
      </c>
      <c r="D143" s="2" t="s">
        <v>1759</v>
      </c>
      <c r="E143" s="2" t="s">
        <v>1814</v>
      </c>
      <c r="F143" s="2" t="s">
        <v>1815</v>
      </c>
      <c r="G143" s="3"/>
      <c r="H143" s="2"/>
      <c r="I143" s="2" t="s">
        <v>74</v>
      </c>
      <c r="J143" s="3" t="s">
        <v>1816</v>
      </c>
      <c r="K143" s="2" t="s">
        <v>1552</v>
      </c>
      <c r="L143" s="2" t="s">
        <v>1553</v>
      </c>
      <c r="M143" s="2"/>
      <c r="N143" s="2"/>
      <c r="O143" s="2"/>
      <c r="P143" s="2" t="n">
        <v>38.373</v>
      </c>
      <c r="Q143" s="2" t="n">
        <v>26.7866</v>
      </c>
      <c r="R143" s="2" t="s">
        <v>54</v>
      </c>
      <c r="S143" s="2" t="n">
        <v>-1000</v>
      </c>
      <c r="T143" s="2" t="s">
        <v>1636</v>
      </c>
      <c r="U143" s="2" t="s">
        <v>77</v>
      </c>
      <c r="V143" s="2" t="s">
        <v>78</v>
      </c>
      <c r="W143" s="2" t="s">
        <v>1637</v>
      </c>
      <c r="X143" s="2" t="s">
        <v>901</v>
      </c>
      <c r="Y143" s="2" t="s">
        <v>1817</v>
      </c>
      <c r="Z143" s="2" t="s">
        <v>1781</v>
      </c>
      <c r="AA143" s="2"/>
      <c r="AB143" s="2" t="s">
        <v>63</v>
      </c>
      <c r="AC143" s="2" t="s">
        <v>77</v>
      </c>
      <c r="AD143" s="2"/>
      <c r="AE143" s="3"/>
      <c r="AF143" s="3" t="s">
        <v>1818</v>
      </c>
      <c r="AG143" s="2"/>
      <c r="AH143" s="2" t="s">
        <v>54</v>
      </c>
      <c r="AI143" s="3" t="s">
        <v>1819</v>
      </c>
      <c r="AJ143" s="3" t="s">
        <v>1820</v>
      </c>
      <c r="AK143" s="2" t="n">
        <v>550651</v>
      </c>
      <c r="AL143" s="3" t="s">
        <v>1821</v>
      </c>
      <c r="AM143" s="2"/>
      <c r="AN143" s="2"/>
      <c r="AO143" s="3"/>
      <c r="AP143" s="3"/>
      <c r="AQ143" s="2"/>
    </row>
    <row r="144" customFormat="false" ht="23.85" hidden="false" customHeight="false" outlineLevel="0" collapsed="false">
      <c r="A144" s="2" t="n">
        <v>143</v>
      </c>
      <c r="B144" s="2" t="s">
        <v>1822</v>
      </c>
      <c r="C144" s="2" t="s">
        <v>1596</v>
      </c>
      <c r="D144" s="2" t="s">
        <v>1759</v>
      </c>
      <c r="E144" s="2" t="s">
        <v>1823</v>
      </c>
      <c r="F144" s="2" t="s">
        <v>1824</v>
      </c>
      <c r="G144" s="3"/>
      <c r="H144" s="2"/>
      <c r="I144" s="2" t="s">
        <v>74</v>
      </c>
      <c r="J144" s="3" t="s">
        <v>1825</v>
      </c>
      <c r="K144" s="2" t="s">
        <v>1552</v>
      </c>
      <c r="L144" s="2" t="s">
        <v>1553</v>
      </c>
      <c r="M144" s="2"/>
      <c r="N144" s="2"/>
      <c r="O144" s="2"/>
      <c r="P144" s="2" t="n">
        <v>38.6594</v>
      </c>
      <c r="Q144" s="2" t="n">
        <v>26.5156</v>
      </c>
      <c r="R144" s="2" t="s">
        <v>95</v>
      </c>
      <c r="S144" s="2" t="n">
        <v>-450</v>
      </c>
      <c r="T144" s="2" t="s">
        <v>915</v>
      </c>
      <c r="U144" s="2" t="s">
        <v>56</v>
      </c>
      <c r="V144" s="2" t="s">
        <v>57</v>
      </c>
      <c r="W144" s="2" t="s">
        <v>168</v>
      </c>
      <c r="X144" s="2" t="s">
        <v>169</v>
      </c>
      <c r="Y144" s="2"/>
      <c r="Z144" s="2" t="s">
        <v>170</v>
      </c>
      <c r="AA144" s="2"/>
      <c r="AB144" s="2" t="s">
        <v>81</v>
      </c>
      <c r="AC144" s="2"/>
      <c r="AD144" s="2"/>
      <c r="AE144" s="3"/>
      <c r="AF144" s="3" t="s">
        <v>1826</v>
      </c>
      <c r="AG144" s="2"/>
      <c r="AH144" s="2" t="s">
        <v>263</v>
      </c>
      <c r="AI144" s="3" t="s">
        <v>1827</v>
      </c>
      <c r="AJ144" s="3" t="s">
        <v>1828</v>
      </c>
      <c r="AK144" s="2"/>
      <c r="AL144" s="3" t="s">
        <v>1829</v>
      </c>
      <c r="AM144" s="2"/>
      <c r="AN144" s="2"/>
      <c r="AO144" s="3" t="s">
        <v>1830</v>
      </c>
      <c r="AP144" s="3" t="s">
        <v>1831</v>
      </c>
      <c r="AQ144" s="2" t="s">
        <v>151</v>
      </c>
    </row>
    <row r="145" customFormat="false" ht="35.05" hidden="false" customHeight="false" outlineLevel="0" collapsed="false">
      <c r="A145" s="2" t="n">
        <v>144</v>
      </c>
      <c r="B145" s="2" t="s">
        <v>1832</v>
      </c>
      <c r="C145" s="2" t="s">
        <v>1596</v>
      </c>
      <c r="D145" s="2" t="s">
        <v>1759</v>
      </c>
      <c r="E145" s="2" t="s">
        <v>1833</v>
      </c>
      <c r="F145" s="2" t="s">
        <v>1834</v>
      </c>
      <c r="G145" s="3"/>
      <c r="H145" s="2"/>
      <c r="I145" s="2" t="s">
        <v>74</v>
      </c>
      <c r="J145" s="3" t="s">
        <v>1835</v>
      </c>
      <c r="K145" s="2" t="s">
        <v>1552</v>
      </c>
      <c r="L145" s="2" t="s">
        <v>1553</v>
      </c>
      <c r="M145" s="2"/>
      <c r="N145" s="2"/>
      <c r="O145" s="2"/>
      <c r="P145" s="2" t="n">
        <v>38.4801</v>
      </c>
      <c r="Q145" s="2" t="n">
        <v>26.4152</v>
      </c>
      <c r="R145" s="2" t="s">
        <v>95</v>
      </c>
      <c r="S145" s="2" t="n">
        <v>-450</v>
      </c>
      <c r="T145" s="2" t="s">
        <v>915</v>
      </c>
      <c r="U145" s="2" t="s">
        <v>56</v>
      </c>
      <c r="V145" s="2" t="s">
        <v>57</v>
      </c>
      <c r="W145" s="2" t="s">
        <v>168</v>
      </c>
      <c r="X145" s="2" t="s">
        <v>169</v>
      </c>
      <c r="Y145" s="2"/>
      <c r="Z145" s="2" t="s">
        <v>170</v>
      </c>
      <c r="AA145" s="2"/>
      <c r="AB145" s="2" t="s">
        <v>81</v>
      </c>
      <c r="AC145" s="2"/>
      <c r="AD145" s="2"/>
      <c r="AE145" s="3"/>
      <c r="AF145" s="3" t="s">
        <v>1836</v>
      </c>
      <c r="AG145" s="2"/>
      <c r="AH145" s="2" t="s">
        <v>263</v>
      </c>
      <c r="AI145" s="3" t="s">
        <v>1837</v>
      </c>
      <c r="AJ145" s="3" t="s">
        <v>1838</v>
      </c>
      <c r="AK145" s="2" t="n">
        <v>550847</v>
      </c>
      <c r="AL145" s="3" t="s">
        <v>1829</v>
      </c>
      <c r="AM145" s="2"/>
      <c r="AN145" s="2"/>
      <c r="AO145" s="3" t="s">
        <v>1839</v>
      </c>
      <c r="AP145" s="3" t="s">
        <v>1840</v>
      </c>
      <c r="AQ145" s="2" t="s">
        <v>151</v>
      </c>
    </row>
    <row r="146" customFormat="false" ht="35.05" hidden="false" customHeight="false" outlineLevel="0" collapsed="false">
      <c r="A146" s="2" t="n">
        <v>145</v>
      </c>
      <c r="B146" s="2" t="s">
        <v>1841</v>
      </c>
      <c r="C146" s="2" t="s">
        <v>1596</v>
      </c>
      <c r="D146" s="2" t="s">
        <v>1759</v>
      </c>
      <c r="E146" s="2" t="s">
        <v>1842</v>
      </c>
      <c r="F146" s="2" t="s">
        <v>1843</v>
      </c>
      <c r="G146" s="3" t="s">
        <v>1844</v>
      </c>
      <c r="H146" s="2" t="s">
        <v>1845</v>
      </c>
      <c r="I146" s="2" t="s">
        <v>49</v>
      </c>
      <c r="J146" s="3" t="s">
        <v>1846</v>
      </c>
      <c r="K146" s="2" t="s">
        <v>1552</v>
      </c>
      <c r="L146" s="2" t="s">
        <v>1553</v>
      </c>
      <c r="M146" s="2"/>
      <c r="N146" s="2"/>
      <c r="O146" s="2" t="s">
        <v>5</v>
      </c>
      <c r="P146" s="2" t="n">
        <v>38.3828</v>
      </c>
      <c r="Q146" s="2" t="n">
        <v>26.4808</v>
      </c>
      <c r="R146" s="2" t="s">
        <v>54</v>
      </c>
      <c r="S146" s="2" t="n">
        <v>-1000</v>
      </c>
      <c r="T146" s="2" t="s">
        <v>1636</v>
      </c>
      <c r="U146" s="2" t="s">
        <v>96</v>
      </c>
      <c r="V146" s="2" t="s">
        <v>78</v>
      </c>
      <c r="W146" s="2" t="s">
        <v>1637</v>
      </c>
      <c r="X146" s="2" t="s">
        <v>901</v>
      </c>
      <c r="Y146" s="2" t="s">
        <v>1847</v>
      </c>
      <c r="Z146" s="2" t="s">
        <v>1781</v>
      </c>
      <c r="AA146" s="2"/>
      <c r="AB146" s="2" t="s">
        <v>63</v>
      </c>
      <c r="AC146" s="2" t="s">
        <v>452</v>
      </c>
      <c r="AD146" s="2"/>
      <c r="AE146" s="3"/>
      <c r="AF146" s="3" t="s">
        <v>1848</v>
      </c>
      <c r="AG146" s="2"/>
      <c r="AH146" s="2" t="s">
        <v>54</v>
      </c>
      <c r="AI146" s="3" t="s">
        <v>1849</v>
      </c>
      <c r="AJ146" s="3" t="s">
        <v>1850</v>
      </c>
      <c r="AK146" s="2" t="n">
        <v>550535</v>
      </c>
      <c r="AL146" s="3" t="s">
        <v>1851</v>
      </c>
      <c r="AM146" s="2"/>
      <c r="AN146" s="2" t="s">
        <v>200</v>
      </c>
      <c r="AO146" s="3"/>
      <c r="AP146" s="3"/>
      <c r="AQ146" s="2"/>
    </row>
    <row r="147" customFormat="false" ht="57.45" hidden="false" customHeight="false" outlineLevel="0" collapsed="false">
      <c r="A147" s="2" t="n">
        <v>146</v>
      </c>
      <c r="B147" s="2" t="s">
        <v>1852</v>
      </c>
      <c r="C147" s="2" t="s">
        <v>1596</v>
      </c>
      <c r="D147" s="2" t="s">
        <v>1759</v>
      </c>
      <c r="E147" s="2" t="s">
        <v>1853</v>
      </c>
      <c r="F147" s="2" t="s">
        <v>1854</v>
      </c>
      <c r="G147" s="3" t="s">
        <v>1855</v>
      </c>
      <c r="H147" s="2"/>
      <c r="I147" s="2" t="s">
        <v>74</v>
      </c>
      <c r="J147" s="3" t="s">
        <v>1856</v>
      </c>
      <c r="K147" s="2" t="s">
        <v>1552</v>
      </c>
      <c r="L147" s="2" t="s">
        <v>1553</v>
      </c>
      <c r="M147" s="2"/>
      <c r="N147" s="2"/>
      <c r="O147" s="2"/>
      <c r="P147" s="2" t="n">
        <v>38.3272</v>
      </c>
      <c r="Q147" s="2" t="n">
        <v>26.3072</v>
      </c>
      <c r="R147" s="2" t="s">
        <v>95</v>
      </c>
      <c r="S147" s="2" t="n">
        <v>-454</v>
      </c>
      <c r="T147" s="2" t="s">
        <v>408</v>
      </c>
      <c r="U147" s="2" t="s">
        <v>56</v>
      </c>
      <c r="V147" s="2" t="s">
        <v>57</v>
      </c>
      <c r="W147" s="2" t="s">
        <v>168</v>
      </c>
      <c r="X147" s="2" t="s">
        <v>169</v>
      </c>
      <c r="Y147" s="2"/>
      <c r="Z147" s="2" t="s">
        <v>170</v>
      </c>
      <c r="AA147" s="2"/>
      <c r="AB147" s="2" t="s">
        <v>81</v>
      </c>
      <c r="AC147" s="2"/>
      <c r="AD147" s="2"/>
      <c r="AE147" s="3"/>
      <c r="AF147" s="3" t="s">
        <v>1857</v>
      </c>
      <c r="AG147" s="2"/>
      <c r="AH147" s="2" t="s">
        <v>263</v>
      </c>
      <c r="AI147" s="3" t="s">
        <v>1858</v>
      </c>
      <c r="AJ147" s="3" t="s">
        <v>1859</v>
      </c>
      <c r="AK147" s="2" t="n">
        <v>550488</v>
      </c>
      <c r="AL147" s="3" t="s">
        <v>1860</v>
      </c>
      <c r="AM147" s="2"/>
      <c r="AN147" s="2"/>
      <c r="AO147" s="3" t="s">
        <v>1861</v>
      </c>
      <c r="AP147" s="3" t="s">
        <v>1862</v>
      </c>
      <c r="AQ147" s="2" t="s">
        <v>89</v>
      </c>
    </row>
    <row r="148" customFormat="false" ht="23.85" hidden="false" customHeight="false" outlineLevel="0" collapsed="false">
      <c r="A148" s="2" t="n">
        <v>147</v>
      </c>
      <c r="B148" s="2" t="s">
        <v>1863</v>
      </c>
      <c r="C148" s="2" t="s">
        <v>1596</v>
      </c>
      <c r="D148" s="2" t="s">
        <v>1759</v>
      </c>
      <c r="E148" s="2" t="s">
        <v>1864</v>
      </c>
      <c r="F148" s="2" t="s">
        <v>1865</v>
      </c>
      <c r="G148" s="3"/>
      <c r="H148" s="2"/>
      <c r="I148" s="2" t="s">
        <v>74</v>
      </c>
      <c r="J148" s="3" t="s">
        <v>1866</v>
      </c>
      <c r="K148" s="2" t="s">
        <v>1552</v>
      </c>
      <c r="L148" s="2" t="s">
        <v>1553</v>
      </c>
      <c r="M148" s="2"/>
      <c r="N148" s="2"/>
      <c r="O148" s="2"/>
      <c r="P148" s="2" t="n">
        <v>38.2045</v>
      </c>
      <c r="Q148" s="2" t="n">
        <v>26.6859</v>
      </c>
      <c r="R148" s="2" t="s">
        <v>54</v>
      </c>
      <c r="S148" s="2" t="n">
        <v>-454</v>
      </c>
      <c r="T148" s="2" t="s">
        <v>408</v>
      </c>
      <c r="U148" s="2" t="s">
        <v>56</v>
      </c>
      <c r="V148" s="2" t="s">
        <v>57</v>
      </c>
      <c r="W148" s="2" t="s">
        <v>168</v>
      </c>
      <c r="X148" s="2" t="s">
        <v>169</v>
      </c>
      <c r="Y148" s="2"/>
      <c r="Z148" s="2" t="s">
        <v>170</v>
      </c>
      <c r="AA148" s="2"/>
      <c r="AB148" s="2" t="s">
        <v>81</v>
      </c>
      <c r="AC148" s="2"/>
      <c r="AD148" s="2"/>
      <c r="AE148" s="3"/>
      <c r="AF148" s="3" t="s">
        <v>1867</v>
      </c>
      <c r="AG148" s="2"/>
      <c r="AH148" s="2" t="s">
        <v>54</v>
      </c>
      <c r="AI148" s="3" t="s">
        <v>1868</v>
      </c>
      <c r="AJ148" s="3" t="s">
        <v>1869</v>
      </c>
      <c r="AK148" s="2" t="n">
        <v>550419</v>
      </c>
      <c r="AL148" s="3" t="s">
        <v>1870</v>
      </c>
      <c r="AM148" s="2"/>
      <c r="AN148" s="2"/>
      <c r="AO148" s="3" t="s">
        <v>1871</v>
      </c>
      <c r="AP148" s="3" t="s">
        <v>1872</v>
      </c>
      <c r="AQ148" s="2" t="s">
        <v>151</v>
      </c>
    </row>
    <row r="149" customFormat="false" ht="68.65" hidden="false" customHeight="false" outlineLevel="0" collapsed="false">
      <c r="A149" s="2" t="n">
        <v>148</v>
      </c>
      <c r="B149" s="2" t="s">
        <v>1873</v>
      </c>
      <c r="C149" s="2" t="s">
        <v>1596</v>
      </c>
      <c r="D149" s="2" t="s">
        <v>1759</v>
      </c>
      <c r="E149" s="2" t="s">
        <v>1874</v>
      </c>
      <c r="F149" s="2" t="s">
        <v>1875</v>
      </c>
      <c r="G149" s="3"/>
      <c r="H149" s="2"/>
      <c r="I149" s="2" t="s">
        <v>74</v>
      </c>
      <c r="J149" s="3" t="s">
        <v>1876</v>
      </c>
      <c r="K149" s="2" t="s">
        <v>1552</v>
      </c>
      <c r="L149" s="2" t="s">
        <v>1553</v>
      </c>
      <c r="M149" s="2"/>
      <c r="N149" s="2"/>
      <c r="O149" s="2"/>
      <c r="P149" s="2" t="n">
        <v>38.1773</v>
      </c>
      <c r="Q149" s="2" t="n">
        <v>26.785</v>
      </c>
      <c r="R149" s="2" t="s">
        <v>54</v>
      </c>
      <c r="S149" s="2" t="n">
        <v>-1000</v>
      </c>
      <c r="T149" s="2" t="s">
        <v>1636</v>
      </c>
      <c r="U149" s="2" t="s">
        <v>96</v>
      </c>
      <c r="V149" s="2" t="s">
        <v>78</v>
      </c>
      <c r="W149" s="2" t="s">
        <v>1637</v>
      </c>
      <c r="X149" s="2" t="s">
        <v>901</v>
      </c>
      <c r="Y149" s="2" t="s">
        <v>1877</v>
      </c>
      <c r="Z149" s="2" t="s">
        <v>1781</v>
      </c>
      <c r="AA149" s="2"/>
      <c r="AB149" s="2" t="s">
        <v>81</v>
      </c>
      <c r="AC149" s="2"/>
      <c r="AD149" s="2"/>
      <c r="AE149" s="3"/>
      <c r="AF149" s="3" t="s">
        <v>1878</v>
      </c>
      <c r="AG149" s="2"/>
      <c r="AH149" s="2" t="s">
        <v>54</v>
      </c>
      <c r="AI149" s="3" t="s">
        <v>1879</v>
      </c>
      <c r="AJ149" s="3" t="s">
        <v>1880</v>
      </c>
      <c r="AK149" s="2" t="n">
        <v>550913</v>
      </c>
      <c r="AL149" s="3" t="s">
        <v>1881</v>
      </c>
      <c r="AM149" s="2"/>
      <c r="AN149" s="2"/>
      <c r="AO149" s="3" t="s">
        <v>1882</v>
      </c>
      <c r="AP149" s="3" t="s">
        <v>1883</v>
      </c>
      <c r="AQ149" s="2" t="s">
        <v>151</v>
      </c>
    </row>
    <row r="150" customFormat="false" ht="113.4" hidden="false" customHeight="false" outlineLevel="0" collapsed="false">
      <c r="A150" s="2" t="n">
        <v>149</v>
      </c>
      <c r="B150" s="2" t="s">
        <v>1884</v>
      </c>
      <c r="C150" s="2" t="s">
        <v>1596</v>
      </c>
      <c r="D150" s="2" t="s">
        <v>1759</v>
      </c>
      <c r="E150" s="2" t="s">
        <v>1885</v>
      </c>
      <c r="F150" s="2" t="s">
        <v>1886</v>
      </c>
      <c r="G150" s="3" t="s">
        <v>1887</v>
      </c>
      <c r="H150" s="2"/>
      <c r="I150" s="2" t="s">
        <v>74</v>
      </c>
      <c r="J150" s="3" t="s">
        <v>1888</v>
      </c>
      <c r="K150" s="2" t="s">
        <v>1552</v>
      </c>
      <c r="L150" s="2" t="s">
        <v>1553</v>
      </c>
      <c r="M150" s="2"/>
      <c r="N150" s="2"/>
      <c r="O150" s="2"/>
      <c r="P150" s="2" t="n">
        <v>38.0756</v>
      </c>
      <c r="Q150" s="2" t="n">
        <v>26.9659</v>
      </c>
      <c r="R150" s="2" t="s">
        <v>54</v>
      </c>
      <c r="S150" s="2" t="n">
        <v>-1000</v>
      </c>
      <c r="T150" s="2" t="s">
        <v>1636</v>
      </c>
      <c r="U150" s="2" t="s">
        <v>96</v>
      </c>
      <c r="V150" s="2" t="s">
        <v>78</v>
      </c>
      <c r="W150" s="2" t="s">
        <v>1637</v>
      </c>
      <c r="X150" s="2" t="s">
        <v>901</v>
      </c>
      <c r="Y150" s="2" t="s">
        <v>1889</v>
      </c>
      <c r="Z150" s="2" t="s">
        <v>1781</v>
      </c>
      <c r="AA150" s="2"/>
      <c r="AB150" s="2" t="s">
        <v>81</v>
      </c>
      <c r="AC150" s="2"/>
      <c r="AD150" s="2"/>
      <c r="AE150" s="3"/>
      <c r="AF150" s="3" t="s">
        <v>1890</v>
      </c>
      <c r="AG150" s="2"/>
      <c r="AH150" s="2" t="s">
        <v>54</v>
      </c>
      <c r="AI150" s="3" t="s">
        <v>1891</v>
      </c>
      <c r="AJ150" s="3" t="s">
        <v>1892</v>
      </c>
      <c r="AK150" s="2" t="n">
        <v>599754</v>
      </c>
      <c r="AL150" s="3" t="s">
        <v>1893</v>
      </c>
      <c r="AM150" s="2"/>
      <c r="AN150" s="2"/>
      <c r="AO150" s="3" t="s">
        <v>1894</v>
      </c>
      <c r="AP150" s="3" t="s">
        <v>1895</v>
      </c>
      <c r="AQ150" s="2" t="s">
        <v>89</v>
      </c>
    </row>
    <row r="151" customFormat="false" ht="35.05" hidden="false" customHeight="false" outlineLevel="0" collapsed="false">
      <c r="A151" s="2" t="n">
        <v>150</v>
      </c>
      <c r="B151" s="2" t="s">
        <v>1896</v>
      </c>
      <c r="C151" s="2" t="s">
        <v>1596</v>
      </c>
      <c r="D151" s="2" t="s">
        <v>1759</v>
      </c>
      <c r="E151" s="2" t="s">
        <v>1897</v>
      </c>
      <c r="F151" s="2" t="s">
        <v>1898</v>
      </c>
      <c r="G151" s="3"/>
      <c r="H151" s="2"/>
      <c r="I151" s="2" t="s">
        <v>74</v>
      </c>
      <c r="J151" s="3" t="s">
        <v>1899</v>
      </c>
      <c r="K151" s="2" t="s">
        <v>1552</v>
      </c>
      <c r="L151" s="2" t="s">
        <v>1553</v>
      </c>
      <c r="M151" s="2"/>
      <c r="N151" s="2"/>
      <c r="O151" s="2"/>
      <c r="P151" s="2" t="n">
        <v>38.0294</v>
      </c>
      <c r="Q151" s="2" t="n">
        <v>27.0811</v>
      </c>
      <c r="R151" s="2" t="s">
        <v>95</v>
      </c>
      <c r="S151" s="2" t="n">
        <v>-450</v>
      </c>
      <c r="T151" s="2" t="s">
        <v>915</v>
      </c>
      <c r="U151" s="2" t="s">
        <v>56</v>
      </c>
      <c r="V151" s="2" t="s">
        <v>57</v>
      </c>
      <c r="W151" s="2" t="s">
        <v>168</v>
      </c>
      <c r="X151" s="2" t="s">
        <v>169</v>
      </c>
      <c r="Y151" s="2"/>
      <c r="Z151" s="2" t="s">
        <v>170</v>
      </c>
      <c r="AA151" s="2"/>
      <c r="AB151" s="2" t="s">
        <v>81</v>
      </c>
      <c r="AC151" s="2"/>
      <c r="AD151" s="2"/>
      <c r="AE151" s="3"/>
      <c r="AF151" s="3" t="s">
        <v>1900</v>
      </c>
      <c r="AG151" s="2"/>
      <c r="AH151" s="2" t="s">
        <v>113</v>
      </c>
      <c r="AI151" s="3" t="s">
        <v>1901</v>
      </c>
      <c r="AJ151" s="3" t="s">
        <v>1902</v>
      </c>
      <c r="AK151" s="2" t="n">
        <v>599595</v>
      </c>
      <c r="AL151" s="3" t="s">
        <v>1903</v>
      </c>
      <c r="AM151" s="2"/>
      <c r="AN151" s="2"/>
      <c r="AO151" s="3" t="s">
        <v>1904</v>
      </c>
      <c r="AP151" s="3" t="s">
        <v>1905</v>
      </c>
      <c r="AQ151" s="2" t="s">
        <v>106</v>
      </c>
    </row>
    <row r="152" customFormat="false" ht="79.85" hidden="false" customHeight="false" outlineLevel="0" collapsed="false">
      <c r="A152" s="2" t="n">
        <v>151</v>
      </c>
      <c r="B152" s="2" t="s">
        <v>1906</v>
      </c>
      <c r="C152" s="2" t="s">
        <v>1596</v>
      </c>
      <c r="D152" s="2" t="s">
        <v>1759</v>
      </c>
      <c r="E152" s="2" t="s">
        <v>1907</v>
      </c>
      <c r="F152" s="2" t="s">
        <v>1908</v>
      </c>
      <c r="G152" s="3" t="s">
        <v>1909</v>
      </c>
      <c r="H152" s="2"/>
      <c r="I152" s="2" t="s">
        <v>74</v>
      </c>
      <c r="J152" s="3" t="s">
        <v>1910</v>
      </c>
      <c r="K152" s="2" t="s">
        <v>1552</v>
      </c>
      <c r="L152" s="2" t="s">
        <v>1553</v>
      </c>
      <c r="M152" s="2"/>
      <c r="N152" s="2"/>
      <c r="O152" s="2"/>
      <c r="P152" s="2" t="n">
        <v>37.9953</v>
      </c>
      <c r="Q152" s="2" t="n">
        <v>27.2009</v>
      </c>
      <c r="R152" s="2" t="s">
        <v>54</v>
      </c>
      <c r="S152" s="2" t="n">
        <v>-1000</v>
      </c>
      <c r="T152" s="2" t="s">
        <v>1636</v>
      </c>
      <c r="U152" s="2" t="s">
        <v>96</v>
      </c>
      <c r="V152" s="2" t="s">
        <v>97</v>
      </c>
      <c r="W152" s="2" t="s">
        <v>1637</v>
      </c>
      <c r="X152" s="2" t="s">
        <v>901</v>
      </c>
      <c r="Y152" s="2" t="s">
        <v>903</v>
      </c>
      <c r="Z152" s="2" t="s">
        <v>903</v>
      </c>
      <c r="AA152" s="2"/>
      <c r="AB152" s="2" t="s">
        <v>695</v>
      </c>
      <c r="AC152" s="2" t="s">
        <v>696</v>
      </c>
      <c r="AD152" s="2"/>
      <c r="AE152" s="3"/>
      <c r="AF152" s="3" t="s">
        <v>1911</v>
      </c>
      <c r="AG152" s="2"/>
      <c r="AH152" s="2" t="s">
        <v>54</v>
      </c>
      <c r="AI152" s="3" t="s">
        <v>1912</v>
      </c>
      <c r="AJ152" s="3" t="s">
        <v>1913</v>
      </c>
      <c r="AK152" s="2" t="n">
        <v>599578</v>
      </c>
      <c r="AL152" s="3" t="s">
        <v>1641</v>
      </c>
      <c r="AM152" s="2"/>
      <c r="AN152" s="2"/>
      <c r="AO152" s="3" t="s">
        <v>1914</v>
      </c>
      <c r="AP152" s="3" t="s">
        <v>1915</v>
      </c>
      <c r="AQ152" s="2" t="s">
        <v>89</v>
      </c>
    </row>
    <row r="153" customFormat="false" ht="57.45" hidden="false" customHeight="false" outlineLevel="0" collapsed="false">
      <c r="A153" s="2" t="n">
        <v>152</v>
      </c>
      <c r="B153" s="2" t="s">
        <v>1916</v>
      </c>
      <c r="C153" s="2" t="s">
        <v>1596</v>
      </c>
      <c r="D153" s="2" t="s">
        <v>1759</v>
      </c>
      <c r="E153" s="2" t="s">
        <v>1917</v>
      </c>
      <c r="F153" s="2" t="s">
        <v>1918</v>
      </c>
      <c r="G153" s="3"/>
      <c r="H153" s="2"/>
      <c r="I153" s="2" t="s">
        <v>74</v>
      </c>
      <c r="J153" s="3" t="s">
        <v>1919</v>
      </c>
      <c r="K153" s="2" t="s">
        <v>1552</v>
      </c>
      <c r="L153" s="2" t="s">
        <v>1553</v>
      </c>
      <c r="M153" s="2"/>
      <c r="N153" s="2"/>
      <c r="O153" s="2"/>
      <c r="P153" s="2" t="n">
        <v>38.1083</v>
      </c>
      <c r="Q153" s="2" t="n">
        <v>27.1483</v>
      </c>
      <c r="R153" s="2" t="s">
        <v>54</v>
      </c>
      <c r="S153" s="2" t="n">
        <v>-1000</v>
      </c>
      <c r="T153" s="2" t="s">
        <v>1636</v>
      </c>
      <c r="U153" s="2" t="s">
        <v>96</v>
      </c>
      <c r="V153" s="2" t="s">
        <v>78</v>
      </c>
      <c r="W153" s="2" t="s">
        <v>1637</v>
      </c>
      <c r="X153" s="2" t="s">
        <v>901</v>
      </c>
      <c r="Y153" s="2" t="s">
        <v>1920</v>
      </c>
      <c r="Z153" s="2" t="s">
        <v>1781</v>
      </c>
      <c r="AA153" s="2"/>
      <c r="AB153" s="2" t="s">
        <v>63</v>
      </c>
      <c r="AC153" s="2" t="s">
        <v>452</v>
      </c>
      <c r="AD153" s="2"/>
      <c r="AE153" s="3"/>
      <c r="AF153" s="3" t="s">
        <v>1921</v>
      </c>
      <c r="AG153" s="2"/>
      <c r="AH153" s="2" t="s">
        <v>54</v>
      </c>
      <c r="AI153" s="3" t="s">
        <v>1922</v>
      </c>
      <c r="AJ153" s="3" t="s">
        <v>1923</v>
      </c>
      <c r="AK153" s="2" t="n">
        <v>599577</v>
      </c>
      <c r="AL153" s="3" t="s">
        <v>1924</v>
      </c>
      <c r="AM153" s="2"/>
      <c r="AN153" s="2"/>
      <c r="AO153" s="3"/>
      <c r="AP153" s="3"/>
      <c r="AQ153" s="2"/>
    </row>
    <row r="154" customFormat="false" ht="57.45" hidden="false" customHeight="false" outlineLevel="0" collapsed="false">
      <c r="A154" s="2" t="n">
        <v>153</v>
      </c>
      <c r="B154" s="2" t="s">
        <v>1925</v>
      </c>
      <c r="C154" s="2" t="s">
        <v>1596</v>
      </c>
      <c r="D154" s="2" t="s">
        <v>1759</v>
      </c>
      <c r="E154" s="2" t="s">
        <v>1926</v>
      </c>
      <c r="F154" s="2" t="s">
        <v>1927</v>
      </c>
      <c r="G154" s="3" t="s">
        <v>1928</v>
      </c>
      <c r="H154" s="2" t="s">
        <v>1929</v>
      </c>
      <c r="I154" s="2" t="s">
        <v>123</v>
      </c>
      <c r="J154" s="3" t="s">
        <v>1930</v>
      </c>
      <c r="K154" s="2" t="s">
        <v>1552</v>
      </c>
      <c r="L154" s="2" t="s">
        <v>1553</v>
      </c>
      <c r="M154" s="2" t="s">
        <v>1929</v>
      </c>
      <c r="N154" s="2"/>
      <c r="O154" s="2" t="s">
        <v>53</v>
      </c>
      <c r="P154" s="2" t="n">
        <v>37.9402</v>
      </c>
      <c r="Q154" s="2" t="n">
        <v>27.3424</v>
      </c>
      <c r="R154" s="2" t="s">
        <v>54</v>
      </c>
      <c r="S154" s="2" t="n">
        <v>-1000</v>
      </c>
      <c r="T154" s="2" t="s">
        <v>1636</v>
      </c>
      <c r="U154" s="2" t="s">
        <v>77</v>
      </c>
      <c r="V154" s="2" t="s">
        <v>78</v>
      </c>
      <c r="W154" s="2" t="s">
        <v>1637</v>
      </c>
      <c r="X154" s="2" t="s">
        <v>901</v>
      </c>
      <c r="Y154" s="2" t="s">
        <v>1931</v>
      </c>
      <c r="Z154" s="2" t="s">
        <v>1781</v>
      </c>
      <c r="AA154" s="2"/>
      <c r="AB154" s="2" t="s">
        <v>63</v>
      </c>
      <c r="AC154" s="2" t="s">
        <v>452</v>
      </c>
      <c r="AD154" s="2" t="s">
        <v>1932</v>
      </c>
      <c r="AE154" s="3" t="s">
        <v>1933</v>
      </c>
      <c r="AF154" s="3" t="s">
        <v>1934</v>
      </c>
      <c r="AG154" s="2"/>
      <c r="AH154" s="2" t="s">
        <v>54</v>
      </c>
      <c r="AI154" s="3" t="s">
        <v>1935</v>
      </c>
      <c r="AJ154" s="3" t="s">
        <v>1936</v>
      </c>
      <c r="AK154" s="2" t="n">
        <v>599612</v>
      </c>
      <c r="AL154" s="3" t="s">
        <v>1937</v>
      </c>
      <c r="AM154" s="2"/>
      <c r="AN154" s="2"/>
      <c r="AO154" s="3"/>
      <c r="AP154" s="3"/>
      <c r="AQ154" s="2"/>
    </row>
    <row r="155" customFormat="false" ht="57.45" hidden="false" customHeight="false" outlineLevel="0" collapsed="false">
      <c r="A155" s="2" t="n">
        <v>154</v>
      </c>
      <c r="B155" s="2" t="s">
        <v>1938</v>
      </c>
      <c r="C155" s="2" t="s">
        <v>1596</v>
      </c>
      <c r="D155" s="2" t="s">
        <v>1759</v>
      </c>
      <c r="E155" s="2" t="s">
        <v>1939</v>
      </c>
      <c r="F155" s="2" t="s">
        <v>1940</v>
      </c>
      <c r="G155" s="3"/>
      <c r="H155" s="2"/>
      <c r="I155" s="2" t="s">
        <v>74</v>
      </c>
      <c r="J155" s="3" t="s">
        <v>1941</v>
      </c>
      <c r="K155" s="2" t="s">
        <v>1552</v>
      </c>
      <c r="L155" s="2" t="s">
        <v>1553</v>
      </c>
      <c r="M155" s="2"/>
      <c r="N155" s="2"/>
      <c r="O155" s="2"/>
      <c r="P155" s="2" t="n">
        <v>38.1248</v>
      </c>
      <c r="Q155" s="2" t="n">
        <v>27.3246</v>
      </c>
      <c r="R155" s="2" t="s">
        <v>54</v>
      </c>
      <c r="S155" s="2" t="n">
        <v>-300</v>
      </c>
      <c r="T155" s="2" t="s">
        <v>1942</v>
      </c>
      <c r="U155" s="2" t="s">
        <v>56</v>
      </c>
      <c r="V155" s="2" t="s">
        <v>78</v>
      </c>
      <c r="W155" s="2" t="s">
        <v>195</v>
      </c>
      <c r="X155" s="2" t="s">
        <v>169</v>
      </c>
      <c r="Y155" s="2"/>
      <c r="Z155" s="2" t="s">
        <v>170</v>
      </c>
      <c r="AA155" s="2"/>
      <c r="AB155" s="2" t="s">
        <v>63</v>
      </c>
      <c r="AC155" s="2" t="s">
        <v>452</v>
      </c>
      <c r="AD155" s="2" t="s">
        <v>1943</v>
      </c>
      <c r="AE155" s="3" t="s">
        <v>1944</v>
      </c>
      <c r="AF155" s="3" t="s">
        <v>1945</v>
      </c>
      <c r="AG155" s="2"/>
      <c r="AH155" s="2" t="s">
        <v>54</v>
      </c>
      <c r="AI155" s="3" t="s">
        <v>1946</v>
      </c>
      <c r="AJ155" s="3" t="s">
        <v>1947</v>
      </c>
      <c r="AK155" s="2" t="n">
        <v>550741</v>
      </c>
      <c r="AL155" s="3" t="s">
        <v>1948</v>
      </c>
      <c r="AM155" s="2"/>
      <c r="AN155" s="2"/>
      <c r="AO155" s="3"/>
      <c r="AP155" s="3"/>
      <c r="AQ155" s="2"/>
    </row>
    <row r="156" customFormat="false" ht="57.45" hidden="false" customHeight="false" outlineLevel="0" collapsed="false">
      <c r="A156" s="2" t="n">
        <v>155</v>
      </c>
      <c r="B156" s="2" t="s">
        <v>1949</v>
      </c>
      <c r="C156" s="2" t="s">
        <v>1596</v>
      </c>
      <c r="D156" s="2" t="s">
        <v>1759</v>
      </c>
      <c r="E156" s="2" t="s">
        <v>1950</v>
      </c>
      <c r="F156" s="2" t="s">
        <v>1951</v>
      </c>
      <c r="G156" s="3" t="s">
        <v>1952</v>
      </c>
      <c r="H156" s="2" t="s">
        <v>1953</v>
      </c>
      <c r="I156" s="2" t="s">
        <v>123</v>
      </c>
      <c r="J156" s="3" t="s">
        <v>1954</v>
      </c>
      <c r="K156" s="2" t="s">
        <v>1955</v>
      </c>
      <c r="L156" s="2" t="s">
        <v>1553</v>
      </c>
      <c r="M156" s="2" t="s">
        <v>1953</v>
      </c>
      <c r="N156" s="2"/>
      <c r="O156" s="2" t="s">
        <v>53</v>
      </c>
      <c r="P156" s="2" t="n">
        <v>37.8622</v>
      </c>
      <c r="Q156" s="2" t="n">
        <v>27.2637</v>
      </c>
      <c r="R156" s="2" t="s">
        <v>95</v>
      </c>
      <c r="S156" s="2" t="n">
        <v>-454</v>
      </c>
      <c r="T156" s="2" t="s">
        <v>408</v>
      </c>
      <c r="U156" s="2" t="s">
        <v>56</v>
      </c>
      <c r="V156" s="2" t="s">
        <v>57</v>
      </c>
      <c r="W156" s="2" t="s">
        <v>168</v>
      </c>
      <c r="X156" s="2" t="s">
        <v>169</v>
      </c>
      <c r="Y156" s="2" t="s">
        <v>1956</v>
      </c>
      <c r="Z156" s="2" t="s">
        <v>170</v>
      </c>
      <c r="AA156" s="2"/>
      <c r="AB156" s="2" t="s">
        <v>81</v>
      </c>
      <c r="AC156" s="2"/>
      <c r="AD156" s="2"/>
      <c r="AE156" s="3"/>
      <c r="AF156" s="3" t="s">
        <v>1957</v>
      </c>
      <c r="AG156" s="2"/>
      <c r="AH156" s="2" t="s">
        <v>54</v>
      </c>
      <c r="AI156" s="3" t="s">
        <v>1958</v>
      </c>
      <c r="AJ156" s="3" t="s">
        <v>1959</v>
      </c>
      <c r="AK156" s="2" t="n">
        <v>599887</v>
      </c>
      <c r="AL156" s="3" t="s">
        <v>1960</v>
      </c>
      <c r="AM156" s="2"/>
      <c r="AN156" s="2"/>
      <c r="AO156" s="3" t="s">
        <v>1961</v>
      </c>
      <c r="AP156" s="3" t="s">
        <v>1962</v>
      </c>
      <c r="AQ156" s="2" t="s">
        <v>151</v>
      </c>
    </row>
    <row r="157" customFormat="false" ht="46.25" hidden="false" customHeight="false" outlineLevel="0" collapsed="false">
      <c r="A157" s="2" t="n">
        <v>156</v>
      </c>
      <c r="B157" s="2" t="s">
        <v>1963</v>
      </c>
      <c r="C157" s="2" t="s">
        <v>1596</v>
      </c>
      <c r="D157" s="2" t="s">
        <v>1759</v>
      </c>
      <c r="E157" s="2" t="s">
        <v>1964</v>
      </c>
      <c r="F157" s="2" t="s">
        <v>1965</v>
      </c>
      <c r="G157" s="3" t="s">
        <v>1966</v>
      </c>
      <c r="H157" s="2"/>
      <c r="I157" s="2" t="s">
        <v>74</v>
      </c>
      <c r="J157" s="3" t="s">
        <v>1967</v>
      </c>
      <c r="K157" s="2" t="s">
        <v>1955</v>
      </c>
      <c r="L157" s="2" t="s">
        <v>1553</v>
      </c>
      <c r="M157" s="2"/>
      <c r="N157" s="2"/>
      <c r="O157" s="2"/>
      <c r="P157" s="2" t="n">
        <v>37.8293</v>
      </c>
      <c r="Q157" s="2" t="n">
        <v>27.2545</v>
      </c>
      <c r="R157" s="2" t="s">
        <v>95</v>
      </c>
      <c r="S157" s="2" t="n">
        <v>-443</v>
      </c>
      <c r="T157" s="2" t="s">
        <v>1968</v>
      </c>
      <c r="U157" s="2" t="s">
        <v>56</v>
      </c>
      <c r="V157" s="2" t="s">
        <v>57</v>
      </c>
      <c r="W157" s="2" t="s">
        <v>168</v>
      </c>
      <c r="X157" s="2" t="s">
        <v>169</v>
      </c>
      <c r="Y157" s="2" t="s">
        <v>81</v>
      </c>
      <c r="Z157" s="2" t="s">
        <v>170</v>
      </c>
      <c r="AA157" s="2"/>
      <c r="AB157" s="2" t="s">
        <v>81</v>
      </c>
      <c r="AC157" s="2"/>
      <c r="AD157" s="2"/>
      <c r="AE157" s="3"/>
      <c r="AF157" s="3" t="s">
        <v>1969</v>
      </c>
      <c r="AG157" s="2"/>
      <c r="AH157" s="2" t="s">
        <v>113</v>
      </c>
      <c r="AI157" s="3" t="s">
        <v>1970</v>
      </c>
      <c r="AJ157" s="3" t="s">
        <v>1971</v>
      </c>
      <c r="AK157" s="2" t="n">
        <v>599784</v>
      </c>
      <c r="AL157" s="3" t="s">
        <v>1972</v>
      </c>
      <c r="AM157" s="2"/>
      <c r="AN157" s="2"/>
      <c r="AO157" s="3" t="s">
        <v>1973</v>
      </c>
      <c r="AP157" s="3" t="s">
        <v>1974</v>
      </c>
      <c r="AQ157" s="2" t="s">
        <v>106</v>
      </c>
    </row>
    <row r="158" customFormat="false" ht="35.05" hidden="false" customHeight="false" outlineLevel="0" collapsed="false">
      <c r="A158" s="2" t="n">
        <v>157</v>
      </c>
      <c r="B158" s="2" t="s">
        <v>1975</v>
      </c>
      <c r="C158" s="2" t="s">
        <v>1596</v>
      </c>
      <c r="D158" s="2" t="s">
        <v>1759</v>
      </c>
      <c r="E158" s="2" t="s">
        <v>1976</v>
      </c>
      <c r="F158" s="2" t="s">
        <v>1977</v>
      </c>
      <c r="G158" s="3" t="s">
        <v>1978</v>
      </c>
      <c r="H158" s="2" t="s">
        <v>1979</v>
      </c>
      <c r="I158" s="2" t="s">
        <v>49</v>
      </c>
      <c r="J158" s="3" t="s">
        <v>1980</v>
      </c>
      <c r="K158" s="2" t="s">
        <v>1955</v>
      </c>
      <c r="L158" s="2" t="s">
        <v>1553</v>
      </c>
      <c r="M158" s="2"/>
      <c r="N158" s="2"/>
      <c r="O158" s="2" t="s">
        <v>53</v>
      </c>
      <c r="P158" s="2" t="n">
        <v>37.7915</v>
      </c>
      <c r="Q158" s="2" t="n">
        <v>27.2703</v>
      </c>
      <c r="R158" s="2" t="s">
        <v>54</v>
      </c>
      <c r="S158" s="2" t="n">
        <v>-1000</v>
      </c>
      <c r="T158" s="2" t="s">
        <v>1636</v>
      </c>
      <c r="U158" s="2" t="s">
        <v>96</v>
      </c>
      <c r="V158" s="2" t="s">
        <v>97</v>
      </c>
      <c r="W158" s="2" t="s">
        <v>1637</v>
      </c>
      <c r="X158" s="2" t="s">
        <v>901</v>
      </c>
      <c r="Y158" s="2" t="s">
        <v>1981</v>
      </c>
      <c r="Z158" s="2" t="s">
        <v>1781</v>
      </c>
      <c r="AA158" s="2"/>
      <c r="AB158" s="2" t="s">
        <v>63</v>
      </c>
      <c r="AC158" s="2" t="s">
        <v>77</v>
      </c>
      <c r="AD158" s="2"/>
      <c r="AE158" s="3"/>
      <c r="AF158" s="3" t="s">
        <v>1982</v>
      </c>
      <c r="AG158" s="2"/>
      <c r="AH158" s="2" t="s">
        <v>54</v>
      </c>
      <c r="AI158" s="3" t="s">
        <v>1983</v>
      </c>
      <c r="AJ158" s="3" t="s">
        <v>1984</v>
      </c>
      <c r="AK158" s="2" t="n">
        <v>599490</v>
      </c>
      <c r="AL158" s="3" t="s">
        <v>1985</v>
      </c>
      <c r="AM158" s="2"/>
      <c r="AN158" s="2"/>
      <c r="AO158" s="3"/>
      <c r="AP158" s="3"/>
      <c r="AQ158" s="2"/>
    </row>
    <row r="159" customFormat="false" ht="68.65" hidden="false" customHeight="false" outlineLevel="0" collapsed="false">
      <c r="A159" s="2" t="n">
        <v>158</v>
      </c>
      <c r="B159" s="2" t="s">
        <v>1986</v>
      </c>
      <c r="C159" s="2" t="s">
        <v>1596</v>
      </c>
      <c r="D159" s="2" t="s">
        <v>1759</v>
      </c>
      <c r="E159" s="2" t="s">
        <v>1987</v>
      </c>
      <c r="F159" s="2" t="s">
        <v>1988</v>
      </c>
      <c r="G159" s="3" t="s">
        <v>1989</v>
      </c>
      <c r="H159" s="2"/>
      <c r="I159" s="2" t="s">
        <v>74</v>
      </c>
      <c r="J159" s="3" t="s">
        <v>1990</v>
      </c>
      <c r="K159" s="2" t="s">
        <v>1955</v>
      </c>
      <c r="L159" s="2" t="s">
        <v>1553</v>
      </c>
      <c r="M159" s="2"/>
      <c r="N159" s="2"/>
      <c r="O159" s="2"/>
      <c r="P159" s="2" t="n">
        <v>37.7094</v>
      </c>
      <c r="Q159" s="2" t="n">
        <v>27.218</v>
      </c>
      <c r="R159" s="2" t="s">
        <v>54</v>
      </c>
      <c r="S159" s="2" t="n">
        <v>-750</v>
      </c>
      <c r="T159" s="2" t="s">
        <v>1991</v>
      </c>
      <c r="U159" s="2" t="s">
        <v>77</v>
      </c>
      <c r="V159" s="2" t="s">
        <v>78</v>
      </c>
      <c r="W159" s="2" t="s">
        <v>58</v>
      </c>
      <c r="X159" s="2" t="s">
        <v>901</v>
      </c>
      <c r="Y159" s="2" t="s">
        <v>1781</v>
      </c>
      <c r="Z159" s="2" t="s">
        <v>1781</v>
      </c>
      <c r="AA159" s="2"/>
      <c r="AB159" s="2" t="s">
        <v>81</v>
      </c>
      <c r="AC159" s="2"/>
      <c r="AD159" s="2"/>
      <c r="AE159" s="3"/>
      <c r="AF159" s="3" t="s">
        <v>1992</v>
      </c>
      <c r="AG159" s="2"/>
      <c r="AH159" s="2" t="s">
        <v>113</v>
      </c>
      <c r="AI159" s="3" t="s">
        <v>1993</v>
      </c>
      <c r="AJ159" s="3" t="s">
        <v>1994</v>
      </c>
      <c r="AK159" s="2" t="n">
        <v>599795</v>
      </c>
      <c r="AL159" s="3" t="s">
        <v>1995</v>
      </c>
      <c r="AM159" s="2"/>
      <c r="AN159" s="2"/>
      <c r="AO159" s="3" t="s">
        <v>1996</v>
      </c>
      <c r="AP159" s="3" t="s">
        <v>1997</v>
      </c>
      <c r="AQ159" s="2" t="s">
        <v>89</v>
      </c>
    </row>
    <row r="160" customFormat="false" ht="68.65" hidden="false" customHeight="false" outlineLevel="0" collapsed="false">
      <c r="A160" s="2" t="n">
        <v>159</v>
      </c>
      <c r="B160" s="2" t="s">
        <v>1998</v>
      </c>
      <c r="C160" s="2" t="s">
        <v>1596</v>
      </c>
      <c r="D160" s="2" t="s">
        <v>1759</v>
      </c>
      <c r="E160" s="2" t="s">
        <v>1999</v>
      </c>
      <c r="F160" s="2" t="s">
        <v>2000</v>
      </c>
      <c r="G160" s="3" t="s">
        <v>2001</v>
      </c>
      <c r="H160" s="2"/>
      <c r="I160" s="2" t="s">
        <v>74</v>
      </c>
      <c r="J160" s="3" t="s">
        <v>2002</v>
      </c>
      <c r="K160" s="2" t="s">
        <v>1955</v>
      </c>
      <c r="L160" s="2" t="s">
        <v>1553</v>
      </c>
      <c r="M160" s="2"/>
      <c r="N160" s="2"/>
      <c r="O160" s="2"/>
      <c r="P160" s="2" t="n">
        <v>37.6608</v>
      </c>
      <c r="Q160" s="2" t="n">
        <v>27.2966</v>
      </c>
      <c r="R160" s="2" t="s">
        <v>54</v>
      </c>
      <c r="S160" s="2" t="n">
        <v>-1000</v>
      </c>
      <c r="T160" s="2" t="s">
        <v>1636</v>
      </c>
      <c r="U160" s="2" t="s">
        <v>96</v>
      </c>
      <c r="V160" s="2" t="s">
        <v>97</v>
      </c>
      <c r="W160" s="2" t="s">
        <v>1637</v>
      </c>
      <c r="X160" s="2" t="s">
        <v>901</v>
      </c>
      <c r="Y160" s="2" t="s">
        <v>2003</v>
      </c>
      <c r="Z160" s="2" t="s">
        <v>1781</v>
      </c>
      <c r="AA160" s="2"/>
      <c r="AB160" s="2" t="s">
        <v>695</v>
      </c>
      <c r="AC160" s="2" t="s">
        <v>696</v>
      </c>
      <c r="AD160" s="2"/>
      <c r="AE160" s="3"/>
      <c r="AF160" s="3" t="s">
        <v>2004</v>
      </c>
      <c r="AG160" s="2"/>
      <c r="AH160" s="2" t="s">
        <v>54</v>
      </c>
      <c r="AI160" s="3" t="s">
        <v>2005</v>
      </c>
      <c r="AJ160" s="3" t="s">
        <v>2006</v>
      </c>
      <c r="AK160" s="2" t="n">
        <v>599905</v>
      </c>
      <c r="AL160" s="3" t="s">
        <v>2007</v>
      </c>
      <c r="AM160" s="2"/>
      <c r="AN160" s="2"/>
      <c r="AO160" s="3" t="s">
        <v>2008</v>
      </c>
      <c r="AP160" s="3" t="s">
        <v>2009</v>
      </c>
      <c r="AQ160" s="2" t="s">
        <v>151</v>
      </c>
    </row>
    <row r="161" customFormat="false" ht="57.45" hidden="false" customHeight="false" outlineLevel="0" collapsed="false">
      <c r="A161" s="2" t="n">
        <v>160</v>
      </c>
      <c r="B161" s="2" t="s">
        <v>2010</v>
      </c>
      <c r="C161" s="2" t="s">
        <v>1596</v>
      </c>
      <c r="D161" s="2" t="s">
        <v>1759</v>
      </c>
      <c r="E161" s="2" t="s">
        <v>2011</v>
      </c>
      <c r="F161" s="2" t="s">
        <v>2012</v>
      </c>
      <c r="G161" s="3" t="s">
        <v>2013</v>
      </c>
      <c r="H161" s="2"/>
      <c r="I161" s="2" t="s">
        <v>74</v>
      </c>
      <c r="J161" s="3" t="s">
        <v>2014</v>
      </c>
      <c r="K161" s="2" t="s">
        <v>1955</v>
      </c>
      <c r="L161" s="2" t="s">
        <v>1553</v>
      </c>
      <c r="M161" s="2"/>
      <c r="N161" s="2"/>
      <c r="O161" s="2"/>
      <c r="P161" s="2" t="n">
        <v>37.5987</v>
      </c>
      <c r="Q161" s="2" t="n">
        <v>27.4259</v>
      </c>
      <c r="R161" s="2" t="s">
        <v>54</v>
      </c>
      <c r="S161" s="2" t="n">
        <v>-1000</v>
      </c>
      <c r="T161" s="2" t="s">
        <v>1636</v>
      </c>
      <c r="U161" s="2" t="s">
        <v>96</v>
      </c>
      <c r="V161" s="2" t="s">
        <v>97</v>
      </c>
      <c r="W161" s="2" t="s">
        <v>1637</v>
      </c>
      <c r="X161" s="2" t="s">
        <v>901</v>
      </c>
      <c r="Y161" s="2" t="s">
        <v>2015</v>
      </c>
      <c r="Z161" s="2" t="s">
        <v>1781</v>
      </c>
      <c r="AA161" s="2"/>
      <c r="AB161" s="2" t="s">
        <v>81</v>
      </c>
      <c r="AC161" s="2"/>
      <c r="AD161" s="2"/>
      <c r="AE161" s="3"/>
      <c r="AF161" s="3" t="s">
        <v>2016</v>
      </c>
      <c r="AG161" s="2"/>
      <c r="AH161" s="2" t="s">
        <v>54</v>
      </c>
      <c r="AI161" s="3" t="s">
        <v>2017</v>
      </c>
      <c r="AJ161" s="3" t="s">
        <v>2018</v>
      </c>
      <c r="AK161" s="2" t="n">
        <v>599813</v>
      </c>
      <c r="AL161" s="3" t="s">
        <v>2019</v>
      </c>
      <c r="AM161" s="2"/>
      <c r="AN161" s="2"/>
      <c r="AO161" s="3" t="s">
        <v>2020</v>
      </c>
      <c r="AP161" s="3" t="s">
        <v>2021</v>
      </c>
      <c r="AQ161" s="2" t="s">
        <v>151</v>
      </c>
    </row>
    <row r="162" customFormat="false" ht="23.85" hidden="false" customHeight="false" outlineLevel="0" collapsed="false">
      <c r="A162" s="2" t="n">
        <v>161</v>
      </c>
      <c r="B162" s="2" t="s">
        <v>2022</v>
      </c>
      <c r="C162" s="2" t="s">
        <v>1596</v>
      </c>
      <c r="D162" s="2" t="s">
        <v>1759</v>
      </c>
      <c r="E162" s="2" t="s">
        <v>111</v>
      </c>
      <c r="F162" s="2" t="s">
        <v>2023</v>
      </c>
      <c r="G162" s="3" t="s">
        <v>2024</v>
      </c>
      <c r="H162" s="2"/>
      <c r="I162" s="2" t="s">
        <v>74</v>
      </c>
      <c r="J162" s="3" t="s">
        <v>2025</v>
      </c>
      <c r="K162" s="2" t="s">
        <v>1955</v>
      </c>
      <c r="L162" s="2" t="s">
        <v>1553</v>
      </c>
      <c r="M162" s="2"/>
      <c r="N162" s="2"/>
      <c r="O162" s="2"/>
      <c r="P162" s="2" t="n">
        <v>37.5306</v>
      </c>
      <c r="Q162" s="2" t="n">
        <v>27.2783</v>
      </c>
      <c r="R162" s="2" t="s">
        <v>54</v>
      </c>
      <c r="S162" s="2" t="n">
        <v>-1400</v>
      </c>
      <c r="T162" s="2" t="s">
        <v>2026</v>
      </c>
      <c r="U162" s="2" t="s">
        <v>77</v>
      </c>
      <c r="V162" s="2" t="s">
        <v>78</v>
      </c>
      <c r="W162" s="2" t="s">
        <v>1637</v>
      </c>
      <c r="X162" s="2" t="s">
        <v>2027</v>
      </c>
      <c r="Y162" s="2" t="s">
        <v>2028</v>
      </c>
      <c r="Z162" s="2" t="s">
        <v>2029</v>
      </c>
      <c r="AA162" s="2"/>
      <c r="AB162" s="2" t="s">
        <v>63</v>
      </c>
      <c r="AC162" s="2" t="s">
        <v>452</v>
      </c>
      <c r="AD162" s="2" t="s">
        <v>2030</v>
      </c>
      <c r="AE162" s="3" t="s">
        <v>2031</v>
      </c>
      <c r="AF162" s="3" t="s">
        <v>2032</v>
      </c>
      <c r="AG162" s="2"/>
      <c r="AH162" s="2" t="s">
        <v>54</v>
      </c>
      <c r="AI162" s="3" t="s">
        <v>2033</v>
      </c>
      <c r="AJ162" s="3" t="s">
        <v>2034</v>
      </c>
      <c r="AK162" s="2" t="n">
        <v>599799</v>
      </c>
      <c r="AL162" s="3" t="s">
        <v>2035</v>
      </c>
      <c r="AM162" s="2"/>
      <c r="AN162" s="2"/>
      <c r="AO162" s="3"/>
      <c r="AP162" s="3"/>
      <c r="AQ162" s="2"/>
    </row>
    <row r="163" customFormat="false" ht="68.65" hidden="false" customHeight="false" outlineLevel="0" collapsed="false">
      <c r="A163" s="2" t="n">
        <v>162</v>
      </c>
      <c r="B163" s="2" t="s">
        <v>2036</v>
      </c>
      <c r="C163" s="2" t="s">
        <v>1596</v>
      </c>
      <c r="D163" s="2" t="s">
        <v>1759</v>
      </c>
      <c r="E163" s="2" t="s">
        <v>2037</v>
      </c>
      <c r="F163" s="2" t="s">
        <v>2038</v>
      </c>
      <c r="G163" s="3" t="s">
        <v>2039</v>
      </c>
      <c r="H163" s="2"/>
      <c r="I163" s="2" t="s">
        <v>74</v>
      </c>
      <c r="J163" s="3" t="s">
        <v>2040</v>
      </c>
      <c r="K163" s="2" t="s">
        <v>1955</v>
      </c>
      <c r="L163" s="2" t="s">
        <v>1553</v>
      </c>
      <c r="M163" s="2"/>
      <c r="N163" s="2"/>
      <c r="O163" s="2"/>
      <c r="P163" s="2" t="n">
        <v>37.8499</v>
      </c>
      <c r="Q163" s="2" t="n">
        <v>27.5232</v>
      </c>
      <c r="R163" s="2" t="s">
        <v>54</v>
      </c>
      <c r="S163" s="2" t="n">
        <v>-650</v>
      </c>
      <c r="T163" s="2" t="s">
        <v>125</v>
      </c>
      <c r="U163" s="2" t="s">
        <v>56</v>
      </c>
      <c r="V163" s="2" t="s">
        <v>78</v>
      </c>
      <c r="W163" s="2" t="s">
        <v>58</v>
      </c>
      <c r="X163" s="2" t="s">
        <v>901</v>
      </c>
      <c r="Y163" s="2" t="s">
        <v>2041</v>
      </c>
      <c r="Z163" s="2" t="s">
        <v>903</v>
      </c>
      <c r="AA163" s="2"/>
      <c r="AB163" s="2" t="s">
        <v>81</v>
      </c>
      <c r="AC163" s="2"/>
      <c r="AD163" s="2"/>
      <c r="AE163" s="3"/>
      <c r="AF163" s="3" t="s">
        <v>2042</v>
      </c>
      <c r="AG163" s="2"/>
      <c r="AH163" s="2" t="s">
        <v>54</v>
      </c>
      <c r="AI163" s="3" t="s">
        <v>2043</v>
      </c>
      <c r="AJ163" s="3" t="s">
        <v>2044</v>
      </c>
      <c r="AK163" s="2" t="n">
        <v>599778</v>
      </c>
      <c r="AL163" s="3" t="s">
        <v>2045</v>
      </c>
      <c r="AM163" s="2"/>
      <c r="AN163" s="2"/>
      <c r="AO163" s="3" t="s">
        <v>2046</v>
      </c>
      <c r="AP163" s="3" t="s">
        <v>2047</v>
      </c>
      <c r="AQ163" s="2" t="s">
        <v>151</v>
      </c>
    </row>
    <row r="164" customFormat="false" ht="46.25" hidden="false" customHeight="false" outlineLevel="0" collapsed="false">
      <c r="A164" s="2" t="n">
        <v>163</v>
      </c>
      <c r="B164" s="2" t="s">
        <v>2048</v>
      </c>
      <c r="C164" s="2" t="s">
        <v>2049</v>
      </c>
      <c r="D164" s="2" t="s">
        <v>2049</v>
      </c>
      <c r="E164" s="2" t="s">
        <v>2050</v>
      </c>
      <c r="F164" s="2" t="s">
        <v>2051</v>
      </c>
      <c r="G164" s="3" t="s">
        <v>2052</v>
      </c>
      <c r="H164" s="2" t="s">
        <v>2053</v>
      </c>
      <c r="I164" s="2" t="s">
        <v>123</v>
      </c>
      <c r="J164" s="3" t="s">
        <v>2054</v>
      </c>
      <c r="K164" s="2" t="s">
        <v>1552</v>
      </c>
      <c r="L164" s="2" t="s">
        <v>1553</v>
      </c>
      <c r="M164" s="2" t="s">
        <v>2053</v>
      </c>
      <c r="N164" s="2"/>
      <c r="O164" s="2" t="s">
        <v>53</v>
      </c>
      <c r="P164" s="2" t="n">
        <v>38.4172</v>
      </c>
      <c r="Q164" s="2" t="n">
        <v>27.4086</v>
      </c>
      <c r="R164" s="2" t="s">
        <v>95</v>
      </c>
      <c r="S164" s="2" t="n">
        <v>1100</v>
      </c>
      <c r="T164" s="2" t="s">
        <v>834</v>
      </c>
      <c r="U164" s="2" t="s">
        <v>56</v>
      </c>
      <c r="V164" s="2" t="s">
        <v>78</v>
      </c>
      <c r="W164" s="2" t="s">
        <v>304</v>
      </c>
      <c r="X164" s="2" t="s">
        <v>169</v>
      </c>
      <c r="Y164" s="2"/>
      <c r="Z164" s="2" t="s">
        <v>170</v>
      </c>
      <c r="AA164" s="2"/>
      <c r="AB164" s="2" t="s">
        <v>81</v>
      </c>
      <c r="AC164" s="2"/>
      <c r="AD164" s="2"/>
      <c r="AE164" s="3"/>
      <c r="AF164" s="3" t="s">
        <v>2055</v>
      </c>
      <c r="AG164" s="2"/>
      <c r="AH164" s="2" t="s">
        <v>113</v>
      </c>
      <c r="AI164" s="3" t="s">
        <v>2056</v>
      </c>
      <c r="AJ164" s="3" t="s">
        <v>2057</v>
      </c>
      <c r="AK164" s="2" t="n">
        <v>550778</v>
      </c>
      <c r="AL164" s="3" t="s">
        <v>2058</v>
      </c>
      <c r="AM164" s="2"/>
      <c r="AN164" s="2"/>
      <c r="AO164" s="3" t="s">
        <v>2059</v>
      </c>
      <c r="AP164" s="3" t="s">
        <v>2060</v>
      </c>
      <c r="AQ164" s="2" t="s">
        <v>151</v>
      </c>
    </row>
    <row r="165" customFormat="false" ht="46.25" hidden="false" customHeight="false" outlineLevel="0" collapsed="false">
      <c r="A165" s="2" t="n">
        <v>164</v>
      </c>
      <c r="B165" s="2" t="s">
        <v>2061</v>
      </c>
      <c r="C165" s="2" t="s">
        <v>2049</v>
      </c>
      <c r="D165" s="2" t="s">
        <v>2049</v>
      </c>
      <c r="E165" s="2" t="s">
        <v>2062</v>
      </c>
      <c r="F165" s="2" t="s">
        <v>553</v>
      </c>
      <c r="G165" s="3" t="s">
        <v>2063</v>
      </c>
      <c r="H165" s="2" t="s">
        <v>2064</v>
      </c>
      <c r="I165" s="2" t="s">
        <v>123</v>
      </c>
      <c r="J165" s="3" t="s">
        <v>2065</v>
      </c>
      <c r="K165" s="2" t="s">
        <v>1552</v>
      </c>
      <c r="L165" s="2" t="s">
        <v>1553</v>
      </c>
      <c r="M165" s="2" t="s">
        <v>2064</v>
      </c>
      <c r="N165" s="2"/>
      <c r="O165" s="2" t="s">
        <v>422</v>
      </c>
      <c r="P165" s="2" t="n">
        <v>38.0859</v>
      </c>
      <c r="Q165" s="2" t="n">
        <v>27.7441</v>
      </c>
      <c r="R165" s="2" t="s">
        <v>54</v>
      </c>
      <c r="S165" s="2" t="n">
        <v>400</v>
      </c>
      <c r="T165" s="2" t="s">
        <v>357</v>
      </c>
      <c r="U165" s="2" t="s">
        <v>56</v>
      </c>
      <c r="V165" s="2" t="s">
        <v>57</v>
      </c>
      <c r="W165" s="2" t="s">
        <v>304</v>
      </c>
      <c r="X165" s="2" t="s">
        <v>141</v>
      </c>
      <c r="Y165" s="2" t="s">
        <v>2066</v>
      </c>
      <c r="Z165" s="2" t="s">
        <v>559</v>
      </c>
      <c r="AA165" s="2"/>
      <c r="AB165" s="2" t="s">
        <v>63</v>
      </c>
      <c r="AC165" s="2" t="s">
        <v>64</v>
      </c>
      <c r="AD165" s="2"/>
      <c r="AE165" s="3"/>
      <c r="AF165" s="3" t="s">
        <v>2067</v>
      </c>
      <c r="AG165" s="2"/>
      <c r="AH165" s="2" t="s">
        <v>113</v>
      </c>
      <c r="AI165" s="3" t="s">
        <v>2068</v>
      </c>
      <c r="AJ165" s="3" t="s">
        <v>2069</v>
      </c>
      <c r="AK165" s="2" t="n">
        <v>599981</v>
      </c>
      <c r="AL165" s="3" t="s">
        <v>2070</v>
      </c>
      <c r="AM165" s="2"/>
      <c r="AN165" s="2" t="s">
        <v>200</v>
      </c>
      <c r="AO165" s="3"/>
      <c r="AP165" s="3"/>
      <c r="AQ165" s="2"/>
    </row>
    <row r="166" customFormat="false" ht="23.85" hidden="false" customHeight="false" outlineLevel="0" collapsed="false">
      <c r="A166" s="2" t="n">
        <v>165</v>
      </c>
      <c r="B166" s="2" t="s">
        <v>2071</v>
      </c>
      <c r="C166" s="2" t="s">
        <v>2049</v>
      </c>
      <c r="D166" s="2" t="s">
        <v>2049</v>
      </c>
      <c r="E166" s="2" t="s">
        <v>2072</v>
      </c>
      <c r="F166" s="2" t="s">
        <v>2073</v>
      </c>
      <c r="G166" s="3"/>
      <c r="H166" s="2"/>
      <c r="I166" s="2" t="s">
        <v>93</v>
      </c>
      <c r="J166" s="3" t="s">
        <v>2074</v>
      </c>
      <c r="K166" s="2" t="s">
        <v>1552</v>
      </c>
      <c r="L166" s="2" t="s">
        <v>1553</v>
      </c>
      <c r="M166" s="2"/>
      <c r="N166" s="2"/>
      <c r="O166" s="2"/>
      <c r="P166" s="2" t="n">
        <v>38.1663</v>
      </c>
      <c r="Q166" s="2" t="n">
        <v>27.687</v>
      </c>
      <c r="R166" s="2" t="s">
        <v>95</v>
      </c>
      <c r="S166" s="2" t="n">
        <v>-150</v>
      </c>
      <c r="T166" s="2" t="s">
        <v>2075</v>
      </c>
      <c r="U166" s="2" t="s">
        <v>56</v>
      </c>
      <c r="V166" s="2" t="s">
        <v>78</v>
      </c>
      <c r="W166" s="2" t="s">
        <v>195</v>
      </c>
      <c r="X166" s="2" t="s">
        <v>289</v>
      </c>
      <c r="Y166" s="2"/>
      <c r="Z166" s="2" t="s">
        <v>170</v>
      </c>
      <c r="AA166" s="2"/>
      <c r="AB166" s="2" t="s">
        <v>63</v>
      </c>
      <c r="AC166" s="2" t="s">
        <v>64</v>
      </c>
      <c r="AD166" s="2"/>
      <c r="AE166" s="3"/>
      <c r="AF166" s="3" t="s">
        <v>2076</v>
      </c>
      <c r="AG166" s="2"/>
      <c r="AH166" s="2" t="s">
        <v>113</v>
      </c>
      <c r="AI166" s="3" t="s">
        <v>2077</v>
      </c>
      <c r="AJ166" s="3" t="s">
        <v>2078</v>
      </c>
      <c r="AK166" s="2" t="n">
        <v>550632</v>
      </c>
      <c r="AL166" s="3" t="s">
        <v>2079</v>
      </c>
      <c r="AM166" s="2"/>
      <c r="AN166" s="2"/>
      <c r="AO166" s="3"/>
      <c r="AP166" s="3"/>
      <c r="AQ166" s="2"/>
    </row>
    <row r="167" customFormat="false" ht="35.05" hidden="false" customHeight="false" outlineLevel="0" collapsed="false">
      <c r="A167" s="2" t="n">
        <v>166</v>
      </c>
      <c r="B167" s="2" t="s">
        <v>2080</v>
      </c>
      <c r="C167" s="2" t="s">
        <v>2049</v>
      </c>
      <c r="D167" s="2" t="s">
        <v>2049</v>
      </c>
      <c r="E167" s="2" t="s">
        <v>2081</v>
      </c>
      <c r="F167" s="2" t="s">
        <v>2082</v>
      </c>
      <c r="G167" s="3"/>
      <c r="H167" s="2"/>
      <c r="I167" s="2" t="s">
        <v>74</v>
      </c>
      <c r="J167" s="3" t="s">
        <v>2083</v>
      </c>
      <c r="K167" s="2" t="s">
        <v>1552</v>
      </c>
      <c r="L167" s="2" t="s">
        <v>1553</v>
      </c>
      <c r="M167" s="2"/>
      <c r="N167" s="2"/>
      <c r="O167" s="2"/>
      <c r="P167" s="2" t="n">
        <v>38.2485</v>
      </c>
      <c r="Q167" s="2" t="n">
        <v>27.9629</v>
      </c>
      <c r="R167" s="2" t="s">
        <v>54</v>
      </c>
      <c r="S167" s="2" t="n">
        <v>-100</v>
      </c>
      <c r="T167" s="2" t="s">
        <v>2084</v>
      </c>
      <c r="U167" s="2" t="s">
        <v>56</v>
      </c>
      <c r="V167" s="2" t="s">
        <v>78</v>
      </c>
      <c r="W167" s="2" t="s">
        <v>195</v>
      </c>
      <c r="X167" s="2" t="s">
        <v>289</v>
      </c>
      <c r="Y167" s="2"/>
      <c r="Z167" s="2" t="s">
        <v>170</v>
      </c>
      <c r="AA167" s="2"/>
      <c r="AB167" s="2" t="s">
        <v>63</v>
      </c>
      <c r="AC167" s="2" t="s">
        <v>64</v>
      </c>
      <c r="AD167" s="2"/>
      <c r="AE167" s="3"/>
      <c r="AF167" s="3" t="s">
        <v>2085</v>
      </c>
      <c r="AG167" s="2"/>
      <c r="AH167" s="2" t="s">
        <v>54</v>
      </c>
      <c r="AI167" s="3" t="s">
        <v>2086</v>
      </c>
      <c r="AJ167" s="3" t="s">
        <v>2087</v>
      </c>
      <c r="AK167" s="2" t="n">
        <v>550585</v>
      </c>
      <c r="AL167" s="3" t="s">
        <v>2088</v>
      </c>
      <c r="AM167" s="2"/>
      <c r="AN167" s="2"/>
      <c r="AO167" s="3"/>
      <c r="AP167" s="3"/>
      <c r="AQ167" s="2"/>
    </row>
    <row r="168" customFormat="false" ht="46.25" hidden="false" customHeight="false" outlineLevel="0" collapsed="false">
      <c r="A168" s="2" t="n">
        <v>167</v>
      </c>
      <c r="B168" s="2" t="s">
        <v>2089</v>
      </c>
      <c r="C168" s="2" t="s">
        <v>2049</v>
      </c>
      <c r="D168" s="2" t="s">
        <v>2049</v>
      </c>
      <c r="E168" s="2" t="s">
        <v>2090</v>
      </c>
      <c r="F168" s="2" t="s">
        <v>1898</v>
      </c>
      <c r="G168" s="3" t="s">
        <v>2091</v>
      </c>
      <c r="H168" s="2" t="s">
        <v>2092</v>
      </c>
      <c r="I168" s="2" t="s">
        <v>49</v>
      </c>
      <c r="J168" s="3" t="s">
        <v>2093</v>
      </c>
      <c r="K168" s="2" t="s">
        <v>1552</v>
      </c>
      <c r="L168" s="2" t="s">
        <v>1553</v>
      </c>
      <c r="M168" s="2"/>
      <c r="N168" s="2"/>
      <c r="O168" s="2" t="s">
        <v>5</v>
      </c>
      <c r="P168" s="2" t="n">
        <v>38.2276</v>
      </c>
      <c r="Q168" s="2" t="n">
        <v>28.0833</v>
      </c>
      <c r="R168" s="2" t="s">
        <v>95</v>
      </c>
      <c r="S168" s="2" t="n">
        <v>-27</v>
      </c>
      <c r="T168" s="2" t="s">
        <v>2094</v>
      </c>
      <c r="U168" s="2" t="s">
        <v>56</v>
      </c>
      <c r="V168" s="2" t="s">
        <v>78</v>
      </c>
      <c r="W168" s="2" t="s">
        <v>140</v>
      </c>
      <c r="X168" s="2" t="s">
        <v>289</v>
      </c>
      <c r="Y168" s="2"/>
      <c r="Z168" s="2" t="s">
        <v>170</v>
      </c>
      <c r="AA168" s="2"/>
      <c r="AB168" s="2" t="s">
        <v>63</v>
      </c>
      <c r="AC168" s="2" t="s">
        <v>64</v>
      </c>
      <c r="AD168" s="2"/>
      <c r="AE168" s="3"/>
      <c r="AF168" s="3" t="s">
        <v>2095</v>
      </c>
      <c r="AG168" s="2"/>
      <c r="AH168" s="2" t="s">
        <v>113</v>
      </c>
      <c r="AI168" s="3" t="s">
        <v>2096</v>
      </c>
      <c r="AJ168" s="3" t="s">
        <v>2097</v>
      </c>
      <c r="AK168" s="2" t="n">
        <v>550515</v>
      </c>
      <c r="AL168" s="3" t="s">
        <v>2098</v>
      </c>
      <c r="AM168" s="2"/>
      <c r="AN168" s="2" t="s">
        <v>200</v>
      </c>
      <c r="AO168" s="3"/>
      <c r="AP168" s="3"/>
      <c r="AQ168" s="2"/>
    </row>
    <row r="169" customFormat="false" ht="23.85" hidden="false" customHeight="false" outlineLevel="0" collapsed="false">
      <c r="A169" s="2" t="n">
        <v>168</v>
      </c>
      <c r="B169" s="2" t="s">
        <v>2099</v>
      </c>
      <c r="C169" s="2" t="s">
        <v>2049</v>
      </c>
      <c r="D169" s="2" t="s">
        <v>2049</v>
      </c>
      <c r="E169" s="2" t="s">
        <v>2100</v>
      </c>
      <c r="F169" s="2" t="s">
        <v>761</v>
      </c>
      <c r="G169" s="3" t="s">
        <v>2101</v>
      </c>
      <c r="H169" s="2"/>
      <c r="I169" s="2" t="s">
        <v>74</v>
      </c>
      <c r="J169" s="3" t="s">
        <v>2102</v>
      </c>
      <c r="K169" s="2" t="s">
        <v>1552</v>
      </c>
      <c r="L169" s="2" t="s">
        <v>1553</v>
      </c>
      <c r="M169" s="2"/>
      <c r="N169" s="2"/>
      <c r="O169" s="2"/>
      <c r="P169" s="2" t="n">
        <v>38.1619</v>
      </c>
      <c r="Q169" s="2" t="n">
        <v>28.0884</v>
      </c>
      <c r="R169" s="2" t="s">
        <v>95</v>
      </c>
      <c r="S169" s="2" t="n">
        <v>138</v>
      </c>
      <c r="T169" s="2" t="s">
        <v>2103</v>
      </c>
      <c r="U169" s="2" t="s">
        <v>56</v>
      </c>
      <c r="V169" s="2" t="s">
        <v>57</v>
      </c>
      <c r="W169" s="2" t="s">
        <v>140</v>
      </c>
      <c r="X169" s="2" t="s">
        <v>289</v>
      </c>
      <c r="Y169" s="2"/>
      <c r="Z169" s="2" t="s">
        <v>170</v>
      </c>
      <c r="AA169" s="2"/>
      <c r="AB169" s="2" t="s">
        <v>63</v>
      </c>
      <c r="AC169" s="2" t="s">
        <v>64</v>
      </c>
      <c r="AD169" s="2"/>
      <c r="AE169" s="3"/>
      <c r="AF169" s="3" t="s">
        <v>2104</v>
      </c>
      <c r="AG169" s="2"/>
      <c r="AH169" s="2" t="s">
        <v>113</v>
      </c>
      <c r="AI169" s="3" t="s">
        <v>2105</v>
      </c>
      <c r="AJ169" s="3" t="s">
        <v>2106</v>
      </c>
      <c r="AK169" s="2" t="n">
        <v>550775</v>
      </c>
      <c r="AL169" s="3" t="s">
        <v>2107</v>
      </c>
      <c r="AM169" s="2"/>
      <c r="AN169" s="2"/>
      <c r="AO169" s="3"/>
      <c r="AP169" s="3"/>
      <c r="AQ169" s="2"/>
    </row>
    <row r="170" customFormat="false" ht="23.85" hidden="false" customHeight="false" outlineLevel="0" collapsed="false">
      <c r="A170" s="2" t="n">
        <v>169</v>
      </c>
      <c r="B170" s="2" t="s">
        <v>2108</v>
      </c>
      <c r="C170" s="2" t="s">
        <v>2049</v>
      </c>
      <c r="D170" s="2" t="s">
        <v>2049</v>
      </c>
      <c r="E170" s="2" t="s">
        <v>2109</v>
      </c>
      <c r="F170" s="2" t="s">
        <v>2110</v>
      </c>
      <c r="G170" s="3" t="s">
        <v>2111</v>
      </c>
      <c r="H170" s="2" t="s">
        <v>2112</v>
      </c>
      <c r="I170" s="2" t="s">
        <v>123</v>
      </c>
      <c r="J170" s="3" t="s">
        <v>2113</v>
      </c>
      <c r="K170" s="2" t="s">
        <v>1552</v>
      </c>
      <c r="L170" s="2" t="s">
        <v>1553</v>
      </c>
      <c r="M170" s="2" t="s">
        <v>2112</v>
      </c>
      <c r="N170" s="2"/>
      <c r="O170" s="2" t="s">
        <v>53</v>
      </c>
      <c r="P170" s="2" t="n">
        <v>38.2259</v>
      </c>
      <c r="Q170" s="2" t="n">
        <v>28.208</v>
      </c>
      <c r="R170" s="2" t="s">
        <v>54</v>
      </c>
      <c r="S170" s="2" t="n">
        <v>54</v>
      </c>
      <c r="T170" s="2" t="s">
        <v>2114</v>
      </c>
      <c r="U170" s="2" t="s">
        <v>56</v>
      </c>
      <c r="V170" s="2" t="s">
        <v>57</v>
      </c>
      <c r="W170" s="2" t="s">
        <v>140</v>
      </c>
      <c r="X170" s="2" t="s">
        <v>289</v>
      </c>
      <c r="Y170" s="2"/>
      <c r="Z170" s="2" t="s">
        <v>170</v>
      </c>
      <c r="AA170" s="2"/>
      <c r="AB170" s="2" t="s">
        <v>63</v>
      </c>
      <c r="AC170" s="2" t="s">
        <v>64</v>
      </c>
      <c r="AD170" s="2"/>
      <c r="AE170" s="3"/>
      <c r="AF170" s="3" t="s">
        <v>2115</v>
      </c>
      <c r="AG170" s="2"/>
      <c r="AH170" s="2" t="s">
        <v>54</v>
      </c>
      <c r="AI170" s="3" t="s">
        <v>2116</v>
      </c>
      <c r="AJ170" s="3" t="s">
        <v>2117</v>
      </c>
      <c r="AK170" s="2" t="n">
        <v>550659</v>
      </c>
      <c r="AL170" s="3" t="s">
        <v>2118</v>
      </c>
      <c r="AM170" s="2"/>
      <c r="AN170" s="2"/>
      <c r="AO170" s="3"/>
      <c r="AP170" s="3"/>
      <c r="AQ170" s="2"/>
    </row>
    <row r="171" customFormat="false" ht="35.05" hidden="false" customHeight="false" outlineLevel="0" collapsed="false">
      <c r="A171" s="2" t="n">
        <v>170</v>
      </c>
      <c r="B171" s="2" t="s">
        <v>2119</v>
      </c>
      <c r="C171" s="2" t="s">
        <v>2049</v>
      </c>
      <c r="D171" s="2" t="s">
        <v>2049</v>
      </c>
      <c r="E171" s="2" t="s">
        <v>2120</v>
      </c>
      <c r="F171" s="2" t="s">
        <v>2121</v>
      </c>
      <c r="G171" s="3"/>
      <c r="H171" s="2" t="s">
        <v>2122</v>
      </c>
      <c r="I171" s="2" t="s">
        <v>123</v>
      </c>
      <c r="J171" s="3" t="s">
        <v>2123</v>
      </c>
      <c r="K171" s="2" t="s">
        <v>1552</v>
      </c>
      <c r="L171" s="2" t="s">
        <v>1553</v>
      </c>
      <c r="M171" s="2" t="s">
        <v>2122</v>
      </c>
      <c r="N171" s="2"/>
      <c r="O171" s="2" t="s">
        <v>53</v>
      </c>
      <c r="P171" s="2" t="n">
        <v>38.0852</v>
      </c>
      <c r="Q171" s="2" t="n">
        <v>28.2171</v>
      </c>
      <c r="R171" s="2" t="s">
        <v>95</v>
      </c>
      <c r="S171" s="2" t="n">
        <v>431</v>
      </c>
      <c r="T171" s="2" t="s">
        <v>2124</v>
      </c>
      <c r="U171" s="2" t="s">
        <v>56</v>
      </c>
      <c r="V171" s="2" t="s">
        <v>245</v>
      </c>
      <c r="W171" s="2" t="s">
        <v>304</v>
      </c>
      <c r="X171" s="2" t="s">
        <v>169</v>
      </c>
      <c r="Y171" s="2"/>
      <c r="Z171" s="2" t="s">
        <v>170</v>
      </c>
      <c r="AA171" s="2"/>
      <c r="AB171" s="2" t="s">
        <v>81</v>
      </c>
      <c r="AC171" s="2"/>
      <c r="AD171" s="2"/>
      <c r="AE171" s="3"/>
      <c r="AF171" s="3" t="s">
        <v>2125</v>
      </c>
      <c r="AG171" s="2"/>
      <c r="AH171" s="2" t="s">
        <v>113</v>
      </c>
      <c r="AI171" s="3" t="s">
        <v>2126</v>
      </c>
      <c r="AJ171" s="3" t="s">
        <v>2127</v>
      </c>
      <c r="AK171" s="2" t="n">
        <v>599846</v>
      </c>
      <c r="AL171" s="3" t="s">
        <v>2128</v>
      </c>
      <c r="AM171" s="2"/>
      <c r="AN171" s="2"/>
      <c r="AO171" s="3" t="s">
        <v>2129</v>
      </c>
      <c r="AP171" s="3" t="s">
        <v>2130</v>
      </c>
      <c r="AQ171" s="2" t="s">
        <v>106</v>
      </c>
    </row>
    <row r="172" customFormat="false" ht="35.05" hidden="false" customHeight="false" outlineLevel="0" collapsed="false">
      <c r="A172" s="2" t="n">
        <v>171</v>
      </c>
      <c r="B172" s="2" t="s">
        <v>2131</v>
      </c>
      <c r="C172" s="2" t="s">
        <v>2049</v>
      </c>
      <c r="D172" s="2" t="s">
        <v>2049</v>
      </c>
      <c r="E172" s="2" t="s">
        <v>2132</v>
      </c>
      <c r="F172" s="2" t="s">
        <v>2133</v>
      </c>
      <c r="G172" s="3" t="s">
        <v>2134</v>
      </c>
      <c r="H172" s="2"/>
      <c r="I172" s="2" t="s">
        <v>93</v>
      </c>
      <c r="J172" s="3" t="s">
        <v>2135</v>
      </c>
      <c r="K172" s="2" t="s">
        <v>1552</v>
      </c>
      <c r="L172" s="2" t="s">
        <v>1553</v>
      </c>
      <c r="M172" s="2"/>
      <c r="N172" s="2"/>
      <c r="O172" s="2"/>
      <c r="P172" s="2" t="n">
        <v>38.2</v>
      </c>
      <c r="Q172" s="2" t="n">
        <v>28.1</v>
      </c>
      <c r="R172" s="2" t="s">
        <v>637</v>
      </c>
      <c r="S172" s="2" t="n">
        <v>431</v>
      </c>
      <c r="T172" s="2" t="s">
        <v>2124</v>
      </c>
      <c r="U172" s="2" t="s">
        <v>56</v>
      </c>
      <c r="V172" s="2" t="s">
        <v>245</v>
      </c>
      <c r="W172" s="2" t="s">
        <v>304</v>
      </c>
      <c r="X172" s="2" t="s">
        <v>289</v>
      </c>
      <c r="Y172" s="2"/>
      <c r="Z172" s="2" t="s">
        <v>170</v>
      </c>
      <c r="AA172" s="2"/>
      <c r="AB172" s="2" t="s">
        <v>63</v>
      </c>
      <c r="AC172" s="2" t="s">
        <v>64</v>
      </c>
      <c r="AD172" s="2"/>
      <c r="AE172" s="3"/>
      <c r="AF172" s="3" t="s">
        <v>2136</v>
      </c>
      <c r="AG172" s="2"/>
      <c r="AH172" s="2" t="s">
        <v>113</v>
      </c>
      <c r="AI172" s="3" t="s">
        <v>2137</v>
      </c>
      <c r="AJ172" s="3" t="s">
        <v>2138</v>
      </c>
      <c r="AK172" s="2"/>
      <c r="AL172" s="3" t="s">
        <v>2139</v>
      </c>
      <c r="AM172" s="2"/>
      <c r="AN172" s="2"/>
      <c r="AO172" s="3"/>
      <c r="AP172" s="3"/>
      <c r="AQ172" s="2"/>
    </row>
    <row r="173" customFormat="false" ht="79.85" hidden="false" customHeight="false" outlineLevel="0" collapsed="false">
      <c r="A173" s="2" t="n">
        <v>172</v>
      </c>
      <c r="B173" s="2" t="s">
        <v>2140</v>
      </c>
      <c r="C173" s="2" t="s">
        <v>2049</v>
      </c>
      <c r="D173" s="2" t="s">
        <v>2049</v>
      </c>
      <c r="E173" s="2" t="s">
        <v>2141</v>
      </c>
      <c r="F173" s="2" t="s">
        <v>2142</v>
      </c>
      <c r="G173" s="3" t="s">
        <v>2143</v>
      </c>
      <c r="H173" s="2" t="s">
        <v>1724</v>
      </c>
      <c r="I173" s="2" t="s">
        <v>123</v>
      </c>
      <c r="J173" s="3" t="s">
        <v>2144</v>
      </c>
      <c r="K173" s="2" t="s">
        <v>1724</v>
      </c>
      <c r="L173" s="2" t="s">
        <v>1553</v>
      </c>
      <c r="M173" s="2" t="s">
        <v>2145</v>
      </c>
      <c r="N173" s="2" t="s">
        <v>63</v>
      </c>
      <c r="O173" s="2" t="s">
        <v>5</v>
      </c>
      <c r="P173" s="2" t="n">
        <v>38.6126</v>
      </c>
      <c r="Q173" s="2" t="n">
        <v>27.4334</v>
      </c>
      <c r="R173" s="2" t="s">
        <v>54</v>
      </c>
      <c r="S173" s="2" t="n">
        <v>-450</v>
      </c>
      <c r="T173" s="2" t="s">
        <v>915</v>
      </c>
      <c r="U173" s="2" t="s">
        <v>56</v>
      </c>
      <c r="V173" s="2" t="s">
        <v>78</v>
      </c>
      <c r="W173" s="2" t="s">
        <v>168</v>
      </c>
      <c r="X173" s="2" t="s">
        <v>901</v>
      </c>
      <c r="Y173" s="2" t="s">
        <v>2146</v>
      </c>
      <c r="Z173" s="2" t="s">
        <v>903</v>
      </c>
      <c r="AA173" s="2"/>
      <c r="AB173" s="2" t="s">
        <v>81</v>
      </c>
      <c r="AC173" s="2"/>
      <c r="AD173" s="2"/>
      <c r="AE173" s="3"/>
      <c r="AF173" s="3" t="s">
        <v>2147</v>
      </c>
      <c r="AG173" s="2"/>
      <c r="AH173" s="2" t="s">
        <v>54</v>
      </c>
      <c r="AI173" s="3" t="s">
        <v>2148</v>
      </c>
      <c r="AJ173" s="3" t="s">
        <v>2149</v>
      </c>
      <c r="AK173" s="2" t="n">
        <v>550706</v>
      </c>
      <c r="AL173" s="3" t="s">
        <v>2150</v>
      </c>
      <c r="AM173" s="2"/>
      <c r="AN173" s="2" t="s">
        <v>200</v>
      </c>
      <c r="AO173" s="3" t="s">
        <v>2151</v>
      </c>
      <c r="AP173" s="3" t="s">
        <v>2152</v>
      </c>
      <c r="AQ173" s="2" t="s">
        <v>151</v>
      </c>
    </row>
    <row r="174" customFormat="false" ht="35.05" hidden="false" customHeight="false" outlineLevel="0" collapsed="false">
      <c r="A174" s="2" t="n">
        <v>173</v>
      </c>
      <c r="B174" s="2" t="s">
        <v>2153</v>
      </c>
      <c r="C174" s="2" t="s">
        <v>2049</v>
      </c>
      <c r="D174" s="2" t="s">
        <v>2049</v>
      </c>
      <c r="E174" s="2" t="s">
        <v>2154</v>
      </c>
      <c r="F174" s="2" t="s">
        <v>2155</v>
      </c>
      <c r="G174" s="3"/>
      <c r="H174" s="2"/>
      <c r="I174" s="2" t="s">
        <v>93</v>
      </c>
      <c r="J174" s="3" t="s">
        <v>2156</v>
      </c>
      <c r="K174" s="2" t="s">
        <v>1724</v>
      </c>
      <c r="L174" s="2" t="s">
        <v>1553</v>
      </c>
      <c r="M174" s="2"/>
      <c r="N174" s="2"/>
      <c r="O174" s="2"/>
      <c r="P174" s="2" t="n">
        <v>38.5354</v>
      </c>
      <c r="Q174" s="2" t="n">
        <v>27.5473</v>
      </c>
      <c r="R174" s="2" t="s">
        <v>95</v>
      </c>
      <c r="S174" s="2" t="n">
        <v>-150</v>
      </c>
      <c r="T174" s="2" t="s">
        <v>2075</v>
      </c>
      <c r="U174" s="2" t="s">
        <v>56</v>
      </c>
      <c r="V174" s="2" t="s">
        <v>78</v>
      </c>
      <c r="W174" s="2" t="s">
        <v>195</v>
      </c>
      <c r="X174" s="2" t="s">
        <v>289</v>
      </c>
      <c r="Y174" s="2"/>
      <c r="Z174" s="2" t="s">
        <v>170</v>
      </c>
      <c r="AA174" s="2"/>
      <c r="AB174" s="2" t="s">
        <v>63</v>
      </c>
      <c r="AC174" s="2" t="s">
        <v>64</v>
      </c>
      <c r="AD174" s="2"/>
      <c r="AE174" s="3"/>
      <c r="AF174" s="3" t="s">
        <v>2157</v>
      </c>
      <c r="AG174" s="2"/>
      <c r="AH174" s="2" t="s">
        <v>113</v>
      </c>
      <c r="AI174" s="3" t="s">
        <v>2158</v>
      </c>
      <c r="AJ174" s="3" t="s">
        <v>2159</v>
      </c>
      <c r="AK174" s="2" t="n">
        <v>550752</v>
      </c>
      <c r="AL174" s="3" t="s">
        <v>2160</v>
      </c>
      <c r="AM174" s="2"/>
      <c r="AN174" s="2"/>
      <c r="AO174" s="3"/>
      <c r="AP174" s="3"/>
      <c r="AQ174" s="2"/>
    </row>
    <row r="175" customFormat="false" ht="35.05" hidden="false" customHeight="false" outlineLevel="0" collapsed="false">
      <c r="A175" s="2" t="n">
        <v>174</v>
      </c>
      <c r="B175" s="2" t="s">
        <v>2161</v>
      </c>
      <c r="C175" s="2" t="s">
        <v>2049</v>
      </c>
      <c r="D175" s="2" t="s">
        <v>2049</v>
      </c>
      <c r="E175" s="2" t="s">
        <v>2162</v>
      </c>
      <c r="F175" s="2" t="s">
        <v>2163</v>
      </c>
      <c r="G175" s="3" t="s">
        <v>2164</v>
      </c>
      <c r="H175" s="2"/>
      <c r="I175" s="2" t="s">
        <v>74</v>
      </c>
      <c r="J175" s="3" t="s">
        <v>2165</v>
      </c>
      <c r="K175" s="2" t="s">
        <v>1724</v>
      </c>
      <c r="L175" s="2" t="s">
        <v>1553</v>
      </c>
      <c r="M175" s="2"/>
      <c r="N175" s="2"/>
      <c r="O175" s="2"/>
      <c r="P175" s="2" t="n">
        <v>38.6675</v>
      </c>
      <c r="Q175" s="2" t="n">
        <v>27.6671</v>
      </c>
      <c r="R175" s="2" t="s">
        <v>95</v>
      </c>
      <c r="S175" s="2" t="n">
        <v>-280</v>
      </c>
      <c r="T175" s="2" t="s">
        <v>2166</v>
      </c>
      <c r="U175" s="2" t="s">
        <v>139</v>
      </c>
      <c r="V175" s="2" t="s">
        <v>78</v>
      </c>
      <c r="W175" s="2" t="s">
        <v>195</v>
      </c>
      <c r="X175" s="2" t="s">
        <v>246</v>
      </c>
      <c r="Y175" s="2" t="s">
        <v>2167</v>
      </c>
      <c r="Z175" s="2" t="s">
        <v>2168</v>
      </c>
      <c r="AA175" s="2"/>
      <c r="AB175" s="2" t="s">
        <v>63</v>
      </c>
      <c r="AC175" s="2" t="s">
        <v>64</v>
      </c>
      <c r="AD175" s="2"/>
      <c r="AE175" s="3"/>
      <c r="AF175" s="3" t="s">
        <v>2169</v>
      </c>
      <c r="AG175" s="2"/>
      <c r="AH175" s="2" t="s">
        <v>113</v>
      </c>
      <c r="AI175" s="3" t="s">
        <v>2170</v>
      </c>
      <c r="AJ175" s="3" t="s">
        <v>2171</v>
      </c>
      <c r="AK175" s="2" t="n">
        <v>550588</v>
      </c>
      <c r="AL175" s="3" t="s">
        <v>2172</v>
      </c>
      <c r="AM175" s="2"/>
      <c r="AN175" s="2"/>
      <c r="AO175" s="3"/>
      <c r="AP175" s="3"/>
      <c r="AQ175" s="2"/>
    </row>
    <row r="176" customFormat="false" ht="35.05" hidden="false" customHeight="false" outlineLevel="0" collapsed="false">
      <c r="A176" s="2" t="n">
        <v>175</v>
      </c>
      <c r="B176" s="2" t="s">
        <v>2173</v>
      </c>
      <c r="C176" s="2" t="s">
        <v>2049</v>
      </c>
      <c r="D176" s="2" t="s">
        <v>2049</v>
      </c>
      <c r="E176" s="2" t="s">
        <v>2174</v>
      </c>
      <c r="F176" s="2" t="s">
        <v>2175</v>
      </c>
      <c r="G176" s="3" t="s">
        <v>2176</v>
      </c>
      <c r="H176" s="2"/>
      <c r="I176" s="2" t="s">
        <v>74</v>
      </c>
      <c r="J176" s="3" t="s">
        <v>2177</v>
      </c>
      <c r="K176" s="2" t="s">
        <v>1724</v>
      </c>
      <c r="L176" s="2" t="s">
        <v>1553</v>
      </c>
      <c r="M176" s="2"/>
      <c r="N176" s="2"/>
      <c r="O176" s="2"/>
      <c r="P176" s="2" t="n">
        <v>38.4762</v>
      </c>
      <c r="Q176" s="2" t="n">
        <v>27.8778</v>
      </c>
      <c r="R176" s="2" t="s">
        <v>95</v>
      </c>
      <c r="S176" s="2" t="n">
        <v>17</v>
      </c>
      <c r="T176" s="2" t="s">
        <v>2178</v>
      </c>
      <c r="U176" s="2" t="s">
        <v>56</v>
      </c>
      <c r="V176" s="2" t="s">
        <v>245</v>
      </c>
      <c r="W176" s="2" t="s">
        <v>140</v>
      </c>
      <c r="X176" s="2" t="s">
        <v>289</v>
      </c>
      <c r="Y176" s="2"/>
      <c r="Z176" s="2" t="s">
        <v>170</v>
      </c>
      <c r="AA176" s="2"/>
      <c r="AB176" s="2" t="s">
        <v>63</v>
      </c>
      <c r="AC176" s="2" t="s">
        <v>64</v>
      </c>
      <c r="AD176" s="2"/>
      <c r="AE176" s="3"/>
      <c r="AF176" s="3" t="s">
        <v>2179</v>
      </c>
      <c r="AG176" s="2"/>
      <c r="AH176" s="2" t="s">
        <v>113</v>
      </c>
      <c r="AI176" s="3" t="s">
        <v>2180</v>
      </c>
      <c r="AJ176" s="3" t="s">
        <v>2181</v>
      </c>
      <c r="AK176" s="2" t="n">
        <v>550936</v>
      </c>
      <c r="AL176" s="3" t="s">
        <v>2182</v>
      </c>
      <c r="AM176" s="2"/>
      <c r="AN176" s="2"/>
      <c r="AO176" s="3"/>
      <c r="AP176" s="3"/>
      <c r="AQ176" s="2"/>
    </row>
    <row r="177" customFormat="false" ht="35.05" hidden="false" customHeight="false" outlineLevel="0" collapsed="false">
      <c r="A177" s="2" t="n">
        <v>176</v>
      </c>
      <c r="B177" s="2" t="s">
        <v>2183</v>
      </c>
      <c r="C177" s="2" t="s">
        <v>2049</v>
      </c>
      <c r="D177" s="2" t="s">
        <v>2049</v>
      </c>
      <c r="E177" s="2" t="s">
        <v>2184</v>
      </c>
      <c r="F177" s="2" t="s">
        <v>2185</v>
      </c>
      <c r="G177" s="3" t="s">
        <v>2186</v>
      </c>
      <c r="H177" s="2" t="s">
        <v>2187</v>
      </c>
      <c r="I177" s="2" t="s">
        <v>49</v>
      </c>
      <c r="J177" s="3" t="s">
        <v>2188</v>
      </c>
      <c r="K177" s="2" t="s">
        <v>1724</v>
      </c>
      <c r="L177" s="2" t="s">
        <v>1553</v>
      </c>
      <c r="M177" s="2"/>
      <c r="N177" s="2"/>
      <c r="O177" s="2" t="s">
        <v>422</v>
      </c>
      <c r="P177" s="2" t="n">
        <v>38.4883</v>
      </c>
      <c r="Q177" s="2" t="n">
        <v>28.0403</v>
      </c>
      <c r="R177" s="2" t="s">
        <v>54</v>
      </c>
      <c r="S177" s="2" t="n">
        <v>-250</v>
      </c>
      <c r="T177" s="2" t="s">
        <v>2189</v>
      </c>
      <c r="U177" s="2" t="s">
        <v>56</v>
      </c>
      <c r="V177" s="2" t="s">
        <v>57</v>
      </c>
      <c r="W177" s="2" t="s">
        <v>195</v>
      </c>
      <c r="X177" s="2" t="s">
        <v>289</v>
      </c>
      <c r="Y177" s="2"/>
      <c r="Z177" s="2" t="s">
        <v>170</v>
      </c>
      <c r="AA177" s="2"/>
      <c r="AB177" s="2" t="s">
        <v>63</v>
      </c>
      <c r="AC177" s="2" t="s">
        <v>452</v>
      </c>
      <c r="AD177" s="2" t="s">
        <v>2190</v>
      </c>
      <c r="AE177" s="3" t="s">
        <v>2191</v>
      </c>
      <c r="AF177" s="3" t="s">
        <v>2192</v>
      </c>
      <c r="AG177" s="2"/>
      <c r="AH177" s="2" t="s">
        <v>54</v>
      </c>
      <c r="AI177" s="3" t="s">
        <v>2193</v>
      </c>
      <c r="AJ177" s="3" t="s">
        <v>2194</v>
      </c>
      <c r="AK177" s="2" t="n">
        <v>550867</v>
      </c>
      <c r="AL177" s="3" t="s">
        <v>2195</v>
      </c>
      <c r="AM177" s="2"/>
      <c r="AN177" s="2" t="s">
        <v>200</v>
      </c>
      <c r="AO177" s="3"/>
      <c r="AP177" s="3"/>
      <c r="AQ177" s="2"/>
    </row>
    <row r="178" customFormat="false" ht="35.05" hidden="false" customHeight="false" outlineLevel="0" collapsed="false">
      <c r="A178" s="2" t="n">
        <v>177</v>
      </c>
      <c r="B178" s="2" t="s">
        <v>2196</v>
      </c>
      <c r="C178" s="2" t="s">
        <v>2049</v>
      </c>
      <c r="D178" s="2" t="s">
        <v>2049</v>
      </c>
      <c r="E178" s="2" t="s">
        <v>2197</v>
      </c>
      <c r="F178" s="2" t="s">
        <v>2198</v>
      </c>
      <c r="G178" s="3" t="s">
        <v>2199</v>
      </c>
      <c r="H178" s="2"/>
      <c r="I178" s="2" t="s">
        <v>93</v>
      </c>
      <c r="J178" s="3" t="s">
        <v>2200</v>
      </c>
      <c r="K178" s="2" t="s">
        <v>1724</v>
      </c>
      <c r="L178" s="2" t="s">
        <v>1553</v>
      </c>
      <c r="M178" s="2"/>
      <c r="N178" s="2"/>
      <c r="O178" s="2"/>
      <c r="P178" s="2" t="n">
        <v>38.4</v>
      </c>
      <c r="Q178" s="2" t="n">
        <v>28.2</v>
      </c>
      <c r="R178" s="2" t="s">
        <v>637</v>
      </c>
      <c r="S178" s="2" t="n">
        <v>527</v>
      </c>
      <c r="T178" s="2" t="s">
        <v>330</v>
      </c>
      <c r="U178" s="2" t="s">
        <v>56</v>
      </c>
      <c r="V178" s="2" t="s">
        <v>97</v>
      </c>
      <c r="W178" s="2" t="s">
        <v>304</v>
      </c>
      <c r="X178" s="2" t="s">
        <v>169</v>
      </c>
      <c r="Y178" s="2"/>
      <c r="Z178" s="2" t="s">
        <v>170</v>
      </c>
      <c r="AA178" s="2"/>
      <c r="AB178" s="2" t="s">
        <v>81</v>
      </c>
      <c r="AC178" s="2"/>
      <c r="AD178" s="2"/>
      <c r="AE178" s="3"/>
      <c r="AF178" s="3" t="s">
        <v>2201</v>
      </c>
      <c r="AG178" s="2"/>
      <c r="AH178" s="2" t="s">
        <v>263</v>
      </c>
      <c r="AI178" s="3" t="s">
        <v>2202</v>
      </c>
      <c r="AJ178" s="3" t="s">
        <v>2203</v>
      </c>
      <c r="AK178" s="2"/>
      <c r="AL178" s="3" t="s">
        <v>2204</v>
      </c>
      <c r="AM178" s="2"/>
      <c r="AN178" s="2"/>
      <c r="AO178" s="3" t="s">
        <v>2205</v>
      </c>
      <c r="AP178" s="3" t="s">
        <v>2206</v>
      </c>
      <c r="AQ178" s="2" t="s">
        <v>106</v>
      </c>
    </row>
    <row r="179" customFormat="false" ht="102.2" hidden="false" customHeight="false" outlineLevel="0" collapsed="false">
      <c r="A179" s="2" t="n">
        <v>178</v>
      </c>
      <c r="B179" s="2" t="s">
        <v>2207</v>
      </c>
      <c r="C179" s="2" t="s">
        <v>2049</v>
      </c>
      <c r="D179" s="2" t="s">
        <v>2049</v>
      </c>
      <c r="E179" s="2" t="s">
        <v>2208</v>
      </c>
      <c r="F179" s="2" t="s">
        <v>2209</v>
      </c>
      <c r="G179" s="3" t="s">
        <v>2210</v>
      </c>
      <c r="H179" s="2" t="s">
        <v>2211</v>
      </c>
      <c r="I179" s="2" t="s">
        <v>123</v>
      </c>
      <c r="J179" s="3" t="s">
        <v>2212</v>
      </c>
      <c r="K179" s="2" t="s">
        <v>1724</v>
      </c>
      <c r="L179" s="2" t="s">
        <v>1553</v>
      </c>
      <c r="M179" s="2" t="s">
        <v>2211</v>
      </c>
      <c r="N179" s="2"/>
      <c r="O179" s="2" t="s">
        <v>53</v>
      </c>
      <c r="P179" s="2" t="n">
        <v>38.3504</v>
      </c>
      <c r="Q179" s="2" t="n">
        <v>28.5166</v>
      </c>
      <c r="R179" s="2" t="s">
        <v>54</v>
      </c>
      <c r="S179" s="2" t="n">
        <v>-189</v>
      </c>
      <c r="T179" s="2" t="s">
        <v>2213</v>
      </c>
      <c r="U179" s="2" t="s">
        <v>139</v>
      </c>
      <c r="V179" s="2" t="s">
        <v>97</v>
      </c>
      <c r="W179" s="2" t="s">
        <v>195</v>
      </c>
      <c r="X179" s="2" t="s">
        <v>246</v>
      </c>
      <c r="Y179" s="2" t="s">
        <v>2214</v>
      </c>
      <c r="Z179" s="2" t="s">
        <v>2215</v>
      </c>
      <c r="AA179" s="2"/>
      <c r="AB179" s="2" t="s">
        <v>81</v>
      </c>
      <c r="AC179" s="2"/>
      <c r="AD179" s="2"/>
      <c r="AE179" s="3"/>
      <c r="AF179" s="3" t="s">
        <v>2216</v>
      </c>
      <c r="AG179" s="2"/>
      <c r="AH179" s="2" t="s">
        <v>54</v>
      </c>
      <c r="AI179" s="3" t="s">
        <v>2217</v>
      </c>
      <c r="AJ179" s="3" t="s">
        <v>2218</v>
      </c>
      <c r="AK179" s="2" t="n">
        <v>550822</v>
      </c>
      <c r="AL179" s="3" t="s">
        <v>2219</v>
      </c>
      <c r="AM179" s="2"/>
      <c r="AN179" s="2"/>
      <c r="AO179" s="3" t="s">
        <v>2220</v>
      </c>
      <c r="AP179" s="3" t="s">
        <v>2221</v>
      </c>
      <c r="AQ179" s="2" t="s">
        <v>151</v>
      </c>
    </row>
    <row r="180" customFormat="false" ht="46.25" hidden="false" customHeight="false" outlineLevel="0" collapsed="false">
      <c r="A180" s="2" t="n">
        <v>179</v>
      </c>
      <c r="B180" s="2" t="s">
        <v>2222</v>
      </c>
      <c r="C180" s="2" t="s">
        <v>2049</v>
      </c>
      <c r="D180" s="2" t="s">
        <v>2049</v>
      </c>
      <c r="E180" s="2" t="s">
        <v>2223</v>
      </c>
      <c r="F180" s="2" t="s">
        <v>2224</v>
      </c>
      <c r="G180" s="3" t="s">
        <v>2225</v>
      </c>
      <c r="H180" s="2"/>
      <c r="I180" s="2" t="s">
        <v>74</v>
      </c>
      <c r="J180" s="3" t="s">
        <v>2226</v>
      </c>
      <c r="K180" s="2" t="s">
        <v>1724</v>
      </c>
      <c r="L180" s="2" t="s">
        <v>1553</v>
      </c>
      <c r="M180" s="2"/>
      <c r="N180" s="2"/>
      <c r="O180" s="2"/>
      <c r="P180" s="2" t="n">
        <v>38.7569</v>
      </c>
      <c r="Q180" s="2" t="n">
        <v>27.7877</v>
      </c>
      <c r="R180" s="2" t="s">
        <v>54</v>
      </c>
      <c r="S180" s="2" t="n">
        <v>17</v>
      </c>
      <c r="T180" s="2" t="s">
        <v>2178</v>
      </c>
      <c r="U180" s="2" t="s">
        <v>56</v>
      </c>
      <c r="V180" s="2" t="s">
        <v>245</v>
      </c>
      <c r="W180" s="2" t="s">
        <v>140</v>
      </c>
      <c r="X180" s="2" t="s">
        <v>289</v>
      </c>
      <c r="Y180" s="2"/>
      <c r="Z180" s="2" t="s">
        <v>170</v>
      </c>
      <c r="AA180" s="2"/>
      <c r="AB180" s="2" t="s">
        <v>63</v>
      </c>
      <c r="AC180" s="2" t="s">
        <v>64</v>
      </c>
      <c r="AD180" s="2"/>
      <c r="AE180" s="3"/>
      <c r="AF180" s="3" t="s">
        <v>2227</v>
      </c>
      <c r="AG180" s="2"/>
      <c r="AH180" s="2" t="s">
        <v>54</v>
      </c>
      <c r="AI180" s="3" t="s">
        <v>2228</v>
      </c>
      <c r="AJ180" s="3" t="s">
        <v>2229</v>
      </c>
      <c r="AK180" s="2" t="n">
        <v>550578</v>
      </c>
      <c r="AL180" s="3" t="s">
        <v>2230</v>
      </c>
      <c r="AM180" s="2"/>
      <c r="AN180" s="2"/>
      <c r="AO180" s="3"/>
      <c r="AP180" s="3"/>
      <c r="AQ180" s="2"/>
    </row>
    <row r="181" customFormat="false" ht="46.25" hidden="false" customHeight="false" outlineLevel="0" collapsed="false">
      <c r="A181" s="2" t="n">
        <v>180</v>
      </c>
      <c r="B181" s="2" t="s">
        <v>2231</v>
      </c>
      <c r="C181" s="2" t="s">
        <v>2049</v>
      </c>
      <c r="D181" s="2" t="s">
        <v>2049</v>
      </c>
      <c r="E181" s="2" t="s">
        <v>2232</v>
      </c>
      <c r="F181" s="2" t="s">
        <v>2233</v>
      </c>
      <c r="G181" s="3" t="s">
        <v>2234</v>
      </c>
      <c r="H181" s="2" t="s">
        <v>2235</v>
      </c>
      <c r="I181" s="2" t="s">
        <v>123</v>
      </c>
      <c r="J181" s="3" t="s">
        <v>2236</v>
      </c>
      <c r="K181" s="2" t="s">
        <v>1724</v>
      </c>
      <c r="L181" s="2" t="s">
        <v>1553</v>
      </c>
      <c r="M181" s="2" t="s">
        <v>2235</v>
      </c>
      <c r="N181" s="2"/>
      <c r="O181" s="2" t="s">
        <v>53</v>
      </c>
      <c r="P181" s="2" t="n">
        <v>38.92</v>
      </c>
      <c r="Q181" s="2" t="n">
        <v>27.8362</v>
      </c>
      <c r="R181" s="2" t="s">
        <v>54</v>
      </c>
      <c r="S181" s="2" t="n">
        <v>-281</v>
      </c>
      <c r="T181" s="2" t="s">
        <v>2237</v>
      </c>
      <c r="U181" s="2" t="s">
        <v>139</v>
      </c>
      <c r="V181" s="2" t="s">
        <v>57</v>
      </c>
      <c r="W181" s="2" t="s">
        <v>195</v>
      </c>
      <c r="X181" s="2" t="s">
        <v>246</v>
      </c>
      <c r="Y181" s="2" t="s">
        <v>2238</v>
      </c>
      <c r="Z181" s="2" t="s">
        <v>2168</v>
      </c>
      <c r="AA181" s="2"/>
      <c r="AB181" s="2" t="s">
        <v>63</v>
      </c>
      <c r="AC181" s="2" t="s">
        <v>452</v>
      </c>
      <c r="AD181" s="2"/>
      <c r="AE181" s="3"/>
      <c r="AF181" s="3" t="s">
        <v>2239</v>
      </c>
      <c r="AG181" s="2"/>
      <c r="AH181" s="2" t="s">
        <v>54</v>
      </c>
      <c r="AI181" s="3" t="s">
        <v>2240</v>
      </c>
      <c r="AJ181" s="3" t="s">
        <v>2241</v>
      </c>
      <c r="AK181" s="2" t="n">
        <v>550924</v>
      </c>
      <c r="AL181" s="3" t="s">
        <v>2242</v>
      </c>
      <c r="AM181" s="2"/>
      <c r="AN181" s="2"/>
      <c r="AO181" s="3"/>
      <c r="AP181" s="3"/>
      <c r="AQ181" s="2"/>
    </row>
    <row r="182" customFormat="false" ht="79.85" hidden="false" customHeight="false" outlineLevel="0" collapsed="false">
      <c r="A182" s="2" t="n">
        <v>181</v>
      </c>
      <c r="B182" s="2" t="s">
        <v>2243</v>
      </c>
      <c r="C182" s="2" t="s">
        <v>2049</v>
      </c>
      <c r="D182" s="2" t="s">
        <v>2049</v>
      </c>
      <c r="E182" s="2" t="s">
        <v>2244</v>
      </c>
      <c r="F182" s="2" t="s">
        <v>2245</v>
      </c>
      <c r="G182" s="3"/>
      <c r="H182" s="2"/>
      <c r="I182" s="2" t="s">
        <v>74</v>
      </c>
      <c r="J182" s="3" t="s">
        <v>2246</v>
      </c>
      <c r="K182" s="2" t="s">
        <v>1724</v>
      </c>
      <c r="L182" s="2" t="s">
        <v>1553</v>
      </c>
      <c r="M182" s="2"/>
      <c r="N182" s="2"/>
      <c r="O182" s="2"/>
      <c r="P182" s="2" t="n">
        <v>38.913</v>
      </c>
      <c r="Q182" s="2" t="n">
        <v>27.67</v>
      </c>
      <c r="R182" s="2" t="s">
        <v>54</v>
      </c>
      <c r="S182" s="2" t="n">
        <v>-180</v>
      </c>
      <c r="T182" s="2" t="s">
        <v>2247</v>
      </c>
      <c r="U182" s="2" t="s">
        <v>139</v>
      </c>
      <c r="V182" s="2" t="s">
        <v>78</v>
      </c>
      <c r="W182" s="2" t="s">
        <v>195</v>
      </c>
      <c r="X182" s="2" t="s">
        <v>246</v>
      </c>
      <c r="Y182" s="2" t="s">
        <v>2248</v>
      </c>
      <c r="Z182" s="2" t="s">
        <v>2215</v>
      </c>
      <c r="AA182" s="2"/>
      <c r="AB182" s="2" t="s">
        <v>63</v>
      </c>
      <c r="AC182" s="2" t="s">
        <v>77</v>
      </c>
      <c r="AD182" s="2"/>
      <c r="AE182" s="3"/>
      <c r="AF182" s="3" t="s">
        <v>2249</v>
      </c>
      <c r="AG182" s="2"/>
      <c r="AH182" s="2" t="s">
        <v>54</v>
      </c>
      <c r="AI182" s="3" t="s">
        <v>2250</v>
      </c>
      <c r="AJ182" s="3" t="s">
        <v>2251</v>
      </c>
      <c r="AK182" s="2" t="n">
        <v>550444</v>
      </c>
      <c r="AL182" s="3" t="s">
        <v>2252</v>
      </c>
      <c r="AM182" s="2"/>
      <c r="AN182" s="2"/>
      <c r="AO182" s="3" t="s">
        <v>2253</v>
      </c>
      <c r="AP182" s="3" t="s">
        <v>2254</v>
      </c>
      <c r="AQ182" s="2" t="s">
        <v>89</v>
      </c>
    </row>
    <row r="183" customFormat="false" ht="35.05" hidden="false" customHeight="false" outlineLevel="0" collapsed="false">
      <c r="A183" s="2" t="n">
        <v>182</v>
      </c>
      <c r="B183" s="2" t="s">
        <v>2255</v>
      </c>
      <c r="C183" s="2" t="s">
        <v>2049</v>
      </c>
      <c r="D183" s="2" t="s">
        <v>2049</v>
      </c>
      <c r="E183" s="2" t="s">
        <v>2256</v>
      </c>
      <c r="F183" s="2" t="s">
        <v>2257</v>
      </c>
      <c r="G183" s="3" t="s">
        <v>2258</v>
      </c>
      <c r="H183" s="2"/>
      <c r="I183" s="2" t="s">
        <v>93</v>
      </c>
      <c r="J183" s="3" t="s">
        <v>2259</v>
      </c>
      <c r="K183" s="2" t="s">
        <v>1724</v>
      </c>
      <c r="L183" s="2" t="s">
        <v>1553</v>
      </c>
      <c r="M183" s="2"/>
      <c r="N183" s="2"/>
      <c r="O183" s="2"/>
      <c r="P183" s="2" t="n">
        <v>38.9215</v>
      </c>
      <c r="Q183" s="2" t="n">
        <v>27.615</v>
      </c>
      <c r="R183" s="2" t="s">
        <v>95</v>
      </c>
      <c r="S183" s="2" t="n">
        <v>100</v>
      </c>
      <c r="T183" s="2" t="s">
        <v>2260</v>
      </c>
      <c r="U183" s="2" t="s">
        <v>56</v>
      </c>
      <c r="V183" s="2" t="s">
        <v>78</v>
      </c>
      <c r="W183" s="2" t="s">
        <v>140</v>
      </c>
      <c r="X183" s="2" t="s">
        <v>169</v>
      </c>
      <c r="Y183" s="2"/>
      <c r="Z183" s="2" t="s">
        <v>170</v>
      </c>
      <c r="AA183" s="2"/>
      <c r="AB183" s="2" t="s">
        <v>81</v>
      </c>
      <c r="AC183" s="2"/>
      <c r="AD183" s="2"/>
      <c r="AE183" s="3"/>
      <c r="AF183" s="3" t="s">
        <v>2261</v>
      </c>
      <c r="AG183" s="2"/>
      <c r="AH183" s="2" t="s">
        <v>113</v>
      </c>
      <c r="AI183" s="3" t="s">
        <v>2262</v>
      </c>
      <c r="AJ183" s="3" t="s">
        <v>2263</v>
      </c>
      <c r="AK183" s="2" t="n">
        <v>550574</v>
      </c>
      <c r="AL183" s="3" t="s">
        <v>2264</v>
      </c>
      <c r="AM183" s="2"/>
      <c r="AN183" s="2"/>
      <c r="AO183" s="3" t="s">
        <v>2265</v>
      </c>
      <c r="AP183" s="3" t="s">
        <v>2266</v>
      </c>
      <c r="AQ183" s="2" t="s">
        <v>106</v>
      </c>
    </row>
    <row r="184" customFormat="false" ht="46.25" hidden="false" customHeight="false" outlineLevel="0" collapsed="false">
      <c r="A184" s="2" t="n">
        <v>183</v>
      </c>
      <c r="B184" s="2" t="s">
        <v>2267</v>
      </c>
      <c r="C184" s="2" t="s">
        <v>2049</v>
      </c>
      <c r="D184" s="2" t="s">
        <v>2049</v>
      </c>
      <c r="E184" s="2" t="s">
        <v>2268</v>
      </c>
      <c r="F184" s="2" t="s">
        <v>2269</v>
      </c>
      <c r="G184" s="3" t="s">
        <v>2270</v>
      </c>
      <c r="H184" s="2"/>
      <c r="I184" s="2" t="s">
        <v>74</v>
      </c>
      <c r="J184" s="3" t="s">
        <v>2271</v>
      </c>
      <c r="K184" s="2" t="s">
        <v>1724</v>
      </c>
      <c r="L184" s="2" t="s">
        <v>1553</v>
      </c>
      <c r="M184" s="2"/>
      <c r="N184" s="2"/>
      <c r="O184" s="2"/>
      <c r="P184" s="2" t="n">
        <v>39.0839</v>
      </c>
      <c r="Q184" s="2" t="n">
        <v>27.7237</v>
      </c>
      <c r="R184" s="2" t="s">
        <v>95</v>
      </c>
      <c r="S184" s="2" t="n">
        <v>-200</v>
      </c>
      <c r="T184" s="2" t="s">
        <v>194</v>
      </c>
      <c r="U184" s="2" t="s">
        <v>56</v>
      </c>
      <c r="V184" s="2" t="s">
        <v>78</v>
      </c>
      <c r="W184" s="2" t="s">
        <v>195</v>
      </c>
      <c r="X184" s="2" t="s">
        <v>246</v>
      </c>
      <c r="Y184" s="2" t="s">
        <v>2272</v>
      </c>
      <c r="Z184" s="2" t="s">
        <v>2168</v>
      </c>
      <c r="AA184" s="2"/>
      <c r="AB184" s="2" t="s">
        <v>63</v>
      </c>
      <c r="AC184" s="2" t="s">
        <v>77</v>
      </c>
      <c r="AD184" s="2"/>
      <c r="AE184" s="3"/>
      <c r="AF184" s="3" t="s">
        <v>2273</v>
      </c>
      <c r="AG184" s="2"/>
      <c r="AH184" s="2" t="s">
        <v>113</v>
      </c>
      <c r="AI184" s="3" t="s">
        <v>2274</v>
      </c>
      <c r="AJ184" s="3" t="s">
        <v>2275</v>
      </c>
      <c r="AK184" s="2" t="n">
        <v>550767</v>
      </c>
      <c r="AL184" s="3" t="s">
        <v>2276</v>
      </c>
      <c r="AM184" s="2"/>
      <c r="AN184" s="2"/>
      <c r="AO184" s="3"/>
      <c r="AP184" s="3"/>
      <c r="AQ184" s="2"/>
    </row>
    <row r="185" customFormat="false" ht="35.05" hidden="false" customHeight="false" outlineLevel="0" collapsed="false">
      <c r="A185" s="2" t="n">
        <v>184</v>
      </c>
      <c r="B185" s="2" t="s">
        <v>2277</v>
      </c>
      <c r="C185" s="2" t="s">
        <v>2049</v>
      </c>
      <c r="D185" s="2" t="s">
        <v>2049</v>
      </c>
      <c r="E185" s="2" t="s">
        <v>2278</v>
      </c>
      <c r="F185" s="2" t="s">
        <v>2279</v>
      </c>
      <c r="G185" s="3" t="s">
        <v>2280</v>
      </c>
      <c r="H185" s="2"/>
      <c r="I185" s="2" t="s">
        <v>93</v>
      </c>
      <c r="J185" s="3" t="s">
        <v>2281</v>
      </c>
      <c r="K185" s="2" t="s">
        <v>1724</v>
      </c>
      <c r="L185" s="2" t="s">
        <v>1553</v>
      </c>
      <c r="M185" s="2"/>
      <c r="N185" s="2"/>
      <c r="O185" s="2"/>
      <c r="P185" s="2" t="n">
        <v>39.1</v>
      </c>
      <c r="Q185" s="2" t="n">
        <v>27.7</v>
      </c>
      <c r="R185" s="2" t="s">
        <v>637</v>
      </c>
      <c r="S185" s="2" t="n">
        <v>100</v>
      </c>
      <c r="T185" s="2" t="s">
        <v>2260</v>
      </c>
      <c r="U185" s="2" t="s">
        <v>56</v>
      </c>
      <c r="V185" s="2" t="s">
        <v>78</v>
      </c>
      <c r="W185" s="2" t="s">
        <v>140</v>
      </c>
      <c r="X185" s="2" t="s">
        <v>289</v>
      </c>
      <c r="Y185" s="2"/>
      <c r="Z185" s="2" t="s">
        <v>170</v>
      </c>
      <c r="AA185" s="2"/>
      <c r="AB185" s="2" t="s">
        <v>63</v>
      </c>
      <c r="AC185" s="2" t="s">
        <v>64</v>
      </c>
      <c r="AD185" s="2"/>
      <c r="AE185" s="3"/>
      <c r="AF185" s="3" t="s">
        <v>2282</v>
      </c>
      <c r="AG185" s="2"/>
      <c r="AH185" s="2" t="s">
        <v>113</v>
      </c>
      <c r="AI185" s="3" t="s">
        <v>2283</v>
      </c>
      <c r="AJ185" s="3" t="s">
        <v>2284</v>
      </c>
      <c r="AK185" s="2"/>
      <c r="AL185" s="3" t="s">
        <v>2285</v>
      </c>
      <c r="AM185" s="2"/>
      <c r="AN185" s="2"/>
      <c r="AO185" s="3"/>
      <c r="AP185" s="3"/>
      <c r="AQ185" s="2"/>
    </row>
    <row r="186" customFormat="false" ht="35.05" hidden="false" customHeight="false" outlineLevel="0" collapsed="false">
      <c r="A186" s="2" t="n">
        <v>185</v>
      </c>
      <c r="B186" s="2" t="s">
        <v>2286</v>
      </c>
      <c r="C186" s="2" t="s">
        <v>2049</v>
      </c>
      <c r="D186" s="2" t="s">
        <v>2049</v>
      </c>
      <c r="E186" s="2" t="s">
        <v>2287</v>
      </c>
      <c r="F186" s="2" t="s">
        <v>2288</v>
      </c>
      <c r="G186" s="3" t="s">
        <v>2289</v>
      </c>
      <c r="H186" s="2"/>
      <c r="I186" s="2" t="s">
        <v>74</v>
      </c>
      <c r="J186" s="3" t="s">
        <v>2290</v>
      </c>
      <c r="K186" s="2" t="s">
        <v>1724</v>
      </c>
      <c r="L186" s="2" t="s">
        <v>1553</v>
      </c>
      <c r="M186" s="2"/>
      <c r="N186" s="2"/>
      <c r="O186" s="2"/>
      <c r="P186" s="2" t="n">
        <v>39.0714</v>
      </c>
      <c r="Q186" s="2" t="n">
        <v>27.891</v>
      </c>
      <c r="R186" s="2" t="s">
        <v>95</v>
      </c>
      <c r="S186" s="2" t="n">
        <v>-200</v>
      </c>
      <c r="T186" s="2" t="s">
        <v>194</v>
      </c>
      <c r="U186" s="2" t="s">
        <v>139</v>
      </c>
      <c r="V186" s="2" t="s">
        <v>78</v>
      </c>
      <c r="W186" s="2" t="s">
        <v>195</v>
      </c>
      <c r="X186" s="2" t="s">
        <v>246</v>
      </c>
      <c r="Y186" s="2" t="s">
        <v>2291</v>
      </c>
      <c r="Z186" s="2" t="s">
        <v>2215</v>
      </c>
      <c r="AA186" s="2"/>
      <c r="AB186" s="2" t="s">
        <v>63</v>
      </c>
      <c r="AC186" s="2" t="s">
        <v>64</v>
      </c>
      <c r="AD186" s="2"/>
      <c r="AE186" s="3"/>
      <c r="AF186" s="3" t="s">
        <v>2292</v>
      </c>
      <c r="AG186" s="2"/>
      <c r="AH186" s="2" t="s">
        <v>54</v>
      </c>
      <c r="AI186" s="3" t="s">
        <v>2293</v>
      </c>
      <c r="AJ186" s="3" t="s">
        <v>2294</v>
      </c>
      <c r="AK186" s="2" t="n">
        <v>550472</v>
      </c>
      <c r="AL186" s="3" t="s">
        <v>2295</v>
      </c>
      <c r="AM186" s="2"/>
      <c r="AN186" s="2"/>
      <c r="AO186" s="3"/>
      <c r="AP186" s="3"/>
      <c r="AQ186" s="2"/>
    </row>
    <row r="187" customFormat="false" ht="68.65" hidden="false" customHeight="false" outlineLevel="0" collapsed="false">
      <c r="A187" s="2" t="n">
        <v>186</v>
      </c>
      <c r="B187" s="2" t="s">
        <v>2296</v>
      </c>
      <c r="C187" s="2" t="s">
        <v>2049</v>
      </c>
      <c r="D187" s="2" t="s">
        <v>2049</v>
      </c>
      <c r="E187" s="2" t="s">
        <v>2297</v>
      </c>
      <c r="F187" s="2" t="s">
        <v>2298</v>
      </c>
      <c r="G187" s="3" t="s">
        <v>2299</v>
      </c>
      <c r="H187" s="2" t="s">
        <v>2300</v>
      </c>
      <c r="I187" s="2" t="s">
        <v>49</v>
      </c>
      <c r="J187" s="3" t="s">
        <v>2301</v>
      </c>
      <c r="K187" s="2" t="s">
        <v>1724</v>
      </c>
      <c r="L187" s="2" t="s">
        <v>1553</v>
      </c>
      <c r="M187" s="2"/>
      <c r="N187" s="2"/>
      <c r="O187" s="2" t="s">
        <v>53</v>
      </c>
      <c r="P187" s="2" t="n">
        <v>39.1421</v>
      </c>
      <c r="Q187" s="2" t="n">
        <v>27.8018</v>
      </c>
      <c r="R187" s="2" t="s">
        <v>54</v>
      </c>
      <c r="S187" s="2" t="n">
        <v>-180</v>
      </c>
      <c r="T187" s="2" t="s">
        <v>2247</v>
      </c>
      <c r="U187" s="2" t="s">
        <v>139</v>
      </c>
      <c r="V187" s="2" t="s">
        <v>78</v>
      </c>
      <c r="W187" s="2" t="s">
        <v>195</v>
      </c>
      <c r="X187" s="2" t="s">
        <v>246</v>
      </c>
      <c r="Y187" s="2" t="s">
        <v>2302</v>
      </c>
      <c r="Z187" s="2" t="s">
        <v>2215</v>
      </c>
      <c r="AA187" s="2"/>
      <c r="AB187" s="2" t="s">
        <v>81</v>
      </c>
      <c r="AC187" s="2"/>
      <c r="AD187" s="2"/>
      <c r="AE187" s="3"/>
      <c r="AF187" s="3" t="s">
        <v>2303</v>
      </c>
      <c r="AG187" s="2"/>
      <c r="AH187" s="2" t="s">
        <v>54</v>
      </c>
      <c r="AI187" s="3" t="s">
        <v>2304</v>
      </c>
      <c r="AJ187" s="3" t="s">
        <v>2305</v>
      </c>
      <c r="AK187" s="2" t="n">
        <v>550898</v>
      </c>
      <c r="AL187" s="3" t="s">
        <v>2306</v>
      </c>
      <c r="AM187" s="2"/>
      <c r="AN187" s="2"/>
      <c r="AO187" s="3" t="s">
        <v>2307</v>
      </c>
      <c r="AP187" s="3" t="s">
        <v>2308</v>
      </c>
      <c r="AQ187" s="2" t="s">
        <v>89</v>
      </c>
    </row>
    <row r="188" customFormat="false" ht="46.25" hidden="false" customHeight="false" outlineLevel="0" collapsed="false">
      <c r="A188" s="2" t="n">
        <v>187</v>
      </c>
      <c r="B188" s="2" t="s">
        <v>2309</v>
      </c>
      <c r="C188" s="2" t="s">
        <v>2049</v>
      </c>
      <c r="D188" s="2" t="s">
        <v>2049</v>
      </c>
      <c r="E188" s="2" t="s">
        <v>2310</v>
      </c>
      <c r="F188" s="2" t="s">
        <v>2311</v>
      </c>
      <c r="G188" s="3" t="s">
        <v>2312</v>
      </c>
      <c r="H188" s="2"/>
      <c r="I188" s="2" t="s">
        <v>93</v>
      </c>
      <c r="J188" s="3" t="s">
        <v>2313</v>
      </c>
      <c r="K188" s="2" t="s">
        <v>977</v>
      </c>
      <c r="L188" s="2" t="s">
        <v>52</v>
      </c>
      <c r="M188" s="2"/>
      <c r="N188" s="2"/>
      <c r="O188" s="2"/>
      <c r="P188" s="2" t="n">
        <v>39.3354</v>
      </c>
      <c r="Q188" s="2" t="n">
        <v>27.9259</v>
      </c>
      <c r="R188" s="2" t="s">
        <v>95</v>
      </c>
      <c r="S188" s="2" t="n">
        <v>150</v>
      </c>
      <c r="T188" s="2" t="s">
        <v>1507</v>
      </c>
      <c r="U188" s="2" t="s">
        <v>56</v>
      </c>
      <c r="V188" s="2" t="s">
        <v>78</v>
      </c>
      <c r="W188" s="2" t="s">
        <v>140</v>
      </c>
      <c r="X188" s="2" t="s">
        <v>289</v>
      </c>
      <c r="Y188" s="2"/>
      <c r="Z188" s="2" t="s">
        <v>170</v>
      </c>
      <c r="AA188" s="2"/>
      <c r="AB188" s="2" t="s">
        <v>63</v>
      </c>
      <c r="AC188" s="2" t="s">
        <v>64</v>
      </c>
      <c r="AD188" s="2"/>
      <c r="AE188" s="3"/>
      <c r="AF188" s="3" t="s">
        <v>2314</v>
      </c>
      <c r="AG188" s="2"/>
      <c r="AH188" s="2" t="s">
        <v>263</v>
      </c>
      <c r="AI188" s="3" t="s">
        <v>2315</v>
      </c>
      <c r="AJ188" s="3" t="s">
        <v>2316</v>
      </c>
      <c r="AK188" s="2" t="n">
        <v>554246</v>
      </c>
      <c r="AL188" s="3" t="s">
        <v>2317</v>
      </c>
      <c r="AM188" s="2"/>
      <c r="AN188" s="2"/>
      <c r="AO188" s="3"/>
      <c r="AP188" s="3"/>
      <c r="AQ188" s="2"/>
    </row>
    <row r="189" customFormat="false" ht="35.05" hidden="false" customHeight="false" outlineLevel="0" collapsed="false">
      <c r="A189" s="2" t="n">
        <v>188</v>
      </c>
      <c r="B189" s="2" t="s">
        <v>2318</v>
      </c>
      <c r="C189" s="2" t="s">
        <v>2049</v>
      </c>
      <c r="D189" s="2" t="s">
        <v>2049</v>
      </c>
      <c r="E189" s="2" t="s">
        <v>2319</v>
      </c>
      <c r="F189" s="2" t="s">
        <v>2320</v>
      </c>
      <c r="G189" s="3" t="s">
        <v>2321</v>
      </c>
      <c r="H189" s="2"/>
      <c r="I189" s="2" t="s">
        <v>74</v>
      </c>
      <c r="J189" s="3" t="s">
        <v>2322</v>
      </c>
      <c r="K189" s="2" t="s">
        <v>1724</v>
      </c>
      <c r="L189" s="2" t="s">
        <v>1553</v>
      </c>
      <c r="M189" s="2"/>
      <c r="N189" s="2"/>
      <c r="O189" s="2"/>
      <c r="P189" s="2" t="n">
        <v>38.6684</v>
      </c>
      <c r="Q189" s="2" t="n">
        <v>28.1426</v>
      </c>
      <c r="R189" s="2" t="s">
        <v>54</v>
      </c>
      <c r="S189" s="2" t="n">
        <v>75</v>
      </c>
      <c r="T189" s="2" t="s">
        <v>259</v>
      </c>
      <c r="U189" s="2" t="s">
        <v>56</v>
      </c>
      <c r="V189" s="2" t="s">
        <v>57</v>
      </c>
      <c r="W189" s="2" t="s">
        <v>140</v>
      </c>
      <c r="X189" s="2" t="s">
        <v>289</v>
      </c>
      <c r="Y189" s="2"/>
      <c r="Z189" s="2" t="s">
        <v>170</v>
      </c>
      <c r="AA189" s="2"/>
      <c r="AB189" s="2" t="s">
        <v>63</v>
      </c>
      <c r="AC189" s="2" t="s">
        <v>64</v>
      </c>
      <c r="AD189" s="2"/>
      <c r="AE189" s="3"/>
      <c r="AF189" s="3" t="s">
        <v>2323</v>
      </c>
      <c r="AG189" s="2"/>
      <c r="AH189" s="2" t="s">
        <v>54</v>
      </c>
      <c r="AI189" s="3" t="s">
        <v>2324</v>
      </c>
      <c r="AJ189" s="3" t="s">
        <v>2325</v>
      </c>
      <c r="AK189" s="2" t="n">
        <v>550508</v>
      </c>
      <c r="AL189" s="3" t="s">
        <v>2326</v>
      </c>
      <c r="AM189" s="2"/>
      <c r="AN189" s="2"/>
      <c r="AO189" s="3"/>
      <c r="AP189" s="3"/>
      <c r="AQ189" s="2"/>
    </row>
    <row r="190" customFormat="false" ht="35.05" hidden="false" customHeight="false" outlineLevel="0" collapsed="false">
      <c r="A190" s="2" t="n">
        <v>189</v>
      </c>
      <c r="B190" s="2" t="s">
        <v>2327</v>
      </c>
      <c r="C190" s="2" t="s">
        <v>2049</v>
      </c>
      <c r="D190" s="2" t="s">
        <v>2049</v>
      </c>
      <c r="E190" s="2" t="s">
        <v>2328</v>
      </c>
      <c r="F190" s="2" t="s">
        <v>2329</v>
      </c>
      <c r="G190" s="3"/>
      <c r="H190" s="2" t="s">
        <v>2330</v>
      </c>
      <c r="I190" s="2" t="s">
        <v>123</v>
      </c>
      <c r="J190" s="3" t="s">
        <v>2331</v>
      </c>
      <c r="K190" s="2" t="s">
        <v>1724</v>
      </c>
      <c r="L190" s="2" t="s">
        <v>1553</v>
      </c>
      <c r="M190" s="2"/>
      <c r="N190" s="2"/>
      <c r="O190" s="2" t="s">
        <v>422</v>
      </c>
      <c r="P190" s="2" t="n">
        <v>38.5792</v>
      </c>
      <c r="Q190" s="2" t="n">
        <v>28.2675</v>
      </c>
      <c r="R190" s="2" t="s">
        <v>54</v>
      </c>
      <c r="S190" s="2" t="n">
        <v>360</v>
      </c>
      <c r="T190" s="2" t="s">
        <v>2332</v>
      </c>
      <c r="U190" s="2" t="s">
        <v>56</v>
      </c>
      <c r="V190" s="2" t="s">
        <v>57</v>
      </c>
      <c r="W190" s="2" t="s">
        <v>304</v>
      </c>
      <c r="X190" s="2" t="s">
        <v>289</v>
      </c>
      <c r="Y190" s="2"/>
      <c r="Z190" s="2" t="s">
        <v>170</v>
      </c>
      <c r="AA190" s="2"/>
      <c r="AB190" s="2" t="s">
        <v>63</v>
      </c>
      <c r="AC190" s="2" t="s">
        <v>64</v>
      </c>
      <c r="AD190" s="2"/>
      <c r="AE190" s="3"/>
      <c r="AF190" s="3" t="s">
        <v>2333</v>
      </c>
      <c r="AG190" s="2"/>
      <c r="AH190" s="2" t="s">
        <v>54</v>
      </c>
      <c r="AI190" s="3" t="s">
        <v>2334</v>
      </c>
      <c r="AJ190" s="3" t="s">
        <v>2335</v>
      </c>
      <c r="AK190" s="2" t="n">
        <v>550869</v>
      </c>
      <c r="AL190" s="3" t="s">
        <v>2336</v>
      </c>
      <c r="AM190" s="2"/>
      <c r="AN190" s="2" t="s">
        <v>200</v>
      </c>
      <c r="AO190" s="3"/>
      <c r="AP190" s="3"/>
      <c r="AQ190" s="2"/>
    </row>
    <row r="191" customFormat="false" ht="46.25" hidden="false" customHeight="false" outlineLevel="0" collapsed="false">
      <c r="A191" s="2" t="n">
        <v>190</v>
      </c>
      <c r="B191" s="2" t="s">
        <v>2337</v>
      </c>
      <c r="C191" s="2" t="s">
        <v>2049</v>
      </c>
      <c r="D191" s="2" t="s">
        <v>2049</v>
      </c>
      <c r="E191" s="2" t="s">
        <v>2338</v>
      </c>
      <c r="F191" s="2" t="s">
        <v>2339</v>
      </c>
      <c r="G191" s="3" t="s">
        <v>2340</v>
      </c>
      <c r="H191" s="2"/>
      <c r="I191" s="2" t="s">
        <v>93</v>
      </c>
      <c r="J191" s="3" t="s">
        <v>2341</v>
      </c>
      <c r="K191" s="2" t="s">
        <v>1724</v>
      </c>
      <c r="L191" s="2" t="s">
        <v>1553</v>
      </c>
      <c r="M191" s="2"/>
      <c r="N191" s="2"/>
      <c r="O191" s="2"/>
      <c r="P191" s="2" t="n">
        <v>38.75</v>
      </c>
      <c r="Q191" s="2" t="n">
        <v>28.25</v>
      </c>
      <c r="R191" s="2" t="s">
        <v>95</v>
      </c>
      <c r="S191" s="2" t="n">
        <v>150</v>
      </c>
      <c r="T191" s="2" t="s">
        <v>1507</v>
      </c>
      <c r="U191" s="2" t="s">
        <v>56</v>
      </c>
      <c r="V191" s="2" t="s">
        <v>78</v>
      </c>
      <c r="W191" s="2" t="s">
        <v>140</v>
      </c>
      <c r="X191" s="2" t="s">
        <v>169</v>
      </c>
      <c r="Y191" s="2"/>
      <c r="Z191" s="2" t="s">
        <v>170</v>
      </c>
      <c r="AA191" s="2"/>
      <c r="AB191" s="2" t="s">
        <v>81</v>
      </c>
      <c r="AC191" s="2"/>
      <c r="AD191" s="2"/>
      <c r="AE191" s="3"/>
      <c r="AF191" s="3" t="s">
        <v>2342</v>
      </c>
      <c r="AG191" s="2"/>
      <c r="AH191" s="2" t="s">
        <v>263</v>
      </c>
      <c r="AI191" s="3" t="s">
        <v>2343</v>
      </c>
      <c r="AJ191" s="3" t="s">
        <v>2344</v>
      </c>
      <c r="AK191" s="2" t="n">
        <v>550495</v>
      </c>
      <c r="AL191" s="3" t="s">
        <v>2345</v>
      </c>
      <c r="AM191" s="2"/>
      <c r="AN191" s="2"/>
      <c r="AO191" s="3" t="s">
        <v>2346</v>
      </c>
      <c r="AP191" s="3" t="s">
        <v>2347</v>
      </c>
      <c r="AQ191" s="2" t="s">
        <v>106</v>
      </c>
    </row>
    <row r="192" customFormat="false" ht="35.05" hidden="false" customHeight="false" outlineLevel="0" collapsed="false">
      <c r="A192" s="2" t="n">
        <v>191</v>
      </c>
      <c r="B192" s="2" t="s">
        <v>2348</v>
      </c>
      <c r="C192" s="2" t="s">
        <v>2049</v>
      </c>
      <c r="D192" s="2" t="s">
        <v>2049</v>
      </c>
      <c r="E192" s="2" t="s">
        <v>2349</v>
      </c>
      <c r="F192" s="2" t="s">
        <v>2350</v>
      </c>
      <c r="G192" s="3" t="s">
        <v>2351</v>
      </c>
      <c r="H192" s="2"/>
      <c r="I192" s="2" t="s">
        <v>93</v>
      </c>
      <c r="J192" s="3" t="s">
        <v>2352</v>
      </c>
      <c r="K192" s="2" t="s">
        <v>1724</v>
      </c>
      <c r="L192" s="2" t="s">
        <v>1553</v>
      </c>
      <c r="M192" s="2"/>
      <c r="N192" s="2"/>
      <c r="O192" s="2"/>
      <c r="P192" s="2" t="n">
        <v>38.8465</v>
      </c>
      <c r="Q192" s="2" t="n">
        <v>28.1113</v>
      </c>
      <c r="R192" s="2" t="s">
        <v>95</v>
      </c>
      <c r="S192" s="2" t="n">
        <v>80</v>
      </c>
      <c r="T192" s="2" t="s">
        <v>2353</v>
      </c>
      <c r="U192" s="2" t="s">
        <v>56</v>
      </c>
      <c r="V192" s="2" t="s">
        <v>97</v>
      </c>
      <c r="W192" s="2" t="s">
        <v>140</v>
      </c>
      <c r="X192" s="2" t="s">
        <v>141</v>
      </c>
      <c r="Y192" s="2" t="s">
        <v>2354</v>
      </c>
      <c r="Z192" s="2" t="s">
        <v>143</v>
      </c>
      <c r="AA192" s="2"/>
      <c r="AB192" s="2" t="s">
        <v>63</v>
      </c>
      <c r="AC192" s="2" t="s">
        <v>64</v>
      </c>
      <c r="AD192" s="2"/>
      <c r="AE192" s="3"/>
      <c r="AF192" s="3" t="s">
        <v>2355</v>
      </c>
      <c r="AG192" s="2"/>
      <c r="AH192" s="2" t="s">
        <v>263</v>
      </c>
      <c r="AI192" s="3" t="s">
        <v>2356</v>
      </c>
      <c r="AJ192" s="3" t="s">
        <v>2357</v>
      </c>
      <c r="AK192" s="2" t="n">
        <v>550700</v>
      </c>
      <c r="AL192" s="3" t="s">
        <v>2358</v>
      </c>
      <c r="AM192" s="2"/>
      <c r="AN192" s="2"/>
      <c r="AO192" s="3"/>
      <c r="AP192" s="3"/>
      <c r="AQ192" s="2"/>
    </row>
    <row r="193" customFormat="false" ht="23.85" hidden="false" customHeight="false" outlineLevel="0" collapsed="false">
      <c r="A193" s="2" t="n">
        <v>192</v>
      </c>
      <c r="B193" s="2" t="s">
        <v>2359</v>
      </c>
      <c r="C193" s="2" t="s">
        <v>2049</v>
      </c>
      <c r="D193" s="2" t="s">
        <v>2049</v>
      </c>
      <c r="E193" s="2" t="s">
        <v>2360</v>
      </c>
      <c r="F193" s="2" t="s">
        <v>2361</v>
      </c>
      <c r="G193" s="3" t="s">
        <v>2362</v>
      </c>
      <c r="H193" s="2"/>
      <c r="I193" s="2" t="s">
        <v>93</v>
      </c>
      <c r="J193" s="3" t="s">
        <v>2363</v>
      </c>
      <c r="K193" s="2" t="s">
        <v>1724</v>
      </c>
      <c r="L193" s="2" t="s">
        <v>1553</v>
      </c>
      <c r="M193" s="2"/>
      <c r="N193" s="2"/>
      <c r="O193" s="2"/>
      <c r="P193" s="2" t="n">
        <v>38.8812</v>
      </c>
      <c r="Q193" s="2" t="n">
        <v>28.0663</v>
      </c>
      <c r="R193" s="2" t="s">
        <v>95</v>
      </c>
      <c r="S193" s="2" t="n">
        <v>150</v>
      </c>
      <c r="T193" s="2" t="s">
        <v>1507</v>
      </c>
      <c r="U193" s="2" t="s">
        <v>56</v>
      </c>
      <c r="V193" s="2" t="s">
        <v>78</v>
      </c>
      <c r="W193" s="2" t="s">
        <v>140</v>
      </c>
      <c r="X193" s="2" t="s">
        <v>289</v>
      </c>
      <c r="Y193" s="2"/>
      <c r="Z193" s="2" t="s">
        <v>170</v>
      </c>
      <c r="AA193" s="2"/>
      <c r="AB193" s="2" t="s">
        <v>63</v>
      </c>
      <c r="AC193" s="2" t="s">
        <v>64</v>
      </c>
      <c r="AD193" s="2"/>
      <c r="AE193" s="3"/>
      <c r="AF193" s="3" t="s">
        <v>2364</v>
      </c>
      <c r="AG193" s="2"/>
      <c r="AH193" s="2" t="s">
        <v>113</v>
      </c>
      <c r="AI193" s="3" t="s">
        <v>2365</v>
      </c>
      <c r="AJ193" s="3" t="s">
        <v>2366</v>
      </c>
      <c r="AK193" s="2" t="n">
        <v>550938</v>
      </c>
      <c r="AL193" s="3" t="s">
        <v>2367</v>
      </c>
      <c r="AM193" s="2"/>
      <c r="AN193" s="2"/>
      <c r="AO193" s="3"/>
      <c r="AP193" s="3"/>
      <c r="AQ193" s="2"/>
    </row>
    <row r="194" customFormat="false" ht="35.05" hidden="false" customHeight="false" outlineLevel="0" collapsed="false">
      <c r="A194" s="2" t="n">
        <v>193</v>
      </c>
      <c r="B194" s="2" t="s">
        <v>2368</v>
      </c>
      <c r="C194" s="2" t="s">
        <v>2049</v>
      </c>
      <c r="D194" s="2" t="s">
        <v>2049</v>
      </c>
      <c r="E194" s="2" t="s">
        <v>2369</v>
      </c>
      <c r="F194" s="2" t="s">
        <v>2370</v>
      </c>
      <c r="G194" s="3" t="s">
        <v>2371</v>
      </c>
      <c r="H194" s="2"/>
      <c r="I194" s="2" t="s">
        <v>93</v>
      </c>
      <c r="J194" s="3" t="s">
        <v>2372</v>
      </c>
      <c r="K194" s="2" t="s">
        <v>1724</v>
      </c>
      <c r="L194" s="2" t="s">
        <v>1553</v>
      </c>
      <c r="M194" s="2"/>
      <c r="N194" s="2"/>
      <c r="O194" s="2"/>
      <c r="P194" s="2" t="n">
        <v>38.75</v>
      </c>
      <c r="Q194" s="2" t="n">
        <v>28.35</v>
      </c>
      <c r="R194" s="2" t="s">
        <v>637</v>
      </c>
      <c r="S194" s="2" t="n">
        <v>451</v>
      </c>
      <c r="T194" s="2" t="s">
        <v>2373</v>
      </c>
      <c r="U194" s="2" t="s">
        <v>56</v>
      </c>
      <c r="V194" s="2" t="s">
        <v>245</v>
      </c>
      <c r="W194" s="2" t="s">
        <v>304</v>
      </c>
      <c r="X194" s="2" t="s">
        <v>289</v>
      </c>
      <c r="Y194" s="2"/>
      <c r="Z194" s="2" t="s">
        <v>170</v>
      </c>
      <c r="AA194" s="2"/>
      <c r="AB194" s="2" t="s">
        <v>63</v>
      </c>
      <c r="AC194" s="2" t="s">
        <v>64</v>
      </c>
      <c r="AD194" s="2"/>
      <c r="AE194" s="3"/>
      <c r="AF194" s="3" t="s">
        <v>2374</v>
      </c>
      <c r="AG194" s="2"/>
      <c r="AH194" s="2" t="s">
        <v>113</v>
      </c>
      <c r="AI194" s="3" t="s">
        <v>2375</v>
      </c>
      <c r="AJ194" s="3" t="s">
        <v>2376</v>
      </c>
      <c r="AK194" s="2"/>
      <c r="AL194" s="3" t="s">
        <v>2377</v>
      </c>
      <c r="AM194" s="2"/>
      <c r="AN194" s="2"/>
      <c r="AO194" s="3"/>
      <c r="AP194" s="3"/>
      <c r="AQ194" s="2"/>
    </row>
    <row r="195" customFormat="false" ht="35.05" hidden="false" customHeight="false" outlineLevel="0" collapsed="false">
      <c r="A195" s="2" t="n">
        <v>194</v>
      </c>
      <c r="B195" s="2" t="s">
        <v>2378</v>
      </c>
      <c r="C195" s="2" t="s">
        <v>2049</v>
      </c>
      <c r="D195" s="2" t="s">
        <v>2049</v>
      </c>
      <c r="E195" s="2" t="s">
        <v>2379</v>
      </c>
      <c r="F195" s="2" t="s">
        <v>2380</v>
      </c>
      <c r="G195" s="3" t="s">
        <v>2381</v>
      </c>
      <c r="H195" s="2" t="s">
        <v>2382</v>
      </c>
      <c r="I195" s="2" t="s">
        <v>123</v>
      </c>
      <c r="J195" s="3" t="s">
        <v>2383</v>
      </c>
      <c r="K195" s="2" t="s">
        <v>1724</v>
      </c>
      <c r="L195" s="2" t="s">
        <v>1553</v>
      </c>
      <c r="M195" s="2" t="s">
        <v>2382</v>
      </c>
      <c r="N195" s="2"/>
      <c r="O195" s="2" t="s">
        <v>422</v>
      </c>
      <c r="P195" s="2" t="n">
        <v>38.8767</v>
      </c>
      <c r="Q195" s="2" t="n">
        <v>28.3142</v>
      </c>
      <c r="R195" s="2" t="s">
        <v>54</v>
      </c>
      <c r="S195" s="2" t="n">
        <v>1</v>
      </c>
      <c r="T195" s="2" t="s">
        <v>2384</v>
      </c>
      <c r="U195" s="2" t="s">
        <v>56</v>
      </c>
      <c r="V195" s="2" t="s">
        <v>78</v>
      </c>
      <c r="W195" s="2" t="s">
        <v>140</v>
      </c>
      <c r="X195" s="2" t="s">
        <v>289</v>
      </c>
      <c r="Y195" s="2"/>
      <c r="Z195" s="2" t="s">
        <v>170</v>
      </c>
      <c r="AA195" s="2"/>
      <c r="AB195" s="2" t="s">
        <v>63</v>
      </c>
      <c r="AC195" s="2" t="s">
        <v>64</v>
      </c>
      <c r="AD195" s="2"/>
      <c r="AE195" s="3"/>
      <c r="AF195" s="3" t="s">
        <v>2385</v>
      </c>
      <c r="AG195" s="2"/>
      <c r="AH195" s="2" t="s">
        <v>54</v>
      </c>
      <c r="AI195" s="3" t="s">
        <v>2386</v>
      </c>
      <c r="AJ195" s="3" t="s">
        <v>2387</v>
      </c>
      <c r="AK195" s="2" t="n">
        <v>550601</v>
      </c>
      <c r="AL195" s="3" t="s">
        <v>2388</v>
      </c>
      <c r="AM195" s="2"/>
      <c r="AN195" s="2" t="s">
        <v>200</v>
      </c>
      <c r="AO195" s="3"/>
      <c r="AP195" s="3"/>
      <c r="AQ195" s="2"/>
    </row>
    <row r="196" customFormat="false" ht="35.05" hidden="false" customHeight="false" outlineLevel="0" collapsed="false">
      <c r="A196" s="2" t="n">
        <v>195</v>
      </c>
      <c r="B196" s="2" t="s">
        <v>2389</v>
      </c>
      <c r="C196" s="2" t="s">
        <v>2049</v>
      </c>
      <c r="D196" s="2" t="s">
        <v>2049</v>
      </c>
      <c r="E196" s="2" t="s">
        <v>2390</v>
      </c>
      <c r="F196" s="2" t="s">
        <v>2391</v>
      </c>
      <c r="G196" s="3"/>
      <c r="H196" s="2" t="s">
        <v>2392</v>
      </c>
      <c r="I196" s="2" t="s">
        <v>49</v>
      </c>
      <c r="J196" s="3" t="s">
        <v>2393</v>
      </c>
      <c r="K196" s="2" t="s">
        <v>1724</v>
      </c>
      <c r="L196" s="2" t="s">
        <v>1553</v>
      </c>
      <c r="M196" s="2"/>
      <c r="N196" s="2"/>
      <c r="O196" s="2" t="s">
        <v>53</v>
      </c>
      <c r="P196" s="2" t="n">
        <v>38.5352</v>
      </c>
      <c r="Q196" s="2" t="n">
        <v>28.4915</v>
      </c>
      <c r="R196" s="2" t="s">
        <v>54</v>
      </c>
      <c r="S196" s="2" t="n">
        <v>60</v>
      </c>
      <c r="T196" s="2" t="s">
        <v>2394</v>
      </c>
      <c r="U196" s="2" t="s">
        <v>56</v>
      </c>
      <c r="V196" s="2" t="s">
        <v>57</v>
      </c>
      <c r="W196" s="2" t="s">
        <v>140</v>
      </c>
      <c r="X196" s="2" t="s">
        <v>289</v>
      </c>
      <c r="Y196" s="2"/>
      <c r="Z196" s="2" t="s">
        <v>170</v>
      </c>
      <c r="AA196" s="2"/>
      <c r="AB196" s="2" t="s">
        <v>63</v>
      </c>
      <c r="AC196" s="2" t="s">
        <v>64</v>
      </c>
      <c r="AD196" s="2"/>
      <c r="AE196" s="3"/>
      <c r="AF196" s="3" t="s">
        <v>2395</v>
      </c>
      <c r="AG196" s="2"/>
      <c r="AH196" s="2" t="s">
        <v>54</v>
      </c>
      <c r="AI196" s="3" t="s">
        <v>2396</v>
      </c>
      <c r="AJ196" s="3" t="s">
        <v>2397</v>
      </c>
      <c r="AK196" s="2" t="n">
        <v>550709</v>
      </c>
      <c r="AL196" s="3" t="s">
        <v>2398</v>
      </c>
      <c r="AM196" s="2"/>
      <c r="AN196" s="2"/>
      <c r="AO196" s="3"/>
      <c r="AP196" s="3"/>
      <c r="AQ196" s="2"/>
    </row>
    <row r="197" customFormat="false" ht="35.05" hidden="false" customHeight="false" outlineLevel="0" collapsed="false">
      <c r="A197" s="2" t="n">
        <v>196</v>
      </c>
      <c r="B197" s="2" t="s">
        <v>2399</v>
      </c>
      <c r="C197" s="2" t="s">
        <v>2049</v>
      </c>
      <c r="D197" s="2" t="s">
        <v>2049</v>
      </c>
      <c r="E197" s="2" t="s">
        <v>2400</v>
      </c>
      <c r="F197" s="2" t="s">
        <v>2401</v>
      </c>
      <c r="G197" s="3" t="s">
        <v>2402</v>
      </c>
      <c r="H197" s="2"/>
      <c r="I197" s="2" t="s">
        <v>74</v>
      </c>
      <c r="J197" s="3" t="s">
        <v>2403</v>
      </c>
      <c r="K197" s="2" t="s">
        <v>1724</v>
      </c>
      <c r="L197" s="2" t="s">
        <v>1553</v>
      </c>
      <c r="M197" s="2"/>
      <c r="N197" s="2"/>
      <c r="O197" s="2"/>
      <c r="P197" s="2" t="n">
        <v>38.703</v>
      </c>
      <c r="Q197" s="2" t="n">
        <v>28.624</v>
      </c>
      <c r="R197" s="2" t="s">
        <v>54</v>
      </c>
      <c r="S197" s="2" t="n">
        <v>117</v>
      </c>
      <c r="T197" s="2" t="s">
        <v>499</v>
      </c>
      <c r="U197" s="2" t="s">
        <v>56</v>
      </c>
      <c r="V197" s="2" t="s">
        <v>57</v>
      </c>
      <c r="W197" s="2" t="s">
        <v>140</v>
      </c>
      <c r="X197" s="2" t="s">
        <v>289</v>
      </c>
      <c r="Y197" s="2"/>
      <c r="Z197" s="2" t="s">
        <v>170</v>
      </c>
      <c r="AA197" s="2"/>
      <c r="AB197" s="2" t="s">
        <v>63</v>
      </c>
      <c r="AC197" s="2" t="s">
        <v>64</v>
      </c>
      <c r="AD197" s="2"/>
      <c r="AE197" s="3"/>
      <c r="AF197" s="3" t="s">
        <v>2404</v>
      </c>
      <c r="AG197" s="2"/>
      <c r="AH197" s="2" t="s">
        <v>54</v>
      </c>
      <c r="AI197" s="3" t="s">
        <v>2405</v>
      </c>
      <c r="AJ197" s="3" t="s">
        <v>2406</v>
      </c>
      <c r="AK197" s="2" t="n">
        <v>609517</v>
      </c>
      <c r="AL197" s="3" t="s">
        <v>2407</v>
      </c>
      <c r="AM197" s="2"/>
      <c r="AN197" s="2"/>
      <c r="AO197" s="3"/>
      <c r="AP197" s="3"/>
      <c r="AQ197" s="2"/>
    </row>
    <row r="198" customFormat="false" ht="23.85" hidden="false" customHeight="false" outlineLevel="0" collapsed="false">
      <c r="A198" s="2" t="n">
        <v>197</v>
      </c>
      <c r="B198" s="2" t="s">
        <v>2408</v>
      </c>
      <c r="C198" s="2" t="s">
        <v>2049</v>
      </c>
      <c r="D198" s="2" t="s">
        <v>2049</v>
      </c>
      <c r="E198" s="2" t="s">
        <v>2409</v>
      </c>
      <c r="F198" s="2" t="s">
        <v>2410</v>
      </c>
      <c r="G198" s="3"/>
      <c r="H198" s="2" t="s">
        <v>2411</v>
      </c>
      <c r="I198" s="2" t="s">
        <v>49</v>
      </c>
      <c r="J198" s="3" t="s">
        <v>2412</v>
      </c>
      <c r="K198" s="2" t="s">
        <v>1724</v>
      </c>
      <c r="L198" s="2" t="s">
        <v>1553</v>
      </c>
      <c r="M198" s="2"/>
      <c r="N198" s="2"/>
      <c r="O198" s="2" t="s">
        <v>422</v>
      </c>
      <c r="P198" s="2" t="n">
        <v>38.7515</v>
      </c>
      <c r="Q198" s="2" t="n">
        <v>28.826</v>
      </c>
      <c r="R198" s="2" t="s">
        <v>54</v>
      </c>
      <c r="S198" s="2" t="n">
        <v>100</v>
      </c>
      <c r="T198" s="2" t="s">
        <v>2260</v>
      </c>
      <c r="U198" s="2" t="s">
        <v>56</v>
      </c>
      <c r="V198" s="2" t="s">
        <v>78</v>
      </c>
      <c r="W198" s="2" t="s">
        <v>140</v>
      </c>
      <c r="X198" s="2" t="s">
        <v>289</v>
      </c>
      <c r="Y198" s="2"/>
      <c r="Z198" s="2" t="s">
        <v>170</v>
      </c>
      <c r="AA198" s="2"/>
      <c r="AB198" s="2" t="s">
        <v>63</v>
      </c>
      <c r="AC198" s="2" t="s">
        <v>64</v>
      </c>
      <c r="AD198" s="2"/>
      <c r="AE198" s="3"/>
      <c r="AF198" s="3" t="s">
        <v>2413</v>
      </c>
      <c r="AG198" s="2"/>
      <c r="AH198" s="2" t="s">
        <v>54</v>
      </c>
      <c r="AI198" s="3" t="s">
        <v>2414</v>
      </c>
      <c r="AJ198" s="3" t="s">
        <v>2415</v>
      </c>
      <c r="AK198" s="2" t="n">
        <v>609528</v>
      </c>
      <c r="AL198" s="3" t="s">
        <v>2416</v>
      </c>
      <c r="AM198" s="2"/>
      <c r="AN198" s="2" t="s">
        <v>200</v>
      </c>
      <c r="AO198" s="3"/>
      <c r="AP198" s="3"/>
      <c r="AQ198" s="2"/>
    </row>
    <row r="199" customFormat="false" ht="23.85" hidden="false" customHeight="false" outlineLevel="0" collapsed="false">
      <c r="A199" s="2" t="n">
        <v>198</v>
      </c>
      <c r="B199" s="2" t="s">
        <v>2417</v>
      </c>
      <c r="C199" s="2" t="s">
        <v>2049</v>
      </c>
      <c r="D199" s="2" t="s">
        <v>2049</v>
      </c>
      <c r="E199" s="2" t="s">
        <v>2418</v>
      </c>
      <c r="F199" s="2" t="s">
        <v>2419</v>
      </c>
      <c r="G199" s="3" t="s">
        <v>2420</v>
      </c>
      <c r="H199" s="2" t="s">
        <v>2421</v>
      </c>
      <c r="I199" s="2" t="s">
        <v>49</v>
      </c>
      <c r="J199" s="3" t="s">
        <v>2422</v>
      </c>
      <c r="K199" s="2" t="s">
        <v>1724</v>
      </c>
      <c r="L199" s="2" t="s">
        <v>1553</v>
      </c>
      <c r="M199" s="2"/>
      <c r="N199" s="2"/>
      <c r="O199" s="2" t="s">
        <v>53</v>
      </c>
      <c r="P199" s="2" t="n">
        <v>38.6122</v>
      </c>
      <c r="Q199" s="2" t="n">
        <v>28.8034</v>
      </c>
      <c r="R199" s="2" t="s">
        <v>54</v>
      </c>
      <c r="S199" s="2" t="n">
        <v>100</v>
      </c>
      <c r="T199" s="2" t="s">
        <v>2260</v>
      </c>
      <c r="U199" s="2" t="s">
        <v>56</v>
      </c>
      <c r="V199" s="2" t="s">
        <v>78</v>
      </c>
      <c r="W199" s="2" t="s">
        <v>140</v>
      </c>
      <c r="X199" s="2" t="s">
        <v>289</v>
      </c>
      <c r="Y199" s="2"/>
      <c r="Z199" s="2" t="s">
        <v>170</v>
      </c>
      <c r="AA199" s="2"/>
      <c r="AB199" s="2" t="s">
        <v>63</v>
      </c>
      <c r="AC199" s="2" t="s">
        <v>64</v>
      </c>
      <c r="AD199" s="2"/>
      <c r="AE199" s="3"/>
      <c r="AF199" s="3" t="s">
        <v>2423</v>
      </c>
      <c r="AG199" s="2"/>
      <c r="AH199" s="2" t="s">
        <v>54</v>
      </c>
      <c r="AI199" s="3" t="s">
        <v>2424</v>
      </c>
      <c r="AJ199" s="3" t="s">
        <v>2425</v>
      </c>
      <c r="AK199" s="2" t="n">
        <v>609540</v>
      </c>
      <c r="AL199" s="3" t="s">
        <v>2426</v>
      </c>
      <c r="AM199" s="2"/>
      <c r="AN199" s="2"/>
      <c r="AO199" s="3"/>
      <c r="AP199" s="3"/>
      <c r="AQ199" s="2"/>
    </row>
    <row r="200" customFormat="false" ht="35.05" hidden="false" customHeight="false" outlineLevel="0" collapsed="false">
      <c r="A200" s="2" t="n">
        <v>199</v>
      </c>
      <c r="B200" s="2" t="s">
        <v>2427</v>
      </c>
      <c r="C200" s="2" t="s">
        <v>2049</v>
      </c>
      <c r="D200" s="2" t="s">
        <v>2049</v>
      </c>
      <c r="E200" s="2" t="s">
        <v>2428</v>
      </c>
      <c r="F200" s="2" t="s">
        <v>2429</v>
      </c>
      <c r="G200" s="3" t="s">
        <v>2430</v>
      </c>
      <c r="H200" s="2"/>
      <c r="I200" s="2" t="s">
        <v>93</v>
      </c>
      <c r="J200" s="3" t="s">
        <v>2431</v>
      </c>
      <c r="K200" s="2" t="s">
        <v>1724</v>
      </c>
      <c r="L200" s="2" t="s">
        <v>1553</v>
      </c>
      <c r="M200" s="2"/>
      <c r="N200" s="2"/>
      <c r="O200" s="2"/>
      <c r="P200" s="2" t="n">
        <v>38.65</v>
      </c>
      <c r="Q200" s="2" t="n">
        <v>28.95</v>
      </c>
      <c r="R200" s="2" t="s">
        <v>637</v>
      </c>
      <c r="S200" s="2" t="n">
        <v>75</v>
      </c>
      <c r="T200" s="2" t="s">
        <v>259</v>
      </c>
      <c r="U200" s="2" t="s">
        <v>56</v>
      </c>
      <c r="V200" s="2" t="s">
        <v>57</v>
      </c>
      <c r="W200" s="2" t="s">
        <v>140</v>
      </c>
      <c r="X200" s="2" t="s">
        <v>289</v>
      </c>
      <c r="Y200" s="2"/>
      <c r="Z200" s="2" t="s">
        <v>170</v>
      </c>
      <c r="AA200" s="2"/>
      <c r="AB200" s="2" t="s">
        <v>63</v>
      </c>
      <c r="AC200" s="2" t="s">
        <v>64</v>
      </c>
      <c r="AD200" s="2"/>
      <c r="AE200" s="3"/>
      <c r="AF200" s="3" t="s">
        <v>2432</v>
      </c>
      <c r="AG200" s="2"/>
      <c r="AH200" s="2" t="s">
        <v>263</v>
      </c>
      <c r="AI200" s="3" t="s">
        <v>2433</v>
      </c>
      <c r="AJ200" s="3" t="s">
        <v>2434</v>
      </c>
      <c r="AK200" s="2" t="n">
        <v>866051</v>
      </c>
      <c r="AL200" s="3" t="s">
        <v>2435</v>
      </c>
      <c r="AM200" s="2"/>
      <c r="AN200" s="2"/>
      <c r="AO200" s="3"/>
      <c r="AP200" s="3"/>
      <c r="AQ200" s="2"/>
    </row>
    <row r="201" customFormat="false" ht="35.05" hidden="false" customHeight="false" outlineLevel="0" collapsed="false">
      <c r="A201" s="2" t="n">
        <v>200</v>
      </c>
      <c r="B201" s="2" t="s">
        <v>2436</v>
      </c>
      <c r="C201" s="2" t="s">
        <v>2049</v>
      </c>
      <c r="D201" s="2" t="s">
        <v>2049</v>
      </c>
      <c r="E201" s="2" t="s">
        <v>2437</v>
      </c>
      <c r="F201" s="2" t="s">
        <v>2438</v>
      </c>
      <c r="G201" s="3" t="s">
        <v>2439</v>
      </c>
      <c r="H201" s="2" t="s">
        <v>2440</v>
      </c>
      <c r="I201" s="2" t="s">
        <v>49</v>
      </c>
      <c r="J201" s="3" t="s">
        <v>2441</v>
      </c>
      <c r="K201" s="2" t="s">
        <v>2442</v>
      </c>
      <c r="L201" s="2" t="s">
        <v>1553</v>
      </c>
      <c r="M201" s="2"/>
      <c r="N201" s="2"/>
      <c r="O201" s="2" t="s">
        <v>53</v>
      </c>
      <c r="P201" s="2" t="n">
        <v>38.6575</v>
      </c>
      <c r="Q201" s="2" t="n">
        <v>29.1608</v>
      </c>
      <c r="R201" s="2" t="s">
        <v>54</v>
      </c>
      <c r="S201" s="2" t="n">
        <v>100</v>
      </c>
      <c r="T201" s="2" t="s">
        <v>2260</v>
      </c>
      <c r="U201" s="2" t="s">
        <v>56</v>
      </c>
      <c r="V201" s="2" t="s">
        <v>78</v>
      </c>
      <c r="W201" s="2" t="s">
        <v>140</v>
      </c>
      <c r="X201" s="2" t="s">
        <v>289</v>
      </c>
      <c r="Y201" s="2"/>
      <c r="Z201" s="2" t="s">
        <v>170</v>
      </c>
      <c r="AA201" s="2"/>
      <c r="AB201" s="2" t="s">
        <v>63</v>
      </c>
      <c r="AC201" s="2" t="s">
        <v>77</v>
      </c>
      <c r="AD201" s="2"/>
      <c r="AE201" s="3"/>
      <c r="AF201" s="3" t="s">
        <v>2443</v>
      </c>
      <c r="AG201" s="2"/>
      <c r="AH201" s="2" t="s">
        <v>54</v>
      </c>
      <c r="AI201" s="3" t="s">
        <v>2444</v>
      </c>
      <c r="AJ201" s="3" t="s">
        <v>2445</v>
      </c>
      <c r="AK201" s="2" t="n">
        <v>609336</v>
      </c>
      <c r="AL201" s="3" t="s">
        <v>2446</v>
      </c>
      <c r="AM201" s="2"/>
      <c r="AN201" s="2"/>
      <c r="AO201" s="3"/>
      <c r="AP201" s="3"/>
      <c r="AQ201" s="2"/>
    </row>
    <row r="202" customFormat="false" ht="46.25" hidden="false" customHeight="false" outlineLevel="0" collapsed="false">
      <c r="A202" s="2" t="n">
        <v>201</v>
      </c>
      <c r="B202" s="2" t="s">
        <v>2447</v>
      </c>
      <c r="C202" s="2" t="s">
        <v>2049</v>
      </c>
      <c r="D202" s="2" t="s">
        <v>2049</v>
      </c>
      <c r="E202" s="2" t="s">
        <v>2448</v>
      </c>
      <c r="F202" s="2" t="s">
        <v>2449</v>
      </c>
      <c r="G202" s="3" t="s">
        <v>2450</v>
      </c>
      <c r="H202" s="2"/>
      <c r="I202" s="2" t="s">
        <v>74</v>
      </c>
      <c r="J202" s="3" t="s">
        <v>2451</v>
      </c>
      <c r="K202" s="2" t="s">
        <v>2442</v>
      </c>
      <c r="L202" s="2" t="s">
        <v>1553</v>
      </c>
      <c r="M202" s="2"/>
      <c r="N202" s="2"/>
      <c r="O202" s="2"/>
      <c r="P202" s="2" t="n">
        <v>38.3576</v>
      </c>
      <c r="Q202" s="2" t="n">
        <v>29.209</v>
      </c>
      <c r="R202" s="2" t="s">
        <v>54</v>
      </c>
      <c r="S202" s="2" t="n">
        <v>-300</v>
      </c>
      <c r="T202" s="2" t="s">
        <v>1942</v>
      </c>
      <c r="U202" s="2" t="s">
        <v>77</v>
      </c>
      <c r="V202" s="2" t="s">
        <v>78</v>
      </c>
      <c r="W202" s="2" t="s">
        <v>195</v>
      </c>
      <c r="X202" s="2" t="s">
        <v>246</v>
      </c>
      <c r="Y202" s="2" t="s">
        <v>2452</v>
      </c>
      <c r="Z202" s="2" t="s">
        <v>2168</v>
      </c>
      <c r="AA202" s="2"/>
      <c r="AB202" s="2" t="s">
        <v>63</v>
      </c>
      <c r="AC202" s="2" t="s">
        <v>77</v>
      </c>
      <c r="AD202" s="2"/>
      <c r="AE202" s="3"/>
      <c r="AF202" s="3" t="s">
        <v>2453</v>
      </c>
      <c r="AG202" s="2"/>
      <c r="AH202" s="2" t="s">
        <v>54</v>
      </c>
      <c r="AI202" s="3" t="s">
        <v>2454</v>
      </c>
      <c r="AJ202" s="3" t="s">
        <v>2455</v>
      </c>
      <c r="AK202" s="2" t="n">
        <v>609344</v>
      </c>
      <c r="AL202" s="3" t="s">
        <v>2456</v>
      </c>
      <c r="AM202" s="2"/>
      <c r="AN202" s="2"/>
      <c r="AO202" s="3"/>
      <c r="AP202" s="3"/>
      <c r="AQ202" s="2"/>
    </row>
    <row r="203" customFormat="false" ht="68.65" hidden="false" customHeight="false" outlineLevel="0" collapsed="false">
      <c r="A203" s="2" t="n">
        <v>202</v>
      </c>
      <c r="B203" s="2" t="s">
        <v>2457</v>
      </c>
      <c r="C203" s="2" t="s">
        <v>2049</v>
      </c>
      <c r="D203" s="2" t="s">
        <v>2049</v>
      </c>
      <c r="E203" s="2" t="s">
        <v>2458</v>
      </c>
      <c r="F203" s="2" t="s">
        <v>2459</v>
      </c>
      <c r="G203" s="3" t="s">
        <v>2460</v>
      </c>
      <c r="H203" s="2" t="s">
        <v>1955</v>
      </c>
      <c r="I203" s="2" t="s">
        <v>123</v>
      </c>
      <c r="J203" s="3" t="s">
        <v>2461</v>
      </c>
      <c r="K203" s="2" t="s">
        <v>1955</v>
      </c>
      <c r="L203" s="2" t="s">
        <v>1553</v>
      </c>
      <c r="M203" s="2" t="s">
        <v>2462</v>
      </c>
      <c r="N203" s="2" t="s">
        <v>63</v>
      </c>
      <c r="O203" s="2" t="s">
        <v>53</v>
      </c>
      <c r="P203" s="2" t="n">
        <v>37.8598</v>
      </c>
      <c r="Q203" s="2" t="n">
        <v>27.8346</v>
      </c>
      <c r="R203" s="2" t="s">
        <v>54</v>
      </c>
      <c r="S203" s="2" t="n">
        <v>-350</v>
      </c>
      <c r="T203" s="2" t="s">
        <v>926</v>
      </c>
      <c r="U203" s="2" t="s">
        <v>56</v>
      </c>
      <c r="V203" s="2" t="s">
        <v>78</v>
      </c>
      <c r="W203" s="2" t="s">
        <v>168</v>
      </c>
      <c r="X203" s="2" t="s">
        <v>289</v>
      </c>
      <c r="Y203" s="2" t="s">
        <v>2463</v>
      </c>
      <c r="Z203" s="2" t="s">
        <v>170</v>
      </c>
      <c r="AA203" s="2"/>
      <c r="AB203" s="2" t="s">
        <v>63</v>
      </c>
      <c r="AC203" s="2" t="s">
        <v>64</v>
      </c>
      <c r="AD203" s="2"/>
      <c r="AE203" s="3"/>
      <c r="AF203" s="3" t="s">
        <v>2464</v>
      </c>
      <c r="AG203" s="2"/>
      <c r="AH203" s="2" t="s">
        <v>54</v>
      </c>
      <c r="AI203" s="3" t="s">
        <v>2465</v>
      </c>
      <c r="AJ203" s="3" t="s">
        <v>2466</v>
      </c>
      <c r="AK203" s="2" t="n">
        <v>599987</v>
      </c>
      <c r="AL203" s="3" t="s">
        <v>2467</v>
      </c>
      <c r="AM203" s="2"/>
      <c r="AN203" s="2"/>
      <c r="AO203" s="3"/>
      <c r="AP203" s="3"/>
      <c r="AQ203" s="2"/>
    </row>
    <row r="204" customFormat="false" ht="23.85" hidden="false" customHeight="false" outlineLevel="0" collapsed="false">
      <c r="A204" s="2" t="n">
        <v>203</v>
      </c>
      <c r="B204" s="2" t="s">
        <v>2468</v>
      </c>
      <c r="C204" s="2" t="s">
        <v>2049</v>
      </c>
      <c r="D204" s="2" t="s">
        <v>2049</v>
      </c>
      <c r="E204" s="2" t="s">
        <v>2469</v>
      </c>
      <c r="F204" s="2" t="s">
        <v>2470</v>
      </c>
      <c r="G204" s="3" t="s">
        <v>2471</v>
      </c>
      <c r="H204" s="2"/>
      <c r="I204" s="2" t="s">
        <v>74</v>
      </c>
      <c r="J204" s="3" t="s">
        <v>2472</v>
      </c>
      <c r="K204" s="2" t="s">
        <v>1955</v>
      </c>
      <c r="L204" s="2" t="s">
        <v>1553</v>
      </c>
      <c r="M204" s="2"/>
      <c r="N204" s="2"/>
      <c r="O204" s="2"/>
      <c r="P204" s="2" t="n">
        <v>37.9034</v>
      </c>
      <c r="Q204" s="2" t="n">
        <v>28.145</v>
      </c>
      <c r="R204" s="2" t="s">
        <v>54</v>
      </c>
      <c r="S204" s="2" t="n">
        <v>-280</v>
      </c>
      <c r="T204" s="2" t="s">
        <v>2166</v>
      </c>
      <c r="U204" s="2" t="s">
        <v>139</v>
      </c>
      <c r="V204" s="2" t="s">
        <v>57</v>
      </c>
      <c r="W204" s="2" t="s">
        <v>195</v>
      </c>
      <c r="X204" s="2" t="s">
        <v>246</v>
      </c>
      <c r="Y204" s="2" t="s">
        <v>2473</v>
      </c>
      <c r="Z204" s="2" t="s">
        <v>2168</v>
      </c>
      <c r="AA204" s="2"/>
      <c r="AB204" s="2" t="s">
        <v>63</v>
      </c>
      <c r="AC204" s="2" t="s">
        <v>64</v>
      </c>
      <c r="AD204" s="2"/>
      <c r="AE204" s="3"/>
      <c r="AF204" s="3" t="s">
        <v>2474</v>
      </c>
      <c r="AG204" s="2"/>
      <c r="AH204" s="2" t="s">
        <v>54</v>
      </c>
      <c r="AI204" s="3" t="s">
        <v>2475</v>
      </c>
      <c r="AJ204" s="3" t="s">
        <v>2476</v>
      </c>
      <c r="AK204" s="2" t="n">
        <v>599832</v>
      </c>
      <c r="AL204" s="3" t="s">
        <v>2477</v>
      </c>
      <c r="AM204" s="2"/>
      <c r="AN204" s="2"/>
      <c r="AO204" s="3"/>
      <c r="AP204" s="3"/>
      <c r="AQ204" s="2"/>
    </row>
    <row r="205" customFormat="false" ht="23.85" hidden="false" customHeight="false" outlineLevel="0" collapsed="false">
      <c r="A205" s="2" t="n">
        <v>204</v>
      </c>
      <c r="B205" s="2" t="s">
        <v>2478</v>
      </c>
      <c r="C205" s="2" t="s">
        <v>2049</v>
      </c>
      <c r="D205" s="2" t="s">
        <v>2049</v>
      </c>
      <c r="E205" s="2" t="s">
        <v>2479</v>
      </c>
      <c r="F205" s="2" t="s">
        <v>2480</v>
      </c>
      <c r="G205" s="3" t="s">
        <v>2481</v>
      </c>
      <c r="H205" s="2"/>
      <c r="I205" s="2" t="s">
        <v>74</v>
      </c>
      <c r="J205" s="3" t="s">
        <v>2482</v>
      </c>
      <c r="K205" s="2" t="s">
        <v>1955</v>
      </c>
      <c r="L205" s="2" t="s">
        <v>1553</v>
      </c>
      <c r="M205" s="2"/>
      <c r="N205" s="2"/>
      <c r="O205" s="2"/>
      <c r="P205" s="2" t="n">
        <v>37.9504</v>
      </c>
      <c r="Q205" s="2" t="n">
        <v>28.3528</v>
      </c>
      <c r="R205" s="2" t="s">
        <v>54</v>
      </c>
      <c r="S205" s="2" t="n">
        <v>1</v>
      </c>
      <c r="T205" s="2" t="s">
        <v>2384</v>
      </c>
      <c r="U205" s="2" t="s">
        <v>56</v>
      </c>
      <c r="V205" s="2" t="s">
        <v>78</v>
      </c>
      <c r="W205" s="2" t="s">
        <v>140</v>
      </c>
      <c r="X205" s="2" t="s">
        <v>289</v>
      </c>
      <c r="Y205" s="2" t="s">
        <v>2483</v>
      </c>
      <c r="Z205" s="2" t="s">
        <v>170</v>
      </c>
      <c r="AA205" s="2"/>
      <c r="AB205" s="2" t="s">
        <v>63</v>
      </c>
      <c r="AC205" s="2" t="s">
        <v>64</v>
      </c>
      <c r="AD205" s="2"/>
      <c r="AE205" s="3"/>
      <c r="AF205" s="3" t="s">
        <v>2484</v>
      </c>
      <c r="AG205" s="2"/>
      <c r="AH205" s="2" t="s">
        <v>54</v>
      </c>
      <c r="AI205" s="3" t="s">
        <v>2485</v>
      </c>
      <c r="AJ205" s="3" t="s">
        <v>2486</v>
      </c>
      <c r="AK205" s="2" t="n">
        <v>599790</v>
      </c>
      <c r="AL205" s="3" t="s">
        <v>2487</v>
      </c>
      <c r="AM205" s="2"/>
      <c r="AN205" s="2"/>
      <c r="AO205" s="3"/>
      <c r="AP205" s="3"/>
      <c r="AQ205" s="2"/>
    </row>
    <row r="206" customFormat="false" ht="23.85" hidden="false" customHeight="false" outlineLevel="0" collapsed="false">
      <c r="A206" s="2" t="n">
        <v>205</v>
      </c>
      <c r="B206" s="2" t="s">
        <v>2488</v>
      </c>
      <c r="C206" s="2" t="s">
        <v>2049</v>
      </c>
      <c r="D206" s="2" t="s">
        <v>2049</v>
      </c>
      <c r="E206" s="2" t="s">
        <v>2489</v>
      </c>
      <c r="F206" s="2" t="s">
        <v>2490</v>
      </c>
      <c r="G206" s="3" t="s">
        <v>2491</v>
      </c>
      <c r="H206" s="2"/>
      <c r="I206" s="2" t="s">
        <v>74</v>
      </c>
      <c r="J206" s="3" t="s">
        <v>2492</v>
      </c>
      <c r="K206" s="2" t="s">
        <v>1955</v>
      </c>
      <c r="L206" s="2" t="s">
        <v>1553</v>
      </c>
      <c r="M206" s="2"/>
      <c r="N206" s="2"/>
      <c r="O206" s="2"/>
      <c r="P206" s="2" t="n">
        <v>37.9334</v>
      </c>
      <c r="Q206" s="2" t="n">
        <v>28.4436</v>
      </c>
      <c r="R206" s="2" t="s">
        <v>95</v>
      </c>
      <c r="S206" s="2" t="n">
        <v>431</v>
      </c>
      <c r="T206" s="2" t="s">
        <v>2124</v>
      </c>
      <c r="U206" s="2" t="s">
        <v>56</v>
      </c>
      <c r="V206" s="2" t="s">
        <v>245</v>
      </c>
      <c r="W206" s="2" t="s">
        <v>304</v>
      </c>
      <c r="X206" s="2" t="s">
        <v>289</v>
      </c>
      <c r="Y206" s="2" t="s">
        <v>2483</v>
      </c>
      <c r="Z206" s="2" t="s">
        <v>170</v>
      </c>
      <c r="AA206" s="2"/>
      <c r="AB206" s="2" t="s">
        <v>63</v>
      </c>
      <c r="AC206" s="2" t="s">
        <v>64</v>
      </c>
      <c r="AD206" s="2"/>
      <c r="AE206" s="3"/>
      <c r="AF206" s="3" t="s">
        <v>2493</v>
      </c>
      <c r="AG206" s="2"/>
      <c r="AH206" s="2" t="s">
        <v>113</v>
      </c>
      <c r="AI206" s="3" t="s">
        <v>2494</v>
      </c>
      <c r="AJ206" s="3" t="s">
        <v>2495</v>
      </c>
      <c r="AK206" s="2" t="n">
        <v>599493</v>
      </c>
      <c r="AL206" s="3" t="s">
        <v>2496</v>
      </c>
      <c r="AM206" s="2"/>
      <c r="AN206" s="2"/>
      <c r="AO206" s="3"/>
      <c r="AP206" s="3"/>
      <c r="AQ206" s="2"/>
    </row>
    <row r="207" customFormat="false" ht="23.85" hidden="false" customHeight="false" outlineLevel="0" collapsed="false">
      <c r="A207" s="2" t="n">
        <v>206</v>
      </c>
      <c r="B207" s="2" t="s">
        <v>2497</v>
      </c>
      <c r="C207" s="2" t="s">
        <v>2049</v>
      </c>
      <c r="D207" s="2" t="s">
        <v>2049</v>
      </c>
      <c r="E207" s="2" t="s">
        <v>2498</v>
      </c>
      <c r="F207" s="2" t="s">
        <v>2499</v>
      </c>
      <c r="G207" s="3" t="s">
        <v>2500</v>
      </c>
      <c r="H207" s="2"/>
      <c r="I207" s="2" t="s">
        <v>74</v>
      </c>
      <c r="J207" s="3" t="s">
        <v>2501</v>
      </c>
      <c r="K207" s="2" t="s">
        <v>1955</v>
      </c>
      <c r="L207" s="2" t="s">
        <v>1553</v>
      </c>
      <c r="M207" s="2"/>
      <c r="N207" s="2"/>
      <c r="O207" s="2"/>
      <c r="P207" s="2" t="n">
        <v>37.961</v>
      </c>
      <c r="Q207" s="2" t="n">
        <v>28.6496</v>
      </c>
      <c r="R207" s="2" t="s">
        <v>95</v>
      </c>
      <c r="S207" s="2" t="n">
        <v>70</v>
      </c>
      <c r="T207" s="2" t="s">
        <v>2502</v>
      </c>
      <c r="U207" s="2" t="s">
        <v>56</v>
      </c>
      <c r="V207" s="2" t="s">
        <v>78</v>
      </c>
      <c r="W207" s="2" t="s">
        <v>140</v>
      </c>
      <c r="X207" s="2" t="s">
        <v>289</v>
      </c>
      <c r="Y207" s="2" t="s">
        <v>2483</v>
      </c>
      <c r="Z207" s="2" t="s">
        <v>170</v>
      </c>
      <c r="AA207" s="2"/>
      <c r="AB207" s="2" t="s">
        <v>63</v>
      </c>
      <c r="AC207" s="2" t="s">
        <v>64</v>
      </c>
      <c r="AD207" s="2"/>
      <c r="AE207" s="3"/>
      <c r="AF207" s="3" t="s">
        <v>2503</v>
      </c>
      <c r="AG207" s="2"/>
      <c r="AH207" s="2" t="s">
        <v>113</v>
      </c>
      <c r="AI207" s="3" t="s">
        <v>2504</v>
      </c>
      <c r="AJ207" s="3" t="s">
        <v>2505</v>
      </c>
      <c r="AK207" s="2" t="n">
        <v>638793</v>
      </c>
      <c r="AL207" s="3" t="s">
        <v>2506</v>
      </c>
      <c r="AM207" s="2"/>
      <c r="AN207" s="2"/>
      <c r="AO207" s="3"/>
      <c r="AP207" s="3"/>
      <c r="AQ207" s="2"/>
    </row>
    <row r="208" customFormat="false" ht="57.45" hidden="false" customHeight="false" outlineLevel="0" collapsed="false">
      <c r="A208" s="2" t="n">
        <v>207</v>
      </c>
      <c r="B208" s="2" t="s">
        <v>2507</v>
      </c>
      <c r="C208" s="2" t="s">
        <v>2049</v>
      </c>
      <c r="D208" s="2" t="s">
        <v>2049</v>
      </c>
      <c r="E208" s="2" t="s">
        <v>2508</v>
      </c>
      <c r="F208" s="2" t="s">
        <v>2509</v>
      </c>
      <c r="G208" s="3" t="s">
        <v>2510</v>
      </c>
      <c r="H208" s="2"/>
      <c r="I208" s="2" t="s">
        <v>74</v>
      </c>
      <c r="J208" s="3" t="s">
        <v>2511</v>
      </c>
      <c r="K208" s="2" t="s">
        <v>2512</v>
      </c>
      <c r="L208" s="2" t="s">
        <v>1553</v>
      </c>
      <c r="M208" s="2"/>
      <c r="N208" s="2"/>
      <c r="O208" s="2"/>
      <c r="P208" s="2" t="n">
        <v>38.0505</v>
      </c>
      <c r="Q208" s="2" t="n">
        <v>28.9609</v>
      </c>
      <c r="R208" s="2" t="s">
        <v>54</v>
      </c>
      <c r="S208" s="2" t="n">
        <v>-100</v>
      </c>
      <c r="T208" s="2" t="s">
        <v>2084</v>
      </c>
      <c r="U208" s="2" t="s">
        <v>56</v>
      </c>
      <c r="V208" s="2" t="s">
        <v>78</v>
      </c>
      <c r="W208" s="2" t="s">
        <v>195</v>
      </c>
      <c r="X208" s="2" t="s">
        <v>169</v>
      </c>
      <c r="Y208" s="2"/>
      <c r="Z208" s="2" t="s">
        <v>170</v>
      </c>
      <c r="AA208" s="2"/>
      <c r="AB208" s="2" t="s">
        <v>81</v>
      </c>
      <c r="AC208" s="2"/>
      <c r="AD208" s="2"/>
      <c r="AE208" s="3"/>
      <c r="AF208" s="3" t="s">
        <v>2513</v>
      </c>
      <c r="AG208" s="2"/>
      <c r="AH208" s="2" t="s">
        <v>54</v>
      </c>
      <c r="AI208" s="3" t="s">
        <v>2514</v>
      </c>
      <c r="AJ208" s="3" t="s">
        <v>2515</v>
      </c>
      <c r="AK208" s="2" t="n">
        <v>639152</v>
      </c>
      <c r="AL208" s="3" t="s">
        <v>2516</v>
      </c>
      <c r="AM208" s="2"/>
      <c r="AN208" s="2"/>
      <c r="AO208" s="3" t="s">
        <v>2517</v>
      </c>
      <c r="AP208" s="3" t="s">
        <v>2518</v>
      </c>
      <c r="AQ208" s="2" t="s">
        <v>89</v>
      </c>
    </row>
    <row r="209" customFormat="false" ht="35.05" hidden="false" customHeight="false" outlineLevel="0" collapsed="false">
      <c r="A209" s="2" t="n">
        <v>208</v>
      </c>
      <c r="B209" s="2" t="s">
        <v>2519</v>
      </c>
      <c r="C209" s="2" t="s">
        <v>2520</v>
      </c>
      <c r="D209" s="2" t="s">
        <v>2520</v>
      </c>
      <c r="E209" s="2" t="s">
        <v>2521</v>
      </c>
      <c r="F209" s="2" t="s">
        <v>2522</v>
      </c>
      <c r="G209" s="3" t="s">
        <v>2523</v>
      </c>
      <c r="H209" s="2" t="s">
        <v>2524</v>
      </c>
      <c r="I209" s="2" t="s">
        <v>49</v>
      </c>
      <c r="J209" s="3" t="s">
        <v>2525</v>
      </c>
      <c r="K209" s="2" t="s">
        <v>2526</v>
      </c>
      <c r="L209" s="2" t="s">
        <v>1553</v>
      </c>
      <c r="M209" s="2"/>
      <c r="N209" s="2"/>
      <c r="O209" s="2" t="s">
        <v>53</v>
      </c>
      <c r="P209" s="2" t="n">
        <v>37.5018</v>
      </c>
      <c r="Q209" s="2" t="n">
        <v>27.525</v>
      </c>
      <c r="R209" s="2" t="s">
        <v>54</v>
      </c>
      <c r="S209" s="2" t="n">
        <v>-320</v>
      </c>
      <c r="T209" s="2" t="s">
        <v>2527</v>
      </c>
      <c r="U209" s="2" t="s">
        <v>56</v>
      </c>
      <c r="V209" s="2" t="s">
        <v>57</v>
      </c>
      <c r="W209" s="2" t="s">
        <v>195</v>
      </c>
      <c r="X209" s="2" t="s">
        <v>289</v>
      </c>
      <c r="Y209" s="2" t="s">
        <v>2528</v>
      </c>
      <c r="Z209" s="2" t="s">
        <v>170</v>
      </c>
      <c r="AA209" s="2"/>
      <c r="AB209" s="2" t="s">
        <v>63</v>
      </c>
      <c r="AC209" s="2" t="s">
        <v>452</v>
      </c>
      <c r="AD209" s="2"/>
      <c r="AE209" s="3"/>
      <c r="AF209" s="3" t="s">
        <v>2529</v>
      </c>
      <c r="AG209" s="2"/>
      <c r="AH209" s="2" t="s">
        <v>54</v>
      </c>
      <c r="AI209" s="3" t="s">
        <v>2530</v>
      </c>
      <c r="AJ209" s="3" t="s">
        <v>2531</v>
      </c>
      <c r="AK209" s="2" t="n">
        <v>599640</v>
      </c>
      <c r="AL209" s="3" t="s">
        <v>2532</v>
      </c>
      <c r="AM209" s="2"/>
      <c r="AN209" s="2"/>
      <c r="AO209" s="3"/>
      <c r="AP209" s="3"/>
      <c r="AQ209" s="2"/>
    </row>
    <row r="210" customFormat="false" ht="23.85" hidden="false" customHeight="false" outlineLevel="0" collapsed="false">
      <c r="A210" s="2" t="n">
        <v>209</v>
      </c>
      <c r="B210" s="2" t="s">
        <v>2533</v>
      </c>
      <c r="C210" s="2" t="s">
        <v>2520</v>
      </c>
      <c r="D210" s="2" t="s">
        <v>2520</v>
      </c>
      <c r="E210" s="2" t="s">
        <v>2534</v>
      </c>
      <c r="F210" s="2" t="s">
        <v>2535</v>
      </c>
      <c r="G210" s="3" t="s">
        <v>2536</v>
      </c>
      <c r="H210" s="2"/>
      <c r="I210" s="2" t="s">
        <v>74</v>
      </c>
      <c r="J210" s="3" t="s">
        <v>2537</v>
      </c>
      <c r="K210" s="2" t="s">
        <v>2526</v>
      </c>
      <c r="L210" s="2" t="s">
        <v>1553</v>
      </c>
      <c r="M210" s="2"/>
      <c r="N210" s="2"/>
      <c r="O210" s="2"/>
      <c r="P210" s="2" t="n">
        <v>37.401</v>
      </c>
      <c r="Q210" s="2" t="n">
        <v>27.5721</v>
      </c>
      <c r="R210" s="2" t="s">
        <v>54</v>
      </c>
      <c r="S210" s="2" t="n">
        <v>-320</v>
      </c>
      <c r="T210" s="2" t="s">
        <v>2527</v>
      </c>
      <c r="U210" s="2" t="s">
        <v>56</v>
      </c>
      <c r="V210" s="2" t="s">
        <v>57</v>
      </c>
      <c r="W210" s="2" t="s">
        <v>195</v>
      </c>
      <c r="X210" s="2" t="s">
        <v>289</v>
      </c>
      <c r="Y210" s="2" t="s">
        <v>2538</v>
      </c>
      <c r="Z210" s="2" t="s">
        <v>170</v>
      </c>
      <c r="AA210" s="2"/>
      <c r="AB210" s="2" t="s">
        <v>63</v>
      </c>
      <c r="AC210" s="2" t="s">
        <v>64</v>
      </c>
      <c r="AD210" s="2"/>
      <c r="AE210" s="3"/>
      <c r="AF210" s="3" t="s">
        <v>2539</v>
      </c>
      <c r="AG210" s="2"/>
      <c r="AH210" s="2" t="s">
        <v>113</v>
      </c>
      <c r="AI210" s="3" t="s">
        <v>2540</v>
      </c>
      <c r="AJ210" s="3" t="s">
        <v>2541</v>
      </c>
      <c r="AK210" s="2" t="n">
        <v>599890</v>
      </c>
      <c r="AL210" s="3" t="s">
        <v>2542</v>
      </c>
      <c r="AM210" s="2"/>
      <c r="AN210" s="2"/>
      <c r="AO210" s="3"/>
      <c r="AP210" s="3"/>
      <c r="AQ210" s="2"/>
    </row>
    <row r="211" customFormat="false" ht="46.25" hidden="false" customHeight="false" outlineLevel="0" collapsed="false">
      <c r="A211" s="2" t="n">
        <v>210</v>
      </c>
      <c r="B211" s="2" t="s">
        <v>2543</v>
      </c>
      <c r="C211" s="2" t="s">
        <v>2520</v>
      </c>
      <c r="D211" s="2" t="s">
        <v>2520</v>
      </c>
      <c r="E211" s="2" t="s">
        <v>2544</v>
      </c>
      <c r="F211" s="2" t="s">
        <v>2545</v>
      </c>
      <c r="G211" s="3" t="s">
        <v>2546</v>
      </c>
      <c r="H211" s="2" t="s">
        <v>2547</v>
      </c>
      <c r="I211" s="2" t="s">
        <v>49</v>
      </c>
      <c r="J211" s="3" t="s">
        <v>2548</v>
      </c>
      <c r="K211" s="2" t="s">
        <v>2526</v>
      </c>
      <c r="L211" s="2" t="s">
        <v>1553</v>
      </c>
      <c r="M211" s="2"/>
      <c r="N211" s="2"/>
      <c r="O211" s="2" t="s">
        <v>53</v>
      </c>
      <c r="P211" s="2" t="n">
        <v>37.2792</v>
      </c>
      <c r="Q211" s="2" t="n">
        <v>27.5849</v>
      </c>
      <c r="R211" s="2" t="s">
        <v>54</v>
      </c>
      <c r="S211" s="2" t="n">
        <v>-900</v>
      </c>
      <c r="T211" s="2" t="s">
        <v>1680</v>
      </c>
      <c r="U211" s="2" t="s">
        <v>77</v>
      </c>
      <c r="V211" s="2" t="s">
        <v>78</v>
      </c>
      <c r="W211" s="2" t="s">
        <v>1637</v>
      </c>
      <c r="X211" s="2" t="s">
        <v>901</v>
      </c>
      <c r="Y211" s="2" t="s">
        <v>2549</v>
      </c>
      <c r="Z211" s="2" t="s">
        <v>1781</v>
      </c>
      <c r="AA211" s="2"/>
      <c r="AB211" s="2" t="s">
        <v>63</v>
      </c>
      <c r="AC211" s="2" t="s">
        <v>77</v>
      </c>
      <c r="AD211" s="2"/>
      <c r="AE211" s="3"/>
      <c r="AF211" s="3" t="s">
        <v>2550</v>
      </c>
      <c r="AG211" s="2"/>
      <c r="AH211" s="2" t="s">
        <v>54</v>
      </c>
      <c r="AI211" s="3" t="s">
        <v>2551</v>
      </c>
      <c r="AJ211" s="3" t="s">
        <v>2552</v>
      </c>
      <c r="AK211" s="2" t="n">
        <v>599664</v>
      </c>
      <c r="AL211" s="3" t="s">
        <v>2553</v>
      </c>
      <c r="AM211" s="2"/>
      <c r="AN211" s="2"/>
      <c r="AO211" s="3"/>
      <c r="AP211" s="3"/>
      <c r="AQ211" s="2"/>
    </row>
    <row r="212" customFormat="false" ht="35.05" hidden="false" customHeight="false" outlineLevel="0" collapsed="false">
      <c r="A212" s="2" t="n">
        <v>211</v>
      </c>
      <c r="B212" s="2" t="s">
        <v>2554</v>
      </c>
      <c r="C212" s="2" t="s">
        <v>2520</v>
      </c>
      <c r="D212" s="2" t="s">
        <v>2520</v>
      </c>
      <c r="E212" s="2" t="s">
        <v>2555</v>
      </c>
      <c r="F212" s="2" t="s">
        <v>2556</v>
      </c>
      <c r="G212" s="3" t="s">
        <v>2557</v>
      </c>
      <c r="H212" s="2"/>
      <c r="I212" s="2" t="s">
        <v>74</v>
      </c>
      <c r="J212" s="3" t="s">
        <v>2558</v>
      </c>
      <c r="K212" s="2" t="s">
        <v>2526</v>
      </c>
      <c r="L212" s="2" t="s">
        <v>1553</v>
      </c>
      <c r="M212" s="2"/>
      <c r="N212" s="2"/>
      <c r="O212" s="2"/>
      <c r="P212" s="2" t="n">
        <v>37.1951</v>
      </c>
      <c r="Q212" s="2" t="n">
        <v>27.5893</v>
      </c>
      <c r="R212" s="2" t="s">
        <v>54</v>
      </c>
      <c r="S212" s="2" t="n">
        <v>-350</v>
      </c>
      <c r="T212" s="2" t="s">
        <v>926</v>
      </c>
      <c r="U212" s="2" t="s">
        <v>56</v>
      </c>
      <c r="V212" s="2" t="s">
        <v>78</v>
      </c>
      <c r="W212" s="2" t="s">
        <v>168</v>
      </c>
      <c r="X212" s="2" t="s">
        <v>289</v>
      </c>
      <c r="Y212" s="2" t="s">
        <v>2559</v>
      </c>
      <c r="Z212" s="2" t="s">
        <v>170</v>
      </c>
      <c r="AA212" s="2"/>
      <c r="AB212" s="2" t="s">
        <v>63</v>
      </c>
      <c r="AC212" s="2" t="s">
        <v>64</v>
      </c>
      <c r="AD212" s="2"/>
      <c r="AE212" s="3"/>
      <c r="AF212" s="3" t="s">
        <v>2560</v>
      </c>
      <c r="AG212" s="2"/>
      <c r="AH212" s="2" t="s">
        <v>54</v>
      </c>
      <c r="AI212" s="3" t="s">
        <v>2561</v>
      </c>
      <c r="AJ212" s="3" t="s">
        <v>2562</v>
      </c>
      <c r="AK212" s="2" t="n">
        <v>599550</v>
      </c>
      <c r="AL212" s="3" t="s">
        <v>2563</v>
      </c>
      <c r="AM212" s="2"/>
      <c r="AN212" s="2"/>
      <c r="AO212" s="3"/>
      <c r="AP212" s="3"/>
      <c r="AQ212" s="2"/>
    </row>
    <row r="213" customFormat="false" ht="35.05" hidden="false" customHeight="false" outlineLevel="0" collapsed="false">
      <c r="A213" s="2" t="n">
        <v>212</v>
      </c>
      <c r="B213" s="2" t="s">
        <v>2564</v>
      </c>
      <c r="C213" s="2" t="s">
        <v>2520</v>
      </c>
      <c r="D213" s="2" t="s">
        <v>2520</v>
      </c>
      <c r="E213" s="2" t="s">
        <v>2565</v>
      </c>
      <c r="F213" s="2" t="s">
        <v>2566</v>
      </c>
      <c r="G213" s="3" t="s">
        <v>2567</v>
      </c>
      <c r="H213" s="2" t="s">
        <v>2568</v>
      </c>
      <c r="I213" s="2" t="s">
        <v>49</v>
      </c>
      <c r="J213" s="3" t="s">
        <v>2569</v>
      </c>
      <c r="K213" s="2" t="s">
        <v>2526</v>
      </c>
      <c r="L213" s="2" t="s">
        <v>1553</v>
      </c>
      <c r="M213" s="2"/>
      <c r="N213" s="2"/>
      <c r="O213" s="2" t="s">
        <v>53</v>
      </c>
      <c r="P213" s="2" t="n">
        <v>37.1263</v>
      </c>
      <c r="Q213" s="2" t="n">
        <v>27.378</v>
      </c>
      <c r="R213" s="2" t="s">
        <v>95</v>
      </c>
      <c r="S213" s="2" t="n">
        <v>-300</v>
      </c>
      <c r="T213" s="2" t="s">
        <v>1942</v>
      </c>
      <c r="U213" s="2" t="s">
        <v>56</v>
      </c>
      <c r="V213" s="2" t="s">
        <v>78</v>
      </c>
      <c r="W213" s="2" t="s">
        <v>195</v>
      </c>
      <c r="X213" s="2" t="s">
        <v>289</v>
      </c>
      <c r="Y213" s="2" t="s">
        <v>2538</v>
      </c>
      <c r="Z213" s="2" t="s">
        <v>170</v>
      </c>
      <c r="AA213" s="2"/>
      <c r="AB213" s="2" t="s">
        <v>63</v>
      </c>
      <c r="AC213" s="2" t="s">
        <v>64</v>
      </c>
      <c r="AD213" s="2"/>
      <c r="AE213" s="3"/>
      <c r="AF213" s="3" t="s">
        <v>2570</v>
      </c>
      <c r="AG213" s="2"/>
      <c r="AH213" s="2" t="s">
        <v>263</v>
      </c>
      <c r="AI213" s="3" t="s">
        <v>2571</v>
      </c>
      <c r="AJ213" s="3" t="s">
        <v>2572</v>
      </c>
      <c r="AK213" s="2" t="n">
        <v>599694</v>
      </c>
      <c r="AL213" s="3" t="s">
        <v>2573</v>
      </c>
      <c r="AM213" s="2"/>
      <c r="AN213" s="2"/>
      <c r="AO213" s="3"/>
      <c r="AP213" s="3"/>
      <c r="AQ213" s="2"/>
    </row>
    <row r="214" customFormat="false" ht="35.05" hidden="false" customHeight="false" outlineLevel="0" collapsed="false">
      <c r="A214" s="2" t="n">
        <v>213</v>
      </c>
      <c r="B214" s="2" t="s">
        <v>2574</v>
      </c>
      <c r="C214" s="2" t="s">
        <v>2520</v>
      </c>
      <c r="D214" s="2" t="s">
        <v>2520</v>
      </c>
      <c r="E214" s="2" t="s">
        <v>2575</v>
      </c>
      <c r="F214" s="2" t="s">
        <v>2576</v>
      </c>
      <c r="G214" s="3" t="s">
        <v>2577</v>
      </c>
      <c r="H214" s="2" t="s">
        <v>2578</v>
      </c>
      <c r="I214" s="2" t="s">
        <v>49</v>
      </c>
      <c r="J214" s="3" t="s">
        <v>2579</v>
      </c>
      <c r="K214" s="2" t="s">
        <v>2526</v>
      </c>
      <c r="L214" s="2" t="s">
        <v>1553</v>
      </c>
      <c r="M214" s="2"/>
      <c r="N214" s="2"/>
      <c r="O214" s="2" t="s">
        <v>53</v>
      </c>
      <c r="P214" s="2" t="n">
        <v>37.0556</v>
      </c>
      <c r="Q214" s="2" t="n">
        <v>27.2341</v>
      </c>
      <c r="R214" s="2" t="s">
        <v>54</v>
      </c>
      <c r="S214" s="2" t="n">
        <v>-500</v>
      </c>
      <c r="T214" s="2" t="s">
        <v>55</v>
      </c>
      <c r="U214" s="2" t="s">
        <v>56</v>
      </c>
      <c r="V214" s="2" t="s">
        <v>57</v>
      </c>
      <c r="W214" s="2" t="s">
        <v>58</v>
      </c>
      <c r="X214" s="2" t="s">
        <v>901</v>
      </c>
      <c r="Y214" s="2" t="s">
        <v>2580</v>
      </c>
      <c r="Z214" s="2" t="s">
        <v>2581</v>
      </c>
      <c r="AA214" s="2"/>
      <c r="AB214" s="2" t="s">
        <v>63</v>
      </c>
      <c r="AC214" s="2" t="s">
        <v>64</v>
      </c>
      <c r="AD214" s="2" t="s">
        <v>2582</v>
      </c>
      <c r="AE214" s="3" t="s">
        <v>2583</v>
      </c>
      <c r="AF214" s="3" t="s">
        <v>2550</v>
      </c>
      <c r="AG214" s="2"/>
      <c r="AH214" s="2" t="s">
        <v>54</v>
      </c>
      <c r="AI214" s="3" t="s">
        <v>2584</v>
      </c>
      <c r="AJ214" s="3" t="s">
        <v>2585</v>
      </c>
      <c r="AK214" s="2" t="n">
        <v>599811</v>
      </c>
      <c r="AL214" s="3" t="s">
        <v>2586</v>
      </c>
      <c r="AM214" s="2"/>
      <c r="AN214" s="2"/>
      <c r="AO214" s="3"/>
      <c r="AP214" s="3"/>
      <c r="AQ214" s="2"/>
    </row>
    <row r="215" customFormat="false" ht="57.45" hidden="false" customHeight="false" outlineLevel="0" collapsed="false">
      <c r="A215" s="2" t="n">
        <v>214</v>
      </c>
      <c r="B215" s="2" t="s">
        <v>2587</v>
      </c>
      <c r="C215" s="2" t="s">
        <v>2520</v>
      </c>
      <c r="D215" s="2" t="s">
        <v>2520</v>
      </c>
      <c r="E215" s="2" t="s">
        <v>2588</v>
      </c>
      <c r="F215" s="2" t="s">
        <v>2589</v>
      </c>
      <c r="G215" s="3" t="s">
        <v>2590</v>
      </c>
      <c r="H215" s="2"/>
      <c r="I215" s="2" t="s">
        <v>74</v>
      </c>
      <c r="J215" s="3" t="s">
        <v>2591</v>
      </c>
      <c r="K215" s="2" t="s">
        <v>2526</v>
      </c>
      <c r="L215" s="2" t="s">
        <v>1553</v>
      </c>
      <c r="M215" s="2"/>
      <c r="N215" s="2"/>
      <c r="O215" s="2"/>
      <c r="P215" s="2" t="n">
        <v>36.9959</v>
      </c>
      <c r="Q215" s="2" t="n">
        <v>27.2984</v>
      </c>
      <c r="R215" s="2" t="s">
        <v>54</v>
      </c>
      <c r="S215" s="2" t="n">
        <v>-350</v>
      </c>
      <c r="T215" s="2" t="s">
        <v>926</v>
      </c>
      <c r="U215" s="2" t="s">
        <v>56</v>
      </c>
      <c r="V215" s="2" t="s">
        <v>78</v>
      </c>
      <c r="W215" s="2" t="s">
        <v>168</v>
      </c>
      <c r="X215" s="2" t="s">
        <v>289</v>
      </c>
      <c r="Y215" s="2" t="s">
        <v>2592</v>
      </c>
      <c r="Z215" s="2" t="s">
        <v>170</v>
      </c>
      <c r="AA215" s="2"/>
      <c r="AB215" s="2" t="s">
        <v>63</v>
      </c>
      <c r="AC215" s="2" t="s">
        <v>64</v>
      </c>
      <c r="AD215" s="2"/>
      <c r="AE215" s="3"/>
      <c r="AF215" s="3" t="s">
        <v>2593</v>
      </c>
      <c r="AG215" s="2"/>
      <c r="AH215" s="2" t="s">
        <v>263</v>
      </c>
      <c r="AI215" s="3" t="s">
        <v>2594</v>
      </c>
      <c r="AJ215" s="3" t="s">
        <v>2595</v>
      </c>
      <c r="AK215" s="2" t="n">
        <v>599965</v>
      </c>
      <c r="AL215" s="3" t="s">
        <v>2596</v>
      </c>
      <c r="AM215" s="2"/>
      <c r="AN215" s="2"/>
      <c r="AO215" s="3"/>
      <c r="AP215" s="3"/>
      <c r="AQ215" s="2"/>
    </row>
    <row r="216" customFormat="false" ht="79.85" hidden="false" customHeight="false" outlineLevel="0" collapsed="false">
      <c r="A216" s="2" t="n">
        <v>215</v>
      </c>
      <c r="B216" s="2" t="s">
        <v>2597</v>
      </c>
      <c r="C216" s="2" t="s">
        <v>2520</v>
      </c>
      <c r="D216" s="2" t="s">
        <v>2520</v>
      </c>
      <c r="E216" s="2" t="s">
        <v>2598</v>
      </c>
      <c r="F216" s="2" t="s">
        <v>2599</v>
      </c>
      <c r="G216" s="3" t="s">
        <v>2600</v>
      </c>
      <c r="H216" s="2" t="s">
        <v>2601</v>
      </c>
      <c r="I216" s="2" t="s">
        <v>123</v>
      </c>
      <c r="J216" s="3" t="s">
        <v>2602</v>
      </c>
      <c r="K216" s="2" t="s">
        <v>2526</v>
      </c>
      <c r="L216" s="2" t="s">
        <v>1553</v>
      </c>
      <c r="M216" s="2" t="s">
        <v>2601</v>
      </c>
      <c r="N216" s="2"/>
      <c r="O216" s="2" t="s">
        <v>53</v>
      </c>
      <c r="P216" s="2" t="n">
        <v>37.0404</v>
      </c>
      <c r="Q216" s="2" t="n">
        <v>27.4222</v>
      </c>
      <c r="R216" s="2" t="s">
        <v>54</v>
      </c>
      <c r="S216" s="2" t="n">
        <v>-900</v>
      </c>
      <c r="T216" s="2" t="s">
        <v>1680</v>
      </c>
      <c r="U216" s="2" t="s">
        <v>96</v>
      </c>
      <c r="V216" s="2" t="s">
        <v>97</v>
      </c>
      <c r="W216" s="2" t="s">
        <v>1637</v>
      </c>
      <c r="X216" s="2" t="s">
        <v>901</v>
      </c>
      <c r="Y216" s="2" t="s">
        <v>2603</v>
      </c>
      <c r="Z216" s="2" t="s">
        <v>2581</v>
      </c>
      <c r="AA216" s="2"/>
      <c r="AB216" s="2" t="s">
        <v>63</v>
      </c>
      <c r="AC216" s="2" t="s">
        <v>64</v>
      </c>
      <c r="AD216" s="2"/>
      <c r="AE216" s="3" t="s">
        <v>2604</v>
      </c>
      <c r="AF216" s="3" t="s">
        <v>2605</v>
      </c>
      <c r="AG216" s="2"/>
      <c r="AH216" s="2" t="s">
        <v>54</v>
      </c>
      <c r="AI216" s="3" t="s">
        <v>2606</v>
      </c>
      <c r="AJ216" s="3" t="s">
        <v>2607</v>
      </c>
      <c r="AK216" s="2" t="n">
        <v>599636</v>
      </c>
      <c r="AL216" s="3" t="s">
        <v>2608</v>
      </c>
      <c r="AM216" s="2"/>
      <c r="AN216" s="2"/>
      <c r="AO216" s="3"/>
      <c r="AP216" s="3"/>
      <c r="AQ216" s="2"/>
    </row>
    <row r="217" customFormat="false" ht="35.05" hidden="false" customHeight="false" outlineLevel="0" collapsed="false">
      <c r="A217" s="2" t="n">
        <v>216</v>
      </c>
      <c r="B217" s="2" t="s">
        <v>2609</v>
      </c>
      <c r="C217" s="2" t="s">
        <v>2520</v>
      </c>
      <c r="D217" s="2" t="s">
        <v>2520</v>
      </c>
      <c r="E217" s="2" t="s">
        <v>2610</v>
      </c>
      <c r="F217" s="2" t="s">
        <v>2611</v>
      </c>
      <c r="G217" s="3" t="s">
        <v>2612</v>
      </c>
      <c r="H217" s="2"/>
      <c r="I217" s="2" t="s">
        <v>74</v>
      </c>
      <c r="J217" s="3" t="s">
        <v>2613</v>
      </c>
      <c r="K217" s="2" t="s">
        <v>2526</v>
      </c>
      <c r="L217" s="2" t="s">
        <v>1553</v>
      </c>
      <c r="M217" s="2"/>
      <c r="N217" s="2"/>
      <c r="O217" s="2"/>
      <c r="P217" s="2" t="n">
        <v>37.0436</v>
      </c>
      <c r="Q217" s="2" t="n">
        <v>27.5961</v>
      </c>
      <c r="R217" s="2" t="s">
        <v>54</v>
      </c>
      <c r="S217" s="2" t="n">
        <v>-350</v>
      </c>
      <c r="T217" s="2" t="s">
        <v>926</v>
      </c>
      <c r="U217" s="2" t="s">
        <v>56</v>
      </c>
      <c r="V217" s="2" t="s">
        <v>78</v>
      </c>
      <c r="W217" s="2" t="s">
        <v>168</v>
      </c>
      <c r="X217" s="2" t="s">
        <v>289</v>
      </c>
      <c r="Y217" s="2" t="s">
        <v>2614</v>
      </c>
      <c r="Z217" s="2" t="s">
        <v>170</v>
      </c>
      <c r="AA217" s="2"/>
      <c r="AB217" s="2" t="s">
        <v>63</v>
      </c>
      <c r="AC217" s="2" t="s">
        <v>452</v>
      </c>
      <c r="AD217" s="2"/>
      <c r="AE217" s="3"/>
      <c r="AF217" s="3" t="s">
        <v>2615</v>
      </c>
      <c r="AG217" s="2"/>
      <c r="AH217" s="2" t="s">
        <v>54</v>
      </c>
      <c r="AI217" s="3" t="s">
        <v>2616</v>
      </c>
      <c r="AJ217" s="3" t="s">
        <v>2617</v>
      </c>
      <c r="AK217" s="2" t="n">
        <v>599969</v>
      </c>
      <c r="AL217" s="3" t="s">
        <v>2618</v>
      </c>
      <c r="AM217" s="2"/>
      <c r="AN217" s="2"/>
      <c r="AO217" s="3"/>
      <c r="AP217" s="3"/>
      <c r="AQ217" s="2"/>
    </row>
    <row r="218" customFormat="false" ht="23.85" hidden="false" customHeight="false" outlineLevel="0" collapsed="false">
      <c r="A218" s="2" t="n">
        <v>217</v>
      </c>
      <c r="B218" s="2" t="s">
        <v>2619</v>
      </c>
      <c r="C218" s="2" t="s">
        <v>2520</v>
      </c>
      <c r="D218" s="2" t="s">
        <v>2520</v>
      </c>
      <c r="E218" s="2" t="s">
        <v>2620</v>
      </c>
      <c r="F218" s="2" t="s">
        <v>2621</v>
      </c>
      <c r="G218" s="3" t="s">
        <v>2622</v>
      </c>
      <c r="H218" s="2" t="s">
        <v>1305</v>
      </c>
      <c r="I218" s="2" t="s">
        <v>123</v>
      </c>
      <c r="J218" s="3" t="s">
        <v>2623</v>
      </c>
      <c r="K218" s="2" t="s">
        <v>2526</v>
      </c>
      <c r="L218" s="2" t="s">
        <v>1553</v>
      </c>
      <c r="M218" s="2"/>
      <c r="N218" s="2"/>
      <c r="O218" s="2" t="s">
        <v>53</v>
      </c>
      <c r="P218" s="2" t="n">
        <v>37.0417</v>
      </c>
      <c r="Q218" s="2" t="n">
        <v>27.9562</v>
      </c>
      <c r="R218" s="2" t="s">
        <v>54</v>
      </c>
      <c r="S218" s="2" t="n">
        <v>-350</v>
      </c>
      <c r="T218" s="2" t="s">
        <v>926</v>
      </c>
      <c r="U218" s="2" t="s">
        <v>56</v>
      </c>
      <c r="V218" s="2" t="s">
        <v>78</v>
      </c>
      <c r="W218" s="2" t="s">
        <v>168</v>
      </c>
      <c r="X218" s="2" t="s">
        <v>289</v>
      </c>
      <c r="Y218" s="2" t="s">
        <v>2538</v>
      </c>
      <c r="Z218" s="2" t="s">
        <v>170</v>
      </c>
      <c r="AA218" s="2"/>
      <c r="AB218" s="2" t="s">
        <v>63</v>
      </c>
      <c r="AC218" s="2" t="s">
        <v>64</v>
      </c>
      <c r="AD218" s="2"/>
      <c r="AE218" s="3"/>
      <c r="AF218" s="3" t="s">
        <v>2624</v>
      </c>
      <c r="AG218" s="2"/>
      <c r="AH218" s="2" t="s">
        <v>54</v>
      </c>
      <c r="AI218" s="3" t="s">
        <v>2625</v>
      </c>
      <c r="AJ218" s="3" t="s">
        <v>2626</v>
      </c>
      <c r="AK218" s="2" t="n">
        <v>599707</v>
      </c>
      <c r="AL218" s="3" t="s">
        <v>2563</v>
      </c>
      <c r="AM218" s="2"/>
      <c r="AN218" s="2"/>
      <c r="AO218" s="3"/>
      <c r="AP218" s="3"/>
      <c r="AQ218" s="2"/>
    </row>
    <row r="219" customFormat="false" ht="68.65" hidden="false" customHeight="false" outlineLevel="0" collapsed="false">
      <c r="A219" s="2" t="n">
        <v>218</v>
      </c>
      <c r="B219" s="2" t="s">
        <v>2627</v>
      </c>
      <c r="C219" s="2" t="s">
        <v>2520</v>
      </c>
      <c r="D219" s="2" t="s">
        <v>2520</v>
      </c>
      <c r="E219" s="2" t="s">
        <v>2628</v>
      </c>
      <c r="F219" s="2" t="s">
        <v>2629</v>
      </c>
      <c r="G219" s="3" t="s">
        <v>2630</v>
      </c>
      <c r="H219" s="2"/>
      <c r="I219" s="2" t="s">
        <v>74</v>
      </c>
      <c r="J219" s="3" t="s">
        <v>2631</v>
      </c>
      <c r="K219" s="2" t="s">
        <v>2526</v>
      </c>
      <c r="L219" s="2" t="s">
        <v>1553</v>
      </c>
      <c r="M219" s="2"/>
      <c r="N219" s="2"/>
      <c r="O219" s="2"/>
      <c r="P219" s="2" t="n">
        <v>36.6882</v>
      </c>
      <c r="Q219" s="2" t="n">
        <v>27.3728</v>
      </c>
      <c r="R219" s="2" t="s">
        <v>54</v>
      </c>
      <c r="S219" s="2" t="n">
        <v>-900</v>
      </c>
      <c r="T219" s="2" t="s">
        <v>1680</v>
      </c>
      <c r="U219" s="2" t="s">
        <v>96</v>
      </c>
      <c r="V219" s="2" t="s">
        <v>97</v>
      </c>
      <c r="W219" s="2" t="s">
        <v>1637</v>
      </c>
      <c r="X219" s="2" t="s">
        <v>901</v>
      </c>
      <c r="Y219" s="2" t="s">
        <v>2632</v>
      </c>
      <c r="Z219" s="2" t="s">
        <v>2581</v>
      </c>
      <c r="AA219" s="2"/>
      <c r="AB219" s="2" t="s">
        <v>695</v>
      </c>
      <c r="AC219" s="2" t="s">
        <v>696</v>
      </c>
      <c r="AD219" s="2"/>
      <c r="AE219" s="3"/>
      <c r="AF219" s="3" t="s">
        <v>2633</v>
      </c>
      <c r="AG219" s="2"/>
      <c r="AH219" s="2" t="s">
        <v>54</v>
      </c>
      <c r="AI219" s="3" t="s">
        <v>2634</v>
      </c>
      <c r="AJ219" s="3" t="s">
        <v>2635</v>
      </c>
      <c r="AK219" s="2" t="n">
        <v>599575</v>
      </c>
      <c r="AL219" s="3" t="s">
        <v>2636</v>
      </c>
      <c r="AM219" s="2"/>
      <c r="AN219" s="2"/>
      <c r="AO219" s="3" t="s">
        <v>2637</v>
      </c>
      <c r="AP219" s="3" t="s">
        <v>2638</v>
      </c>
      <c r="AQ219" s="2" t="s">
        <v>151</v>
      </c>
    </row>
    <row r="220" customFormat="false" ht="79.85" hidden="false" customHeight="false" outlineLevel="0" collapsed="false">
      <c r="A220" s="2" t="n">
        <v>219</v>
      </c>
      <c r="B220" s="2" t="s">
        <v>2639</v>
      </c>
      <c r="C220" s="2" t="s">
        <v>2520</v>
      </c>
      <c r="D220" s="2" t="s">
        <v>2520</v>
      </c>
      <c r="E220" s="2" t="s">
        <v>2640</v>
      </c>
      <c r="F220" s="2" t="s">
        <v>2641</v>
      </c>
      <c r="G220" s="3" t="s">
        <v>2642</v>
      </c>
      <c r="H220" s="2" t="s">
        <v>2643</v>
      </c>
      <c r="I220" s="2" t="s">
        <v>123</v>
      </c>
      <c r="J220" s="3" t="s">
        <v>2644</v>
      </c>
      <c r="K220" s="2" t="s">
        <v>2526</v>
      </c>
      <c r="L220" s="2" t="s">
        <v>1553</v>
      </c>
      <c r="M220" s="2" t="s">
        <v>2643</v>
      </c>
      <c r="N220" s="2"/>
      <c r="O220" s="2" t="s">
        <v>5</v>
      </c>
      <c r="P220" s="2" t="n">
        <v>36.7422</v>
      </c>
      <c r="Q220" s="2" t="n">
        <v>27.6483</v>
      </c>
      <c r="R220" s="2" t="s">
        <v>95</v>
      </c>
      <c r="S220" s="2" t="n">
        <v>787</v>
      </c>
      <c r="T220" s="2" t="s">
        <v>464</v>
      </c>
      <c r="U220" s="2" t="s">
        <v>56</v>
      </c>
      <c r="V220" s="2" t="s">
        <v>245</v>
      </c>
      <c r="W220" s="2" t="s">
        <v>304</v>
      </c>
      <c r="X220" s="2" t="s">
        <v>169</v>
      </c>
      <c r="Y220" s="2" t="s">
        <v>81</v>
      </c>
      <c r="Z220" s="2" t="s">
        <v>170</v>
      </c>
      <c r="AA220" s="2"/>
      <c r="AB220" s="2" t="s">
        <v>695</v>
      </c>
      <c r="AC220" s="2" t="s">
        <v>696</v>
      </c>
      <c r="AD220" s="2"/>
      <c r="AE220" s="3"/>
      <c r="AF220" s="3" t="s">
        <v>2645</v>
      </c>
      <c r="AG220" s="2"/>
      <c r="AH220" s="2" t="s">
        <v>113</v>
      </c>
      <c r="AI220" s="3" t="s">
        <v>2646</v>
      </c>
      <c r="AJ220" s="3" t="s">
        <v>2647</v>
      </c>
      <c r="AK220" s="2" t="n">
        <v>599945</v>
      </c>
      <c r="AL220" s="3" t="s">
        <v>2648</v>
      </c>
      <c r="AM220" s="2"/>
      <c r="AN220" s="2" t="s">
        <v>200</v>
      </c>
      <c r="AO220" s="3" t="s">
        <v>2649</v>
      </c>
      <c r="AP220" s="3" t="s">
        <v>2650</v>
      </c>
      <c r="AQ220" s="2" t="s">
        <v>89</v>
      </c>
    </row>
    <row r="221" customFormat="false" ht="46.25" hidden="false" customHeight="false" outlineLevel="0" collapsed="false">
      <c r="A221" s="2" t="n">
        <v>220</v>
      </c>
      <c r="B221" s="2" t="s">
        <v>2651</v>
      </c>
      <c r="C221" s="2" t="s">
        <v>2520</v>
      </c>
      <c r="D221" s="2" t="s">
        <v>2520</v>
      </c>
      <c r="E221" s="2" t="s">
        <v>2652</v>
      </c>
      <c r="F221" s="2" t="s">
        <v>2653</v>
      </c>
      <c r="G221" s="3"/>
      <c r="H221" s="2"/>
      <c r="I221" s="2" t="s">
        <v>74</v>
      </c>
      <c r="J221" s="3" t="s">
        <v>2654</v>
      </c>
      <c r="K221" s="2" t="s">
        <v>2526</v>
      </c>
      <c r="L221" s="2" t="s">
        <v>1553</v>
      </c>
      <c r="M221" s="2"/>
      <c r="N221" s="2"/>
      <c r="O221" s="2"/>
      <c r="P221" s="2" t="n">
        <v>37.0594</v>
      </c>
      <c r="Q221" s="2" t="n">
        <v>28.3673</v>
      </c>
      <c r="R221" s="2" t="s">
        <v>54</v>
      </c>
      <c r="S221" s="2" t="n">
        <v>-350</v>
      </c>
      <c r="T221" s="2" t="s">
        <v>926</v>
      </c>
      <c r="U221" s="2" t="s">
        <v>56</v>
      </c>
      <c r="V221" s="2" t="s">
        <v>78</v>
      </c>
      <c r="W221" s="2" t="s">
        <v>168</v>
      </c>
      <c r="X221" s="2" t="s">
        <v>289</v>
      </c>
      <c r="Y221" s="2" t="s">
        <v>2538</v>
      </c>
      <c r="Z221" s="2" t="s">
        <v>170</v>
      </c>
      <c r="AA221" s="2"/>
      <c r="AB221" s="2" t="s">
        <v>63</v>
      </c>
      <c r="AC221" s="2" t="s">
        <v>64</v>
      </c>
      <c r="AD221" s="2"/>
      <c r="AE221" s="3"/>
      <c r="AF221" s="3" t="s">
        <v>2655</v>
      </c>
      <c r="AG221" s="2"/>
      <c r="AH221" s="2" t="s">
        <v>113</v>
      </c>
      <c r="AI221" s="3" t="s">
        <v>2656</v>
      </c>
      <c r="AJ221" s="3" t="s">
        <v>2657</v>
      </c>
      <c r="AK221" s="2" t="n">
        <v>599666</v>
      </c>
      <c r="AL221" s="3" t="s">
        <v>2658</v>
      </c>
      <c r="AM221" s="2"/>
      <c r="AN221" s="2"/>
      <c r="AO221" s="3"/>
      <c r="AP221" s="3"/>
      <c r="AQ221" s="2"/>
    </row>
    <row r="222" customFormat="false" ht="35.05" hidden="false" customHeight="false" outlineLevel="0" collapsed="false">
      <c r="A222" s="2" t="n">
        <v>221</v>
      </c>
      <c r="B222" s="2" t="s">
        <v>2659</v>
      </c>
      <c r="C222" s="2" t="s">
        <v>2520</v>
      </c>
      <c r="D222" s="2" t="s">
        <v>2520</v>
      </c>
      <c r="E222" s="2" t="s">
        <v>2660</v>
      </c>
      <c r="F222" s="2" t="s">
        <v>2661</v>
      </c>
      <c r="G222" s="3" t="s">
        <v>2662</v>
      </c>
      <c r="H222" s="2"/>
      <c r="I222" s="2" t="s">
        <v>74</v>
      </c>
      <c r="J222" s="3" t="s">
        <v>2663</v>
      </c>
      <c r="K222" s="2" t="s">
        <v>2526</v>
      </c>
      <c r="L222" s="2" t="s">
        <v>1553</v>
      </c>
      <c r="M222" s="2"/>
      <c r="N222" s="2"/>
      <c r="O222" s="2"/>
      <c r="P222" s="2" t="n">
        <v>36.993</v>
      </c>
      <c r="Q222" s="2" t="n">
        <v>28.2068</v>
      </c>
      <c r="R222" s="2" t="s">
        <v>54</v>
      </c>
      <c r="S222" s="2" t="n">
        <v>-454</v>
      </c>
      <c r="T222" s="2" t="s">
        <v>408</v>
      </c>
      <c r="U222" s="2" t="s">
        <v>56</v>
      </c>
      <c r="V222" s="2" t="s">
        <v>57</v>
      </c>
      <c r="W222" s="2" t="s">
        <v>168</v>
      </c>
      <c r="X222" s="2" t="s">
        <v>289</v>
      </c>
      <c r="Y222" s="2" t="s">
        <v>2664</v>
      </c>
      <c r="Z222" s="2" t="s">
        <v>170</v>
      </c>
      <c r="AA222" s="2"/>
      <c r="AB222" s="2" t="s">
        <v>63</v>
      </c>
      <c r="AC222" s="2" t="s">
        <v>64</v>
      </c>
      <c r="AD222" s="2"/>
      <c r="AE222" s="3"/>
      <c r="AF222" s="3" t="s">
        <v>2665</v>
      </c>
      <c r="AG222" s="2" t="s">
        <v>2666</v>
      </c>
      <c r="AH222" s="2" t="s">
        <v>263</v>
      </c>
      <c r="AI222" s="3" t="s">
        <v>2667</v>
      </c>
      <c r="AJ222" s="3" t="s">
        <v>2668</v>
      </c>
      <c r="AK222" s="2" t="n">
        <v>599702</v>
      </c>
      <c r="AL222" s="3" t="s">
        <v>2669</v>
      </c>
      <c r="AM222" s="2"/>
      <c r="AN222" s="2"/>
      <c r="AO222" s="3"/>
      <c r="AP222" s="3"/>
      <c r="AQ222" s="2"/>
    </row>
    <row r="223" customFormat="false" ht="35.05" hidden="false" customHeight="false" outlineLevel="0" collapsed="false">
      <c r="A223" s="2" t="n">
        <v>222</v>
      </c>
      <c r="B223" s="2" t="s">
        <v>2670</v>
      </c>
      <c r="C223" s="2" t="s">
        <v>2520</v>
      </c>
      <c r="D223" s="2" t="s">
        <v>2520</v>
      </c>
      <c r="E223" s="2" t="s">
        <v>2671</v>
      </c>
      <c r="F223" s="2" t="s">
        <v>2672</v>
      </c>
      <c r="G223" s="3"/>
      <c r="H223" s="2"/>
      <c r="I223" s="2" t="s">
        <v>74</v>
      </c>
      <c r="J223" s="3" t="s">
        <v>2673</v>
      </c>
      <c r="K223" s="2" t="s">
        <v>2526</v>
      </c>
      <c r="L223" s="2" t="s">
        <v>1553</v>
      </c>
      <c r="M223" s="2"/>
      <c r="N223" s="2"/>
      <c r="O223" s="2"/>
      <c r="P223" s="2" t="n">
        <v>36.8253</v>
      </c>
      <c r="Q223" s="2" t="n">
        <v>28.6221</v>
      </c>
      <c r="R223" s="2" t="s">
        <v>54</v>
      </c>
      <c r="S223" s="2" t="n">
        <v>-350</v>
      </c>
      <c r="T223" s="2" t="s">
        <v>926</v>
      </c>
      <c r="U223" s="2" t="s">
        <v>56</v>
      </c>
      <c r="V223" s="2" t="s">
        <v>78</v>
      </c>
      <c r="W223" s="2" t="s">
        <v>168</v>
      </c>
      <c r="X223" s="2" t="s">
        <v>289</v>
      </c>
      <c r="Y223" s="2" t="s">
        <v>2674</v>
      </c>
      <c r="Z223" s="2" t="s">
        <v>170</v>
      </c>
      <c r="AA223" s="2"/>
      <c r="AB223" s="2" t="s">
        <v>63</v>
      </c>
      <c r="AC223" s="2" t="s">
        <v>452</v>
      </c>
      <c r="AD223" s="2" t="s">
        <v>2675</v>
      </c>
      <c r="AE223" s="3" t="s">
        <v>2676</v>
      </c>
      <c r="AF223" s="3" t="s">
        <v>2677</v>
      </c>
      <c r="AG223" s="2"/>
      <c r="AH223" s="2" t="s">
        <v>54</v>
      </c>
      <c r="AI223" s="3" t="s">
        <v>2678</v>
      </c>
      <c r="AJ223" s="3" t="s">
        <v>2679</v>
      </c>
      <c r="AK223" s="2" t="n">
        <v>638796</v>
      </c>
      <c r="AL223" s="3" t="s">
        <v>2680</v>
      </c>
      <c r="AM223" s="2"/>
      <c r="AN223" s="2"/>
      <c r="AO223" s="3"/>
      <c r="AP223" s="3"/>
      <c r="AQ223" s="2"/>
    </row>
    <row r="224" customFormat="false" ht="35.05" hidden="false" customHeight="false" outlineLevel="0" collapsed="false">
      <c r="A224" s="2" t="n">
        <v>223</v>
      </c>
      <c r="B224" s="2" t="s">
        <v>2681</v>
      </c>
      <c r="C224" s="2" t="s">
        <v>2520</v>
      </c>
      <c r="D224" s="2" t="s">
        <v>2520</v>
      </c>
      <c r="E224" s="2" t="s">
        <v>2682</v>
      </c>
      <c r="F224" s="2" t="s">
        <v>2683</v>
      </c>
      <c r="G224" s="3" t="s">
        <v>2684</v>
      </c>
      <c r="H224" s="2"/>
      <c r="I224" s="2" t="s">
        <v>74</v>
      </c>
      <c r="J224" s="3" t="s">
        <v>2685</v>
      </c>
      <c r="K224" s="2" t="s">
        <v>1955</v>
      </c>
      <c r="L224" s="2" t="s">
        <v>1553</v>
      </c>
      <c r="M224" s="2"/>
      <c r="N224" s="2"/>
      <c r="O224" s="2"/>
      <c r="P224" s="2" t="n">
        <v>37.7876</v>
      </c>
      <c r="Q224" s="2" t="n">
        <v>28.0866</v>
      </c>
      <c r="R224" s="2" t="s">
        <v>95</v>
      </c>
      <c r="S224" s="2" t="n">
        <v>-27</v>
      </c>
      <c r="T224" s="2" t="s">
        <v>2094</v>
      </c>
      <c r="U224" s="2" t="s">
        <v>56</v>
      </c>
      <c r="V224" s="2" t="s">
        <v>97</v>
      </c>
      <c r="W224" s="2" t="s">
        <v>140</v>
      </c>
      <c r="X224" s="2" t="s">
        <v>169</v>
      </c>
      <c r="Y224" s="2" t="s">
        <v>81</v>
      </c>
      <c r="Z224" s="2" t="s">
        <v>170</v>
      </c>
      <c r="AA224" s="2"/>
      <c r="AB224" s="2" t="s">
        <v>81</v>
      </c>
      <c r="AC224" s="2"/>
      <c r="AD224" s="2"/>
      <c r="AE224" s="3"/>
      <c r="AF224" s="3" t="s">
        <v>2686</v>
      </c>
      <c r="AG224" s="2"/>
      <c r="AH224" s="2" t="s">
        <v>113</v>
      </c>
      <c r="AI224" s="3" t="s">
        <v>2687</v>
      </c>
      <c r="AJ224" s="3" t="s">
        <v>2688</v>
      </c>
      <c r="AK224" s="2" t="n">
        <v>599614</v>
      </c>
      <c r="AL224" s="3" t="s">
        <v>2689</v>
      </c>
      <c r="AM224" s="2"/>
      <c r="AN224" s="2"/>
      <c r="AO224" s="3" t="s">
        <v>2690</v>
      </c>
      <c r="AP224" s="3" t="s">
        <v>2691</v>
      </c>
      <c r="AQ224" s="2" t="s">
        <v>151</v>
      </c>
    </row>
    <row r="225" customFormat="false" ht="35.05" hidden="false" customHeight="false" outlineLevel="0" collapsed="false">
      <c r="A225" s="2" t="n">
        <v>224</v>
      </c>
      <c r="B225" s="2" t="s">
        <v>2692</v>
      </c>
      <c r="C225" s="2" t="s">
        <v>2520</v>
      </c>
      <c r="D225" s="2" t="s">
        <v>2520</v>
      </c>
      <c r="E225" s="2" t="s">
        <v>2693</v>
      </c>
      <c r="F225" s="2" t="s">
        <v>2694</v>
      </c>
      <c r="G225" s="3"/>
      <c r="H225" s="2"/>
      <c r="I225" s="2" t="s">
        <v>74</v>
      </c>
      <c r="J225" s="3" t="s">
        <v>2695</v>
      </c>
      <c r="K225" s="2" t="s">
        <v>1955</v>
      </c>
      <c r="L225" s="2" t="s">
        <v>1553</v>
      </c>
      <c r="M225" s="2"/>
      <c r="N225" s="2"/>
      <c r="O225" s="2"/>
      <c r="P225" s="2" t="n">
        <v>37.8261</v>
      </c>
      <c r="Q225" s="2" t="n">
        <v>28.2405</v>
      </c>
      <c r="R225" s="2" t="s">
        <v>95</v>
      </c>
      <c r="S225" s="2" t="n">
        <v>-167</v>
      </c>
      <c r="T225" s="2" t="s">
        <v>2696</v>
      </c>
      <c r="U225" s="2" t="s">
        <v>56</v>
      </c>
      <c r="V225" s="2" t="s">
        <v>57</v>
      </c>
      <c r="W225" s="2" t="s">
        <v>195</v>
      </c>
      <c r="X225" s="2" t="s">
        <v>169</v>
      </c>
      <c r="Y225" s="2" t="s">
        <v>2697</v>
      </c>
      <c r="Z225" s="2" t="s">
        <v>170</v>
      </c>
      <c r="AA225" s="2"/>
      <c r="AB225" s="2" t="s">
        <v>81</v>
      </c>
      <c r="AC225" s="2"/>
      <c r="AD225" s="2"/>
      <c r="AE225" s="3"/>
      <c r="AF225" s="3" t="s">
        <v>2698</v>
      </c>
      <c r="AG225" s="2"/>
      <c r="AH225" s="2" t="s">
        <v>54</v>
      </c>
      <c r="AI225" s="3" t="s">
        <v>2699</v>
      </c>
      <c r="AJ225" s="3" t="s">
        <v>2700</v>
      </c>
      <c r="AK225" s="2" t="n">
        <v>599839</v>
      </c>
      <c r="AL225" s="3" t="s">
        <v>2701</v>
      </c>
      <c r="AM225" s="2"/>
      <c r="AN225" s="2"/>
      <c r="AO225" s="3" t="s">
        <v>2702</v>
      </c>
      <c r="AP225" s="3" t="s">
        <v>2703</v>
      </c>
      <c r="AQ225" s="2" t="s">
        <v>151</v>
      </c>
    </row>
    <row r="226" customFormat="false" ht="23.85" hidden="false" customHeight="false" outlineLevel="0" collapsed="false">
      <c r="A226" s="2" t="n">
        <v>225</v>
      </c>
      <c r="B226" s="2" t="s">
        <v>2704</v>
      </c>
      <c r="C226" s="2" t="s">
        <v>2520</v>
      </c>
      <c r="D226" s="2" t="s">
        <v>2520</v>
      </c>
      <c r="E226" s="2" t="s">
        <v>2705</v>
      </c>
      <c r="F226" s="2" t="s">
        <v>2706</v>
      </c>
      <c r="G226" s="3"/>
      <c r="H226" s="2" t="s">
        <v>2707</v>
      </c>
      <c r="I226" s="2" t="s">
        <v>49</v>
      </c>
      <c r="J226" s="3" t="s">
        <v>2708</v>
      </c>
      <c r="K226" s="2" t="s">
        <v>1955</v>
      </c>
      <c r="L226" s="2" t="s">
        <v>1553</v>
      </c>
      <c r="M226" s="2"/>
      <c r="N226" s="2"/>
      <c r="O226" s="2" t="s">
        <v>422</v>
      </c>
      <c r="P226" s="2" t="n">
        <v>37.8007</v>
      </c>
      <c r="Q226" s="2" t="n">
        <v>28.3562</v>
      </c>
      <c r="R226" s="2" t="s">
        <v>54</v>
      </c>
      <c r="S226" s="2" t="n">
        <v>1</v>
      </c>
      <c r="T226" s="2" t="s">
        <v>2384</v>
      </c>
      <c r="U226" s="2" t="s">
        <v>56</v>
      </c>
      <c r="V226" s="2" t="s">
        <v>78</v>
      </c>
      <c r="W226" s="2" t="s">
        <v>140</v>
      </c>
      <c r="X226" s="2" t="s">
        <v>289</v>
      </c>
      <c r="Y226" s="2" t="s">
        <v>2483</v>
      </c>
      <c r="Z226" s="2" t="s">
        <v>170</v>
      </c>
      <c r="AA226" s="2"/>
      <c r="AB226" s="2" t="s">
        <v>63</v>
      </c>
      <c r="AC226" s="2" t="s">
        <v>64</v>
      </c>
      <c r="AD226" s="2"/>
      <c r="AE226" s="3"/>
      <c r="AF226" s="3" t="s">
        <v>2709</v>
      </c>
      <c r="AG226" s="2"/>
      <c r="AH226" s="2" t="s">
        <v>54</v>
      </c>
      <c r="AI226" s="3" t="s">
        <v>2710</v>
      </c>
      <c r="AJ226" s="3" t="s">
        <v>2711</v>
      </c>
      <c r="AK226" s="2" t="n">
        <v>599637</v>
      </c>
      <c r="AL226" s="3" t="s">
        <v>2712</v>
      </c>
      <c r="AM226" s="2"/>
      <c r="AN226" s="2" t="s">
        <v>200</v>
      </c>
      <c r="AO226" s="3"/>
      <c r="AP226" s="3"/>
      <c r="AQ226" s="2"/>
    </row>
    <row r="227" customFormat="false" ht="35.05" hidden="false" customHeight="false" outlineLevel="0" collapsed="false">
      <c r="A227" s="2" t="n">
        <v>226</v>
      </c>
      <c r="B227" s="2" t="s">
        <v>2713</v>
      </c>
      <c r="C227" s="2" t="s">
        <v>2520</v>
      </c>
      <c r="D227" s="2" t="s">
        <v>2520</v>
      </c>
      <c r="E227" s="2" t="s">
        <v>2714</v>
      </c>
      <c r="F227" s="2" t="s">
        <v>2715</v>
      </c>
      <c r="G227" s="3"/>
      <c r="H227" s="2"/>
      <c r="I227" s="2" t="s">
        <v>74</v>
      </c>
      <c r="J227" s="3" t="s">
        <v>2716</v>
      </c>
      <c r="K227" s="2" t="s">
        <v>1955</v>
      </c>
      <c r="L227" s="2" t="s">
        <v>1553</v>
      </c>
      <c r="M227" s="2"/>
      <c r="N227" s="2"/>
      <c r="O227" s="2"/>
      <c r="P227" s="2" t="n">
        <v>37.6172</v>
      </c>
      <c r="Q227" s="2" t="n">
        <v>28.4115</v>
      </c>
      <c r="R227" s="2" t="s">
        <v>95</v>
      </c>
      <c r="S227" s="2" t="n">
        <v>-100</v>
      </c>
      <c r="T227" s="2" t="s">
        <v>2084</v>
      </c>
      <c r="U227" s="2" t="s">
        <v>56</v>
      </c>
      <c r="V227" s="2" t="s">
        <v>78</v>
      </c>
      <c r="W227" s="2" t="s">
        <v>195</v>
      </c>
      <c r="X227" s="2" t="s">
        <v>289</v>
      </c>
      <c r="Y227" s="2" t="s">
        <v>2483</v>
      </c>
      <c r="Z227" s="2" t="s">
        <v>170</v>
      </c>
      <c r="AA227" s="2"/>
      <c r="AB227" s="2" t="s">
        <v>63</v>
      </c>
      <c r="AC227" s="2" t="s">
        <v>64</v>
      </c>
      <c r="AD227" s="2"/>
      <c r="AE227" s="3"/>
      <c r="AF227" s="3" t="s">
        <v>2717</v>
      </c>
      <c r="AG227" s="2"/>
      <c r="AH227" s="2" t="s">
        <v>113</v>
      </c>
      <c r="AI227" s="3" t="s">
        <v>2718</v>
      </c>
      <c r="AJ227" s="3" t="s">
        <v>2719</v>
      </c>
      <c r="AK227" s="2" t="n">
        <v>599548</v>
      </c>
      <c r="AL227" s="3" t="s">
        <v>2720</v>
      </c>
      <c r="AM227" s="2"/>
      <c r="AN227" s="2"/>
      <c r="AO227" s="3"/>
      <c r="AP227" s="3"/>
      <c r="AQ227" s="2"/>
    </row>
    <row r="228" customFormat="false" ht="46.25" hidden="false" customHeight="false" outlineLevel="0" collapsed="false">
      <c r="A228" s="2" t="n">
        <v>227</v>
      </c>
      <c r="B228" s="2" t="s">
        <v>2721</v>
      </c>
      <c r="C228" s="2" t="s">
        <v>2520</v>
      </c>
      <c r="D228" s="2" t="s">
        <v>2520</v>
      </c>
      <c r="E228" s="2" t="s">
        <v>2722</v>
      </c>
      <c r="F228" s="2" t="s">
        <v>2723</v>
      </c>
      <c r="G228" s="3" t="s">
        <v>2724</v>
      </c>
      <c r="H228" s="2"/>
      <c r="I228" s="2" t="s">
        <v>74</v>
      </c>
      <c r="J228" s="3" t="s">
        <v>2725</v>
      </c>
      <c r="K228" s="2" t="s">
        <v>1955</v>
      </c>
      <c r="L228" s="2" t="s">
        <v>1553</v>
      </c>
      <c r="M228" s="2"/>
      <c r="N228" s="2"/>
      <c r="O228" s="2"/>
      <c r="P228" s="2" t="n">
        <v>37.6902</v>
      </c>
      <c r="Q228" s="2" t="n">
        <v>28.3977</v>
      </c>
      <c r="R228" s="2" t="s">
        <v>95</v>
      </c>
      <c r="S228" s="2" t="n">
        <v>100</v>
      </c>
      <c r="T228" s="2" t="s">
        <v>2260</v>
      </c>
      <c r="U228" s="2" t="s">
        <v>56</v>
      </c>
      <c r="V228" s="2" t="s">
        <v>78</v>
      </c>
      <c r="W228" s="2" t="s">
        <v>140</v>
      </c>
      <c r="X228" s="2" t="s">
        <v>169</v>
      </c>
      <c r="Y228" s="2" t="s">
        <v>81</v>
      </c>
      <c r="Z228" s="2" t="s">
        <v>170</v>
      </c>
      <c r="AA228" s="2"/>
      <c r="AB228" s="2" t="s">
        <v>81</v>
      </c>
      <c r="AC228" s="2"/>
      <c r="AD228" s="2"/>
      <c r="AE228" s="3"/>
      <c r="AF228" s="3" t="s">
        <v>2726</v>
      </c>
      <c r="AG228" s="2"/>
      <c r="AH228" s="2" t="s">
        <v>54</v>
      </c>
      <c r="AI228" s="3" t="s">
        <v>2727</v>
      </c>
      <c r="AJ228" s="3" t="s">
        <v>2728</v>
      </c>
      <c r="AK228" s="2" t="n">
        <v>599823</v>
      </c>
      <c r="AL228" s="3" t="s">
        <v>2729</v>
      </c>
      <c r="AM228" s="2"/>
      <c r="AN228" s="2"/>
      <c r="AO228" s="3" t="s">
        <v>2730</v>
      </c>
      <c r="AP228" s="3" t="s">
        <v>2731</v>
      </c>
      <c r="AQ228" s="2" t="s">
        <v>89</v>
      </c>
    </row>
    <row r="229" customFormat="false" ht="23.85" hidden="false" customHeight="false" outlineLevel="0" collapsed="false">
      <c r="A229" s="2" t="n">
        <v>228</v>
      </c>
      <c r="B229" s="2" t="s">
        <v>2732</v>
      </c>
      <c r="C229" s="2" t="s">
        <v>2520</v>
      </c>
      <c r="D229" s="2" t="s">
        <v>2520</v>
      </c>
      <c r="E229" s="2" t="s">
        <v>2733</v>
      </c>
      <c r="F229" s="2" t="s">
        <v>2734</v>
      </c>
      <c r="G229" s="3" t="s">
        <v>2735</v>
      </c>
      <c r="H229" s="2"/>
      <c r="I229" s="2" t="s">
        <v>74</v>
      </c>
      <c r="J229" s="3" t="s">
        <v>2736</v>
      </c>
      <c r="K229" s="2" t="s">
        <v>1955</v>
      </c>
      <c r="L229" s="2" t="s">
        <v>1553</v>
      </c>
      <c r="M229" s="2"/>
      <c r="N229" s="2"/>
      <c r="O229" s="2"/>
      <c r="P229" s="2" t="n">
        <v>37.8735</v>
      </c>
      <c r="Q229" s="2" t="n">
        <v>28.5483</v>
      </c>
      <c r="R229" s="2" t="s">
        <v>54</v>
      </c>
      <c r="S229" s="2" t="n">
        <v>-280</v>
      </c>
      <c r="T229" s="2" t="s">
        <v>2166</v>
      </c>
      <c r="U229" s="2" t="s">
        <v>139</v>
      </c>
      <c r="V229" s="2" t="s">
        <v>57</v>
      </c>
      <c r="W229" s="2" t="s">
        <v>195</v>
      </c>
      <c r="X229" s="2" t="s">
        <v>246</v>
      </c>
      <c r="Y229" s="2" t="s">
        <v>2473</v>
      </c>
      <c r="Z229" s="2" t="s">
        <v>2168</v>
      </c>
      <c r="AA229" s="2"/>
      <c r="AB229" s="2" t="s">
        <v>63</v>
      </c>
      <c r="AC229" s="2" t="s">
        <v>64</v>
      </c>
      <c r="AD229" s="2"/>
      <c r="AE229" s="3"/>
      <c r="AF229" s="3" t="s">
        <v>2737</v>
      </c>
      <c r="AG229" s="2"/>
      <c r="AH229" s="2" t="s">
        <v>54</v>
      </c>
      <c r="AI229" s="3" t="s">
        <v>2738</v>
      </c>
      <c r="AJ229" s="3" t="s">
        <v>2739</v>
      </c>
      <c r="AK229" s="2" t="n">
        <v>638748</v>
      </c>
      <c r="AL229" s="3" t="s">
        <v>2740</v>
      </c>
      <c r="AM229" s="2"/>
      <c r="AN229" s="2"/>
      <c r="AO229" s="3"/>
      <c r="AP229" s="3"/>
      <c r="AQ229" s="2"/>
    </row>
    <row r="230" customFormat="false" ht="35.05" hidden="false" customHeight="false" outlineLevel="0" collapsed="false">
      <c r="A230" s="2" t="n">
        <v>229</v>
      </c>
      <c r="B230" s="2" t="s">
        <v>2741</v>
      </c>
      <c r="C230" s="2" t="s">
        <v>2520</v>
      </c>
      <c r="D230" s="2" t="s">
        <v>2520</v>
      </c>
      <c r="E230" s="2" t="s">
        <v>2742</v>
      </c>
      <c r="F230" s="2" t="s">
        <v>2743</v>
      </c>
      <c r="G230" s="3"/>
      <c r="H230" s="2" t="s">
        <v>2744</v>
      </c>
      <c r="I230" s="2" t="s">
        <v>49</v>
      </c>
      <c r="J230" s="3" t="s">
        <v>2745</v>
      </c>
      <c r="K230" s="2" t="s">
        <v>1955</v>
      </c>
      <c r="L230" s="2" t="s">
        <v>1553</v>
      </c>
      <c r="M230" s="2"/>
      <c r="N230" s="2"/>
      <c r="O230" s="2" t="s">
        <v>53</v>
      </c>
      <c r="P230" s="2" t="n">
        <v>37.6238</v>
      </c>
      <c r="Q230" s="2" t="n">
        <v>28.6344</v>
      </c>
      <c r="R230" s="2" t="s">
        <v>95</v>
      </c>
      <c r="S230" s="2" t="n">
        <v>-200</v>
      </c>
      <c r="T230" s="2" t="s">
        <v>194</v>
      </c>
      <c r="U230" s="2" t="s">
        <v>56</v>
      </c>
      <c r="V230" s="2" t="s">
        <v>78</v>
      </c>
      <c r="W230" s="2" t="s">
        <v>195</v>
      </c>
      <c r="X230" s="2" t="s">
        <v>289</v>
      </c>
      <c r="Y230" s="2" t="s">
        <v>2538</v>
      </c>
      <c r="Z230" s="2" t="s">
        <v>170</v>
      </c>
      <c r="AA230" s="2"/>
      <c r="AB230" s="2" t="s">
        <v>63</v>
      </c>
      <c r="AC230" s="2" t="s">
        <v>64</v>
      </c>
      <c r="AD230" s="2"/>
      <c r="AE230" s="3"/>
      <c r="AF230" s="3" t="s">
        <v>2746</v>
      </c>
      <c r="AG230" s="2"/>
      <c r="AH230" s="2" t="s">
        <v>113</v>
      </c>
      <c r="AI230" s="3" t="s">
        <v>2747</v>
      </c>
      <c r="AJ230" s="3" t="s">
        <v>2748</v>
      </c>
      <c r="AK230" s="2" t="n">
        <v>639063</v>
      </c>
      <c r="AL230" s="3" t="s">
        <v>2749</v>
      </c>
      <c r="AM230" s="2"/>
      <c r="AN230" s="2"/>
      <c r="AO230" s="3"/>
      <c r="AP230" s="3"/>
      <c r="AQ230" s="2"/>
    </row>
    <row r="231" customFormat="false" ht="35.05" hidden="false" customHeight="false" outlineLevel="0" collapsed="false">
      <c r="A231" s="2" t="n">
        <v>230</v>
      </c>
      <c r="B231" s="2" t="s">
        <v>2750</v>
      </c>
      <c r="C231" s="2" t="s">
        <v>2520</v>
      </c>
      <c r="D231" s="2" t="s">
        <v>2520</v>
      </c>
      <c r="E231" s="2" t="s">
        <v>2751</v>
      </c>
      <c r="F231" s="2" t="s">
        <v>257</v>
      </c>
      <c r="G231" s="3" t="s">
        <v>2752</v>
      </c>
      <c r="H231" s="2"/>
      <c r="I231" s="2" t="s">
        <v>74</v>
      </c>
      <c r="J231" s="3" t="s">
        <v>2753</v>
      </c>
      <c r="K231" s="2" t="s">
        <v>1955</v>
      </c>
      <c r="L231" s="2" t="s">
        <v>1553</v>
      </c>
      <c r="M231" s="2"/>
      <c r="N231" s="2"/>
      <c r="O231" s="2"/>
      <c r="P231" s="2" t="n">
        <v>37.7085</v>
      </c>
      <c r="Q231" s="2" t="n">
        <v>28.7238</v>
      </c>
      <c r="R231" s="2" t="s">
        <v>54</v>
      </c>
      <c r="S231" s="2" t="n">
        <v>-200</v>
      </c>
      <c r="T231" s="2" t="s">
        <v>194</v>
      </c>
      <c r="U231" s="2" t="s">
        <v>56</v>
      </c>
      <c r="V231" s="2" t="s">
        <v>78</v>
      </c>
      <c r="W231" s="2" t="s">
        <v>195</v>
      </c>
      <c r="X231" s="2" t="s">
        <v>289</v>
      </c>
      <c r="Y231" s="2" t="s">
        <v>2754</v>
      </c>
      <c r="Z231" s="2" t="s">
        <v>170</v>
      </c>
      <c r="AA231" s="2"/>
      <c r="AB231" s="2" t="s">
        <v>63</v>
      </c>
      <c r="AC231" s="2" t="s">
        <v>77</v>
      </c>
      <c r="AD231" s="2"/>
      <c r="AE231" s="3"/>
      <c r="AF231" s="3" t="s">
        <v>2755</v>
      </c>
      <c r="AG231" s="2"/>
      <c r="AH231" s="2" t="s">
        <v>54</v>
      </c>
      <c r="AI231" s="3" t="s">
        <v>2756</v>
      </c>
      <c r="AJ231" s="3" t="s">
        <v>2757</v>
      </c>
      <c r="AK231" s="2" t="n">
        <v>638753</v>
      </c>
      <c r="AL231" s="3" t="s">
        <v>2758</v>
      </c>
      <c r="AM231" s="2"/>
      <c r="AN231" s="2"/>
      <c r="AO231" s="3"/>
      <c r="AP231" s="3"/>
      <c r="AQ231" s="2"/>
    </row>
    <row r="232" customFormat="false" ht="35.05" hidden="false" customHeight="false" outlineLevel="0" collapsed="false">
      <c r="A232" s="2" t="n">
        <v>231</v>
      </c>
      <c r="B232" s="2" t="s">
        <v>2759</v>
      </c>
      <c r="C232" s="2" t="s">
        <v>2520</v>
      </c>
      <c r="D232" s="2" t="s">
        <v>2520</v>
      </c>
      <c r="E232" s="2" t="s">
        <v>2760</v>
      </c>
      <c r="F232" s="2" t="s">
        <v>2761</v>
      </c>
      <c r="G232" s="3" t="s">
        <v>2762</v>
      </c>
      <c r="H232" s="2" t="s">
        <v>2763</v>
      </c>
      <c r="I232" s="2" t="s">
        <v>123</v>
      </c>
      <c r="J232" s="3" t="s">
        <v>2764</v>
      </c>
      <c r="K232" s="2" t="s">
        <v>1955</v>
      </c>
      <c r="L232" s="2" t="s">
        <v>1553</v>
      </c>
      <c r="M232" s="2" t="s">
        <v>2763</v>
      </c>
      <c r="N232" s="2"/>
      <c r="O232" s="2" t="s">
        <v>53</v>
      </c>
      <c r="P232" s="2" t="n">
        <v>37.5586</v>
      </c>
      <c r="Q232" s="2" t="n">
        <v>27.8264</v>
      </c>
      <c r="R232" s="2" t="s">
        <v>54</v>
      </c>
      <c r="S232" s="2" t="n">
        <v>-340</v>
      </c>
      <c r="T232" s="2" t="s">
        <v>2765</v>
      </c>
      <c r="U232" s="2" t="s">
        <v>56</v>
      </c>
      <c r="V232" s="2" t="s">
        <v>78</v>
      </c>
      <c r="W232" s="2" t="s">
        <v>168</v>
      </c>
      <c r="X232" s="2" t="s">
        <v>289</v>
      </c>
      <c r="Y232" s="2" t="s">
        <v>2538</v>
      </c>
      <c r="Z232" s="2" t="s">
        <v>170</v>
      </c>
      <c r="AA232" s="2"/>
      <c r="AB232" s="2" t="s">
        <v>63</v>
      </c>
      <c r="AC232" s="2" t="s">
        <v>64</v>
      </c>
      <c r="AD232" s="2" t="s">
        <v>2766</v>
      </c>
      <c r="AE232" s="3" t="s">
        <v>2767</v>
      </c>
      <c r="AF232" s="3" t="s">
        <v>2768</v>
      </c>
      <c r="AG232" s="2"/>
      <c r="AH232" s="2" t="s">
        <v>54</v>
      </c>
      <c r="AI232" s="3" t="s">
        <v>2769</v>
      </c>
      <c r="AJ232" s="3" t="s">
        <v>2770</v>
      </c>
      <c r="AK232" s="2" t="n">
        <v>599480</v>
      </c>
      <c r="AL232" s="3" t="s">
        <v>2771</v>
      </c>
      <c r="AM232" s="2"/>
      <c r="AN232" s="2"/>
      <c r="AO232" s="3"/>
      <c r="AP232" s="3"/>
      <c r="AQ232" s="2"/>
    </row>
    <row r="233" customFormat="false" ht="23.85" hidden="false" customHeight="false" outlineLevel="0" collapsed="false">
      <c r="A233" s="2" t="n">
        <v>232</v>
      </c>
      <c r="B233" s="2" t="s">
        <v>2772</v>
      </c>
      <c r="C233" s="2" t="s">
        <v>2520</v>
      </c>
      <c r="D233" s="2" t="s">
        <v>2520</v>
      </c>
      <c r="E233" s="2" t="s">
        <v>2773</v>
      </c>
      <c r="F233" s="2" t="s">
        <v>2774</v>
      </c>
      <c r="G233" s="3"/>
      <c r="H233" s="2"/>
      <c r="I233" s="2" t="s">
        <v>74</v>
      </c>
      <c r="J233" s="3" t="s">
        <v>2775</v>
      </c>
      <c r="K233" s="2" t="s">
        <v>1955</v>
      </c>
      <c r="L233" s="2" t="s">
        <v>1553</v>
      </c>
      <c r="M233" s="2"/>
      <c r="N233" s="2"/>
      <c r="O233" s="2"/>
      <c r="P233" s="2" t="n">
        <v>37.6088</v>
      </c>
      <c r="Q233" s="2" t="n">
        <v>27.711</v>
      </c>
      <c r="R233" s="2" t="s">
        <v>54</v>
      </c>
      <c r="S233" s="2" t="n">
        <v>-321</v>
      </c>
      <c r="T233" s="2" t="s">
        <v>2776</v>
      </c>
      <c r="U233" s="2" t="s">
        <v>56</v>
      </c>
      <c r="V233" s="2" t="s">
        <v>57</v>
      </c>
      <c r="W233" s="2" t="s">
        <v>195</v>
      </c>
      <c r="X233" s="2" t="s">
        <v>289</v>
      </c>
      <c r="Y233" s="2" t="s">
        <v>2777</v>
      </c>
      <c r="Z233" s="2" t="s">
        <v>170</v>
      </c>
      <c r="AA233" s="2"/>
      <c r="AB233" s="2" t="s">
        <v>63</v>
      </c>
      <c r="AC233" s="2" t="s">
        <v>64</v>
      </c>
      <c r="AD233" s="2"/>
      <c r="AE233" s="3"/>
      <c r="AF233" s="3" t="s">
        <v>2778</v>
      </c>
      <c r="AG233" s="2"/>
      <c r="AH233" s="2" t="s">
        <v>54</v>
      </c>
      <c r="AI233" s="3" t="s">
        <v>2779</v>
      </c>
      <c r="AJ233" s="3" t="s">
        <v>2780</v>
      </c>
      <c r="AK233" s="2" t="n">
        <v>599489</v>
      </c>
      <c r="AL233" s="3" t="s">
        <v>2781</v>
      </c>
      <c r="AM233" s="2"/>
      <c r="AN233" s="2"/>
      <c r="AO233" s="3"/>
      <c r="AP233" s="3"/>
      <c r="AQ233" s="2"/>
    </row>
    <row r="234" customFormat="false" ht="57.45" hidden="false" customHeight="false" outlineLevel="0" collapsed="false">
      <c r="A234" s="2" t="n">
        <v>233</v>
      </c>
      <c r="B234" s="2" t="s">
        <v>2782</v>
      </c>
      <c r="C234" s="2" t="s">
        <v>2520</v>
      </c>
      <c r="D234" s="2" t="s">
        <v>2520</v>
      </c>
      <c r="E234" s="2" t="s">
        <v>2783</v>
      </c>
      <c r="F234" s="2" t="s">
        <v>2784</v>
      </c>
      <c r="G234" s="3" t="s">
        <v>2785</v>
      </c>
      <c r="H234" s="2" t="s">
        <v>2786</v>
      </c>
      <c r="I234" s="2" t="s">
        <v>49</v>
      </c>
      <c r="J234" s="3" t="s">
        <v>2787</v>
      </c>
      <c r="K234" s="2" t="s">
        <v>1955</v>
      </c>
      <c r="L234" s="2" t="s">
        <v>1553</v>
      </c>
      <c r="M234" s="2"/>
      <c r="N234" s="2"/>
      <c r="O234" s="2" t="s">
        <v>53</v>
      </c>
      <c r="P234" s="2" t="n">
        <v>37.597</v>
      </c>
      <c r="Q234" s="2" t="n">
        <v>27.983</v>
      </c>
      <c r="R234" s="2" t="s">
        <v>54</v>
      </c>
      <c r="S234" s="2" t="n">
        <v>-350</v>
      </c>
      <c r="T234" s="2" t="s">
        <v>926</v>
      </c>
      <c r="U234" s="2" t="s">
        <v>56</v>
      </c>
      <c r="V234" s="2" t="s">
        <v>78</v>
      </c>
      <c r="W234" s="2" t="s">
        <v>168</v>
      </c>
      <c r="X234" s="2" t="s">
        <v>289</v>
      </c>
      <c r="Y234" s="2" t="s">
        <v>2538</v>
      </c>
      <c r="Z234" s="2" t="s">
        <v>170</v>
      </c>
      <c r="AA234" s="2"/>
      <c r="AB234" s="2" t="s">
        <v>63</v>
      </c>
      <c r="AC234" s="2" t="s">
        <v>64</v>
      </c>
      <c r="AD234" s="2"/>
      <c r="AE234" s="3" t="s">
        <v>2788</v>
      </c>
      <c r="AF234" s="3" t="s">
        <v>2789</v>
      </c>
      <c r="AG234" s="2"/>
      <c r="AH234" s="2" t="s">
        <v>54</v>
      </c>
      <c r="AI234" s="3" t="s">
        <v>2790</v>
      </c>
      <c r="AJ234" s="3" t="s">
        <v>2791</v>
      </c>
      <c r="AK234" s="2" t="n">
        <v>599479</v>
      </c>
      <c r="AL234" s="3" t="s">
        <v>2792</v>
      </c>
      <c r="AM234" s="2"/>
      <c r="AN234" s="2"/>
      <c r="AO234" s="3"/>
      <c r="AP234" s="3"/>
      <c r="AQ234" s="2"/>
    </row>
    <row r="235" customFormat="false" ht="35.05" hidden="false" customHeight="false" outlineLevel="0" collapsed="false">
      <c r="A235" s="2" t="n">
        <v>234</v>
      </c>
      <c r="B235" s="2" t="s">
        <v>2793</v>
      </c>
      <c r="C235" s="2" t="s">
        <v>2520</v>
      </c>
      <c r="D235" s="2" t="s">
        <v>2520</v>
      </c>
      <c r="E235" s="2" t="s">
        <v>2794</v>
      </c>
      <c r="F235" s="2" t="s">
        <v>2795</v>
      </c>
      <c r="G235" s="3" t="s">
        <v>2796</v>
      </c>
      <c r="H235" s="2"/>
      <c r="I235" s="2" t="s">
        <v>74</v>
      </c>
      <c r="J235" s="3" t="s">
        <v>2797</v>
      </c>
      <c r="K235" s="2" t="s">
        <v>2526</v>
      </c>
      <c r="L235" s="2" t="s">
        <v>1553</v>
      </c>
      <c r="M235" s="2"/>
      <c r="N235" s="2"/>
      <c r="O235" s="2"/>
      <c r="P235" s="2" t="n">
        <v>37.3744</v>
      </c>
      <c r="Q235" s="2" t="n">
        <v>27.6751</v>
      </c>
      <c r="R235" s="2" t="s">
        <v>54</v>
      </c>
      <c r="S235" s="2" t="n">
        <v>-350</v>
      </c>
      <c r="T235" s="2" t="s">
        <v>926</v>
      </c>
      <c r="U235" s="2" t="s">
        <v>56</v>
      </c>
      <c r="V235" s="2" t="s">
        <v>78</v>
      </c>
      <c r="W235" s="2" t="s">
        <v>168</v>
      </c>
      <c r="X235" s="2" t="s">
        <v>289</v>
      </c>
      <c r="Y235" s="2" t="s">
        <v>2538</v>
      </c>
      <c r="Z235" s="2" t="s">
        <v>170</v>
      </c>
      <c r="AA235" s="2"/>
      <c r="AB235" s="2" t="s">
        <v>63</v>
      </c>
      <c r="AC235" s="2" t="s">
        <v>452</v>
      </c>
      <c r="AD235" s="2"/>
      <c r="AE235" s="3"/>
      <c r="AF235" s="3" t="s">
        <v>2798</v>
      </c>
      <c r="AG235" s="2"/>
      <c r="AH235" s="2" t="s">
        <v>54</v>
      </c>
      <c r="AI235" s="3" t="s">
        <v>2799</v>
      </c>
      <c r="AJ235" s="3" t="s">
        <v>2800</v>
      </c>
      <c r="AK235" s="2" t="n">
        <v>599616</v>
      </c>
      <c r="AL235" s="3" t="s">
        <v>2801</v>
      </c>
      <c r="AM235" s="2"/>
      <c r="AN235" s="2"/>
      <c r="AO235" s="3"/>
      <c r="AP235" s="3"/>
      <c r="AQ235" s="2"/>
    </row>
    <row r="236" customFormat="false" ht="23.85" hidden="false" customHeight="false" outlineLevel="0" collapsed="false">
      <c r="A236" s="2" t="n">
        <v>235</v>
      </c>
      <c r="B236" s="2" t="s">
        <v>2802</v>
      </c>
      <c r="C236" s="2" t="s">
        <v>2520</v>
      </c>
      <c r="D236" s="2" t="s">
        <v>2520</v>
      </c>
      <c r="E236" s="2" t="s">
        <v>2803</v>
      </c>
      <c r="F236" s="2" t="s">
        <v>2804</v>
      </c>
      <c r="G236" s="3" t="s">
        <v>2805</v>
      </c>
      <c r="H236" s="2" t="s">
        <v>2806</v>
      </c>
      <c r="I236" s="2" t="s">
        <v>49</v>
      </c>
      <c r="J236" s="3" t="s">
        <v>2807</v>
      </c>
      <c r="K236" s="2" t="s">
        <v>2526</v>
      </c>
      <c r="L236" s="2" t="s">
        <v>1553</v>
      </c>
      <c r="M236" s="2"/>
      <c r="N236" s="2"/>
      <c r="O236" s="2" t="s">
        <v>53</v>
      </c>
      <c r="P236" s="2" t="n">
        <v>37.3491</v>
      </c>
      <c r="Q236" s="2" t="n">
        <v>27.6857</v>
      </c>
      <c r="R236" s="2" t="s">
        <v>54</v>
      </c>
      <c r="S236" s="2" t="n">
        <v>-250</v>
      </c>
      <c r="T236" s="2" t="s">
        <v>2189</v>
      </c>
      <c r="U236" s="2" t="s">
        <v>56</v>
      </c>
      <c r="V236" s="2" t="s">
        <v>78</v>
      </c>
      <c r="W236" s="2" t="s">
        <v>195</v>
      </c>
      <c r="X236" s="2" t="s">
        <v>289</v>
      </c>
      <c r="Y236" s="2" t="s">
        <v>2538</v>
      </c>
      <c r="Z236" s="2" t="s">
        <v>170</v>
      </c>
      <c r="AA236" s="2"/>
      <c r="AB236" s="2" t="s">
        <v>63</v>
      </c>
      <c r="AC236" s="2" t="s">
        <v>64</v>
      </c>
      <c r="AD236" s="2"/>
      <c r="AE236" s="3"/>
      <c r="AF236" s="3" t="s">
        <v>2808</v>
      </c>
      <c r="AG236" s="2"/>
      <c r="AH236" s="2" t="s">
        <v>113</v>
      </c>
      <c r="AI236" s="3" t="s">
        <v>2809</v>
      </c>
      <c r="AJ236" s="3" t="s">
        <v>2810</v>
      </c>
      <c r="AK236" s="2" t="n">
        <v>599569</v>
      </c>
      <c r="AL236" s="3" t="s">
        <v>2811</v>
      </c>
      <c r="AM236" s="2"/>
      <c r="AN236" s="2"/>
      <c r="AO236" s="3"/>
      <c r="AP236" s="3"/>
      <c r="AQ236" s="2"/>
    </row>
    <row r="237" customFormat="false" ht="23.85" hidden="false" customHeight="false" outlineLevel="0" collapsed="false">
      <c r="A237" s="2" t="n">
        <v>236</v>
      </c>
      <c r="B237" s="2" t="s">
        <v>2812</v>
      </c>
      <c r="C237" s="2" t="s">
        <v>2520</v>
      </c>
      <c r="D237" s="2" t="s">
        <v>2520</v>
      </c>
      <c r="E237" s="2" t="s">
        <v>2813</v>
      </c>
      <c r="F237" s="2" t="s">
        <v>2814</v>
      </c>
      <c r="G237" s="3" t="s">
        <v>2815</v>
      </c>
      <c r="H237" s="2" t="s">
        <v>2816</v>
      </c>
      <c r="I237" s="2" t="s">
        <v>49</v>
      </c>
      <c r="J237" s="3" t="s">
        <v>2817</v>
      </c>
      <c r="K237" s="2" t="s">
        <v>2526</v>
      </c>
      <c r="L237" s="2" t="s">
        <v>1553</v>
      </c>
      <c r="M237" s="2"/>
      <c r="N237" s="2"/>
      <c r="O237" s="2" t="s">
        <v>53</v>
      </c>
      <c r="P237" s="2" t="n">
        <v>37.3786</v>
      </c>
      <c r="Q237" s="2" t="n">
        <v>27.7356</v>
      </c>
      <c r="R237" s="2" t="s">
        <v>54</v>
      </c>
      <c r="S237" s="2" t="n">
        <v>-250</v>
      </c>
      <c r="T237" s="2" t="s">
        <v>2189</v>
      </c>
      <c r="U237" s="2" t="s">
        <v>56</v>
      </c>
      <c r="V237" s="2" t="s">
        <v>78</v>
      </c>
      <c r="W237" s="2" t="s">
        <v>195</v>
      </c>
      <c r="X237" s="2" t="s">
        <v>289</v>
      </c>
      <c r="Y237" s="2" t="s">
        <v>2538</v>
      </c>
      <c r="Z237" s="2" t="s">
        <v>170</v>
      </c>
      <c r="AA237" s="2"/>
      <c r="AB237" s="2" t="s">
        <v>63</v>
      </c>
      <c r="AC237" s="2" t="s">
        <v>64</v>
      </c>
      <c r="AD237" s="2"/>
      <c r="AE237" s="3"/>
      <c r="AF237" s="3" t="s">
        <v>2808</v>
      </c>
      <c r="AG237" s="2"/>
      <c r="AH237" s="2" t="s">
        <v>113</v>
      </c>
      <c r="AI237" s="3" t="s">
        <v>2818</v>
      </c>
      <c r="AJ237" s="3" t="s">
        <v>2819</v>
      </c>
      <c r="AK237" s="2" t="n">
        <v>599658</v>
      </c>
      <c r="AL237" s="3" t="s">
        <v>2820</v>
      </c>
      <c r="AM237" s="2"/>
      <c r="AN237" s="2"/>
      <c r="AO237" s="3"/>
      <c r="AP237" s="3"/>
      <c r="AQ237" s="2"/>
    </row>
    <row r="238" customFormat="false" ht="35.05" hidden="false" customHeight="false" outlineLevel="0" collapsed="false">
      <c r="A238" s="2" t="n">
        <v>237</v>
      </c>
      <c r="B238" s="2" t="s">
        <v>2821</v>
      </c>
      <c r="C238" s="2" t="s">
        <v>2520</v>
      </c>
      <c r="D238" s="2" t="s">
        <v>2520</v>
      </c>
      <c r="E238" s="2" t="s">
        <v>2822</v>
      </c>
      <c r="F238" s="2" t="s">
        <v>2823</v>
      </c>
      <c r="G238" s="3"/>
      <c r="H238" s="2" t="s">
        <v>2824</v>
      </c>
      <c r="I238" s="2" t="s">
        <v>123</v>
      </c>
      <c r="J238" s="3" t="s">
        <v>2825</v>
      </c>
      <c r="K238" s="2" t="s">
        <v>2526</v>
      </c>
      <c r="L238" s="2" t="s">
        <v>1553</v>
      </c>
      <c r="M238" s="2" t="s">
        <v>2824</v>
      </c>
      <c r="N238" s="2"/>
      <c r="O238" s="2" t="s">
        <v>422</v>
      </c>
      <c r="P238" s="2" t="n">
        <v>37.3028</v>
      </c>
      <c r="Q238" s="2" t="n">
        <v>27.7902</v>
      </c>
      <c r="R238" s="2" t="s">
        <v>54</v>
      </c>
      <c r="S238" s="2" t="n">
        <v>-367</v>
      </c>
      <c r="T238" s="2" t="s">
        <v>2826</v>
      </c>
      <c r="U238" s="2" t="s">
        <v>56</v>
      </c>
      <c r="V238" s="2" t="s">
        <v>245</v>
      </c>
      <c r="W238" s="2" t="s">
        <v>168</v>
      </c>
      <c r="X238" s="2" t="s">
        <v>289</v>
      </c>
      <c r="Y238" s="2" t="s">
        <v>2538</v>
      </c>
      <c r="Z238" s="2" t="s">
        <v>170</v>
      </c>
      <c r="AA238" s="2"/>
      <c r="AB238" s="2" t="s">
        <v>63</v>
      </c>
      <c r="AC238" s="2" t="s">
        <v>452</v>
      </c>
      <c r="AD238" s="2"/>
      <c r="AE238" s="3" t="s">
        <v>2827</v>
      </c>
      <c r="AF238" s="3" t="s">
        <v>2828</v>
      </c>
      <c r="AG238" s="2"/>
      <c r="AH238" s="2" t="s">
        <v>54</v>
      </c>
      <c r="AI238" s="3" t="s">
        <v>2829</v>
      </c>
      <c r="AJ238" s="3" t="s">
        <v>2830</v>
      </c>
      <c r="AK238" s="2" t="n">
        <v>599809</v>
      </c>
      <c r="AL238" s="3" t="s">
        <v>2831</v>
      </c>
      <c r="AM238" s="2"/>
      <c r="AN238" s="2" t="s">
        <v>200</v>
      </c>
      <c r="AO238" s="3"/>
      <c r="AP238" s="3"/>
      <c r="AQ238" s="2"/>
    </row>
    <row r="239" customFormat="false" ht="23.85" hidden="false" customHeight="false" outlineLevel="0" collapsed="false">
      <c r="A239" s="2" t="n">
        <v>238</v>
      </c>
      <c r="B239" s="2" t="s">
        <v>2832</v>
      </c>
      <c r="C239" s="2" t="s">
        <v>2520</v>
      </c>
      <c r="D239" s="2" t="s">
        <v>2520</v>
      </c>
      <c r="E239" s="2" t="s">
        <v>2833</v>
      </c>
      <c r="F239" s="2" t="s">
        <v>2834</v>
      </c>
      <c r="G239" s="3" t="s">
        <v>2835</v>
      </c>
      <c r="H239" s="2" t="s">
        <v>2836</v>
      </c>
      <c r="I239" s="2" t="s">
        <v>49</v>
      </c>
      <c r="J239" s="3" t="s">
        <v>2837</v>
      </c>
      <c r="K239" s="2" t="s">
        <v>2526</v>
      </c>
      <c r="L239" s="2" t="s">
        <v>1553</v>
      </c>
      <c r="M239" s="2"/>
      <c r="N239" s="2"/>
      <c r="O239" s="2" t="s">
        <v>53</v>
      </c>
      <c r="P239" s="2" t="n">
        <v>37.1387</v>
      </c>
      <c r="Q239" s="2" t="n">
        <v>27.8112</v>
      </c>
      <c r="R239" s="2" t="s">
        <v>54</v>
      </c>
      <c r="S239" s="2" t="n">
        <v>-200</v>
      </c>
      <c r="T239" s="2" t="s">
        <v>194</v>
      </c>
      <c r="U239" s="2" t="s">
        <v>56</v>
      </c>
      <c r="V239" s="2" t="s">
        <v>78</v>
      </c>
      <c r="W239" s="2" t="s">
        <v>195</v>
      </c>
      <c r="X239" s="2" t="s">
        <v>289</v>
      </c>
      <c r="Y239" s="2" t="s">
        <v>2538</v>
      </c>
      <c r="Z239" s="2" t="s">
        <v>170</v>
      </c>
      <c r="AA239" s="2"/>
      <c r="AB239" s="2" t="s">
        <v>63</v>
      </c>
      <c r="AC239" s="2" t="s">
        <v>64</v>
      </c>
      <c r="AD239" s="2"/>
      <c r="AE239" s="3"/>
      <c r="AF239" s="3" t="s">
        <v>2838</v>
      </c>
      <c r="AG239" s="2"/>
      <c r="AH239" s="2" t="s">
        <v>113</v>
      </c>
      <c r="AI239" s="3" t="s">
        <v>2839</v>
      </c>
      <c r="AJ239" s="3" t="s">
        <v>2840</v>
      </c>
      <c r="AK239" s="2" t="n">
        <v>599653</v>
      </c>
      <c r="AL239" s="3" t="s">
        <v>2841</v>
      </c>
      <c r="AM239" s="2"/>
      <c r="AN239" s="2"/>
      <c r="AO239" s="3"/>
      <c r="AP239" s="3"/>
      <c r="AQ239" s="2"/>
    </row>
    <row r="240" customFormat="false" ht="23.85" hidden="false" customHeight="false" outlineLevel="0" collapsed="false">
      <c r="A240" s="2" t="n">
        <v>239</v>
      </c>
      <c r="B240" s="2" t="s">
        <v>2842</v>
      </c>
      <c r="C240" s="2" t="s">
        <v>2520</v>
      </c>
      <c r="D240" s="2" t="s">
        <v>2520</v>
      </c>
      <c r="E240" s="2" t="s">
        <v>2843</v>
      </c>
      <c r="F240" s="2" t="s">
        <v>2298</v>
      </c>
      <c r="G240" s="3" t="s">
        <v>2844</v>
      </c>
      <c r="H240" s="2" t="s">
        <v>2845</v>
      </c>
      <c r="I240" s="2" t="s">
        <v>49</v>
      </c>
      <c r="J240" s="3" t="s">
        <v>2846</v>
      </c>
      <c r="K240" s="2" t="s">
        <v>2526</v>
      </c>
      <c r="L240" s="2" t="s">
        <v>1553</v>
      </c>
      <c r="M240" s="2"/>
      <c r="N240" s="2"/>
      <c r="O240" s="2" t="s">
        <v>53</v>
      </c>
      <c r="P240" s="2" t="n">
        <v>37.3137</v>
      </c>
      <c r="Q240" s="2" t="n">
        <v>28.0618</v>
      </c>
      <c r="R240" s="2" t="s">
        <v>54</v>
      </c>
      <c r="S240" s="2" t="n">
        <v>-270</v>
      </c>
      <c r="T240" s="2" t="s">
        <v>2847</v>
      </c>
      <c r="U240" s="2" t="s">
        <v>139</v>
      </c>
      <c r="V240" s="2" t="s">
        <v>57</v>
      </c>
      <c r="W240" s="2" t="s">
        <v>195</v>
      </c>
      <c r="X240" s="2" t="s">
        <v>246</v>
      </c>
      <c r="Y240" s="2" t="s">
        <v>2848</v>
      </c>
      <c r="Z240" s="2" t="s">
        <v>2168</v>
      </c>
      <c r="AA240" s="2"/>
      <c r="AB240" s="2" t="s">
        <v>63</v>
      </c>
      <c r="AC240" s="2" t="s">
        <v>452</v>
      </c>
      <c r="AD240" s="2"/>
      <c r="AE240" s="3"/>
      <c r="AF240" s="3" t="s">
        <v>2849</v>
      </c>
      <c r="AG240" s="2"/>
      <c r="AH240" s="2" t="s">
        <v>54</v>
      </c>
      <c r="AI240" s="3" t="s">
        <v>2850</v>
      </c>
      <c r="AJ240" s="3" t="s">
        <v>2851</v>
      </c>
      <c r="AK240" s="2" t="n">
        <v>599947</v>
      </c>
      <c r="AL240" s="3" t="s">
        <v>2852</v>
      </c>
      <c r="AM240" s="2"/>
      <c r="AN240" s="2"/>
      <c r="AO240" s="3"/>
      <c r="AP240" s="3"/>
      <c r="AQ240" s="2"/>
    </row>
    <row r="241" customFormat="false" ht="35.05" hidden="false" customHeight="false" outlineLevel="0" collapsed="false">
      <c r="A241" s="2" t="n">
        <v>240</v>
      </c>
      <c r="B241" s="2" t="s">
        <v>2853</v>
      </c>
      <c r="C241" s="2" t="s">
        <v>2520</v>
      </c>
      <c r="D241" s="2" t="s">
        <v>2520</v>
      </c>
      <c r="E241" s="2" t="s">
        <v>2854</v>
      </c>
      <c r="F241" s="2" t="s">
        <v>2855</v>
      </c>
      <c r="G241" s="3"/>
      <c r="H241" s="2" t="s">
        <v>2856</v>
      </c>
      <c r="I241" s="2" t="s">
        <v>49</v>
      </c>
      <c r="J241" s="3" t="s">
        <v>2857</v>
      </c>
      <c r="K241" s="2" t="s">
        <v>2526</v>
      </c>
      <c r="L241" s="2" t="s">
        <v>1553</v>
      </c>
      <c r="M241" s="2"/>
      <c r="N241" s="2"/>
      <c r="O241" s="2" t="s">
        <v>53</v>
      </c>
      <c r="P241" s="2" t="n">
        <v>37.505</v>
      </c>
      <c r="Q241" s="2" t="n">
        <v>28.3493</v>
      </c>
      <c r="R241" s="2" t="s">
        <v>54</v>
      </c>
      <c r="S241" s="2" t="n">
        <v>-320</v>
      </c>
      <c r="T241" s="2" t="s">
        <v>2527</v>
      </c>
      <c r="U241" s="2" t="s">
        <v>56</v>
      </c>
      <c r="V241" s="2" t="s">
        <v>57</v>
      </c>
      <c r="W241" s="2" t="s">
        <v>195</v>
      </c>
      <c r="X241" s="2" t="s">
        <v>289</v>
      </c>
      <c r="Y241" s="2" t="s">
        <v>2538</v>
      </c>
      <c r="Z241" s="2" t="s">
        <v>170</v>
      </c>
      <c r="AA241" s="2"/>
      <c r="AB241" s="2" t="s">
        <v>63</v>
      </c>
      <c r="AC241" s="2" t="s">
        <v>452</v>
      </c>
      <c r="AD241" s="2" t="s">
        <v>2858</v>
      </c>
      <c r="AE241" s="3" t="s">
        <v>2859</v>
      </c>
      <c r="AF241" s="3" t="s">
        <v>2860</v>
      </c>
      <c r="AG241" s="2" t="s">
        <v>2861</v>
      </c>
      <c r="AH241" s="2" t="s">
        <v>54</v>
      </c>
      <c r="AI241" s="3" t="s">
        <v>2862</v>
      </c>
      <c r="AJ241" s="3" t="s">
        <v>2863</v>
      </c>
      <c r="AK241" s="2" t="n">
        <v>599659</v>
      </c>
      <c r="AL241" s="3" t="s">
        <v>2864</v>
      </c>
      <c r="AM241" s="2"/>
      <c r="AN241" s="2"/>
      <c r="AO241" s="3"/>
      <c r="AP241" s="3"/>
      <c r="AQ241" s="2"/>
    </row>
    <row r="242" customFormat="false" ht="46.25" hidden="false" customHeight="false" outlineLevel="0" collapsed="false">
      <c r="A242" s="2" t="n">
        <v>241</v>
      </c>
      <c r="B242" s="2" t="s">
        <v>2865</v>
      </c>
      <c r="C242" s="2" t="s">
        <v>2520</v>
      </c>
      <c r="D242" s="2" t="s">
        <v>2520</v>
      </c>
      <c r="E242" s="2" t="s">
        <v>2866</v>
      </c>
      <c r="F242" s="2" t="s">
        <v>2867</v>
      </c>
      <c r="G242" s="3" t="s">
        <v>2868</v>
      </c>
      <c r="H242" s="2"/>
      <c r="I242" s="2" t="s">
        <v>74</v>
      </c>
      <c r="J242" s="3" t="s">
        <v>2869</v>
      </c>
      <c r="K242" s="2" t="s">
        <v>2526</v>
      </c>
      <c r="L242" s="2" t="s">
        <v>1553</v>
      </c>
      <c r="M242" s="2"/>
      <c r="N242" s="2"/>
      <c r="O242" s="2"/>
      <c r="P242" s="2" t="n">
        <v>36.7507</v>
      </c>
      <c r="Q242" s="2" t="n">
        <v>28.8359</v>
      </c>
      <c r="R242" s="2" t="s">
        <v>95</v>
      </c>
      <c r="S242" s="2" t="n">
        <v>-350</v>
      </c>
      <c r="T242" s="2" t="s">
        <v>926</v>
      </c>
      <c r="U242" s="2" t="s">
        <v>56</v>
      </c>
      <c r="V242" s="2" t="s">
        <v>78</v>
      </c>
      <c r="W242" s="2" t="s">
        <v>168</v>
      </c>
      <c r="X242" s="2" t="s">
        <v>289</v>
      </c>
      <c r="Y242" s="2"/>
      <c r="Z242" s="2" t="s">
        <v>170</v>
      </c>
      <c r="AA242" s="2"/>
      <c r="AB242" s="2" t="s">
        <v>63</v>
      </c>
      <c r="AC242" s="2" t="s">
        <v>64</v>
      </c>
      <c r="AD242" s="2"/>
      <c r="AE242" s="3"/>
      <c r="AF242" s="3" t="s">
        <v>2870</v>
      </c>
      <c r="AG242" s="2"/>
      <c r="AH242" s="2" t="s">
        <v>113</v>
      </c>
      <c r="AI242" s="3" t="s">
        <v>2871</v>
      </c>
      <c r="AJ242" s="3" t="s">
        <v>2872</v>
      </c>
      <c r="AK242" s="2" t="n">
        <v>638891</v>
      </c>
      <c r="AL242" s="3" t="s">
        <v>2873</v>
      </c>
      <c r="AM242" s="2"/>
      <c r="AN242" s="2"/>
      <c r="AO242" s="3"/>
      <c r="AP242" s="3"/>
      <c r="AQ242" s="2"/>
    </row>
    <row r="243" customFormat="false" ht="35.05" hidden="false" customHeight="false" outlineLevel="0" collapsed="false">
      <c r="A243" s="2" t="n">
        <v>242</v>
      </c>
      <c r="B243" s="2" t="s">
        <v>2874</v>
      </c>
      <c r="C243" s="2" t="s">
        <v>2520</v>
      </c>
      <c r="D243" s="2" t="s">
        <v>2520</v>
      </c>
      <c r="E243" s="2" t="s">
        <v>2875</v>
      </c>
      <c r="F243" s="2" t="s">
        <v>2876</v>
      </c>
      <c r="G243" s="3" t="s">
        <v>2877</v>
      </c>
      <c r="H243" s="2"/>
      <c r="I243" s="2" t="s">
        <v>74</v>
      </c>
      <c r="J243" s="3" t="s">
        <v>2878</v>
      </c>
      <c r="K243" s="2" t="s">
        <v>2526</v>
      </c>
      <c r="L243" s="2" t="s">
        <v>1553</v>
      </c>
      <c r="M243" s="2"/>
      <c r="N243" s="2"/>
      <c r="O243" s="2"/>
      <c r="P243" s="2" t="n">
        <v>36.6147</v>
      </c>
      <c r="Q243" s="2" t="n">
        <v>28.8576</v>
      </c>
      <c r="R243" s="2" t="s">
        <v>54</v>
      </c>
      <c r="S243" s="2" t="n">
        <v>50</v>
      </c>
      <c r="T243" s="2" t="s">
        <v>2879</v>
      </c>
      <c r="U243" s="2" t="s">
        <v>56</v>
      </c>
      <c r="V243" s="2" t="s">
        <v>78</v>
      </c>
      <c r="W243" s="2" t="s">
        <v>140</v>
      </c>
      <c r="X243" s="2" t="s">
        <v>169</v>
      </c>
      <c r="Y243" s="2"/>
      <c r="Z243" s="2" t="s">
        <v>170</v>
      </c>
      <c r="AA243" s="2"/>
      <c r="AB243" s="2" t="s">
        <v>81</v>
      </c>
      <c r="AC243" s="2"/>
      <c r="AD243" s="2"/>
      <c r="AE243" s="3"/>
      <c r="AF243" s="3" t="s">
        <v>2880</v>
      </c>
      <c r="AG243" s="2"/>
      <c r="AH243" s="2" t="s">
        <v>113</v>
      </c>
      <c r="AI243" s="3" t="s">
        <v>2881</v>
      </c>
      <c r="AJ243" s="3" t="s">
        <v>2882</v>
      </c>
      <c r="AK243" s="2" t="n">
        <v>638968</v>
      </c>
      <c r="AL243" s="3" t="s">
        <v>2883</v>
      </c>
      <c r="AM243" s="2"/>
      <c r="AN243" s="2"/>
      <c r="AO243" s="3" t="s">
        <v>2884</v>
      </c>
      <c r="AP243" s="3" t="s">
        <v>2885</v>
      </c>
      <c r="AQ243" s="2" t="s">
        <v>151</v>
      </c>
    </row>
    <row r="244" customFormat="false" ht="35.05" hidden="false" customHeight="false" outlineLevel="0" collapsed="false">
      <c r="A244" s="2" t="n">
        <v>243</v>
      </c>
      <c r="B244" s="2" t="s">
        <v>2886</v>
      </c>
      <c r="C244" s="2" t="s">
        <v>2520</v>
      </c>
      <c r="D244" s="2" t="s">
        <v>2520</v>
      </c>
      <c r="E244" s="2" t="s">
        <v>2887</v>
      </c>
      <c r="F244" s="2" t="s">
        <v>2888</v>
      </c>
      <c r="G244" s="3" t="s">
        <v>2889</v>
      </c>
      <c r="H244" s="2"/>
      <c r="I244" s="2" t="s">
        <v>74</v>
      </c>
      <c r="J244" s="3" t="s">
        <v>2890</v>
      </c>
      <c r="K244" s="2" t="s">
        <v>2526</v>
      </c>
      <c r="L244" s="2" t="s">
        <v>1553</v>
      </c>
      <c r="M244" s="2"/>
      <c r="N244" s="2"/>
      <c r="O244" s="2"/>
      <c r="P244" s="2" t="n">
        <v>36.6975</v>
      </c>
      <c r="Q244" s="2" t="n">
        <v>28.8686</v>
      </c>
      <c r="R244" s="2" t="s">
        <v>95</v>
      </c>
      <c r="S244" s="2" t="n">
        <v>77</v>
      </c>
      <c r="T244" s="2" t="s">
        <v>1361</v>
      </c>
      <c r="U244" s="2" t="s">
        <v>56</v>
      </c>
      <c r="V244" s="2" t="s">
        <v>78</v>
      </c>
      <c r="W244" s="2" t="s">
        <v>140</v>
      </c>
      <c r="X244" s="2" t="s">
        <v>289</v>
      </c>
      <c r="Y244" s="2"/>
      <c r="Z244" s="2" t="s">
        <v>170</v>
      </c>
      <c r="AA244" s="2"/>
      <c r="AB244" s="2" t="s">
        <v>63</v>
      </c>
      <c r="AC244" s="2" t="s">
        <v>64</v>
      </c>
      <c r="AD244" s="2"/>
      <c r="AE244" s="3"/>
      <c r="AF244" s="3" t="s">
        <v>2891</v>
      </c>
      <c r="AG244" s="2"/>
      <c r="AH244" s="2" t="s">
        <v>263</v>
      </c>
      <c r="AI244" s="3" t="s">
        <v>2892</v>
      </c>
      <c r="AJ244" s="3" t="s">
        <v>2893</v>
      </c>
      <c r="AK244" s="2" t="n">
        <v>638947</v>
      </c>
      <c r="AL244" s="3" t="s">
        <v>2894</v>
      </c>
      <c r="AM244" s="2"/>
      <c r="AN244" s="2"/>
      <c r="AO244" s="3"/>
      <c r="AP244" s="3"/>
      <c r="AQ244" s="2"/>
    </row>
    <row r="245" customFormat="false" ht="23.85" hidden="false" customHeight="false" outlineLevel="0" collapsed="false">
      <c r="A245" s="2" t="n">
        <v>244</v>
      </c>
      <c r="B245" s="2" t="s">
        <v>2895</v>
      </c>
      <c r="C245" s="2" t="s">
        <v>2520</v>
      </c>
      <c r="D245" s="2" t="s">
        <v>2520</v>
      </c>
      <c r="E245" s="2" t="s">
        <v>2896</v>
      </c>
      <c r="F245" s="2" t="s">
        <v>2897</v>
      </c>
      <c r="G245" s="3" t="s">
        <v>2898</v>
      </c>
      <c r="H245" s="2"/>
      <c r="I245" s="2" t="s">
        <v>74</v>
      </c>
      <c r="J245" s="3" t="s">
        <v>2899</v>
      </c>
      <c r="K245" s="2" t="s">
        <v>2512</v>
      </c>
      <c r="L245" s="2" t="s">
        <v>1553</v>
      </c>
      <c r="M245" s="2"/>
      <c r="N245" s="2"/>
      <c r="O245" s="2"/>
      <c r="P245" s="2" t="n">
        <v>37.354</v>
      </c>
      <c r="Q245" s="2" t="n">
        <v>29.1295</v>
      </c>
      <c r="R245" s="2" t="s">
        <v>95</v>
      </c>
      <c r="S245" s="2" t="n">
        <v>-100</v>
      </c>
      <c r="T245" s="2" t="s">
        <v>2084</v>
      </c>
      <c r="U245" s="2" t="s">
        <v>56</v>
      </c>
      <c r="V245" s="2" t="s">
        <v>78</v>
      </c>
      <c r="W245" s="2" t="s">
        <v>195</v>
      </c>
      <c r="X245" s="2" t="s">
        <v>289</v>
      </c>
      <c r="Y245" s="2"/>
      <c r="Z245" s="2" t="s">
        <v>170</v>
      </c>
      <c r="AA245" s="2"/>
      <c r="AB245" s="2" t="s">
        <v>63</v>
      </c>
      <c r="AC245" s="2" t="s">
        <v>64</v>
      </c>
      <c r="AD245" s="2"/>
      <c r="AE245" s="3" t="s">
        <v>2900</v>
      </c>
      <c r="AF245" s="3" t="s">
        <v>2901</v>
      </c>
      <c r="AG245" s="2"/>
      <c r="AH245" s="2" t="s">
        <v>113</v>
      </c>
      <c r="AI245" s="3" t="s">
        <v>2902</v>
      </c>
      <c r="AJ245" s="3" t="s">
        <v>2903</v>
      </c>
      <c r="AK245" s="2" t="n">
        <v>638919</v>
      </c>
      <c r="AL245" s="3" t="s">
        <v>2904</v>
      </c>
      <c r="AM245" s="2"/>
      <c r="AN245" s="2"/>
      <c r="AO245" s="3"/>
      <c r="AP245" s="3"/>
      <c r="AQ245" s="2"/>
    </row>
    <row r="246" customFormat="false" ht="23.85" hidden="false" customHeight="false" outlineLevel="0" collapsed="false">
      <c r="A246" s="2" t="n">
        <v>245</v>
      </c>
      <c r="B246" s="2" t="s">
        <v>2905</v>
      </c>
      <c r="C246" s="2" t="s">
        <v>2520</v>
      </c>
      <c r="D246" s="2" t="s">
        <v>2520</v>
      </c>
      <c r="E246" s="2" t="s">
        <v>2906</v>
      </c>
      <c r="F246" s="2" t="s">
        <v>2907</v>
      </c>
      <c r="G246" s="3"/>
      <c r="H246" s="2" t="s">
        <v>2908</v>
      </c>
      <c r="I246" s="2" t="s">
        <v>123</v>
      </c>
      <c r="J246" s="3" t="s">
        <v>2909</v>
      </c>
      <c r="K246" s="2" t="s">
        <v>2512</v>
      </c>
      <c r="L246" s="2" t="s">
        <v>1553</v>
      </c>
      <c r="M246" s="2" t="s">
        <v>2908</v>
      </c>
      <c r="N246" s="2"/>
      <c r="O246" s="2" t="s">
        <v>53</v>
      </c>
      <c r="P246" s="2" t="n">
        <v>37.4426</v>
      </c>
      <c r="Q246" s="2" t="n">
        <v>28.8565</v>
      </c>
      <c r="R246" s="2" t="s">
        <v>54</v>
      </c>
      <c r="S246" s="2" t="n">
        <v>-200</v>
      </c>
      <c r="T246" s="2" t="s">
        <v>194</v>
      </c>
      <c r="U246" s="2" t="s">
        <v>56</v>
      </c>
      <c r="V246" s="2" t="s">
        <v>78</v>
      </c>
      <c r="W246" s="2" t="s">
        <v>195</v>
      </c>
      <c r="X246" s="2" t="s">
        <v>289</v>
      </c>
      <c r="Y246" s="2"/>
      <c r="Z246" s="2" t="s">
        <v>170</v>
      </c>
      <c r="AA246" s="2"/>
      <c r="AB246" s="2" t="s">
        <v>63</v>
      </c>
      <c r="AC246" s="2" t="s">
        <v>64</v>
      </c>
      <c r="AD246" s="2"/>
      <c r="AE246" s="3" t="s">
        <v>2910</v>
      </c>
      <c r="AF246" s="3" t="s">
        <v>2911</v>
      </c>
      <c r="AG246" s="2"/>
      <c r="AH246" s="2" t="s">
        <v>54</v>
      </c>
      <c r="AI246" s="3" t="s">
        <v>2912</v>
      </c>
      <c r="AJ246" s="3" t="s">
        <v>2913</v>
      </c>
      <c r="AK246" s="2" t="n">
        <v>639125</v>
      </c>
      <c r="AL246" s="3" t="s">
        <v>2914</v>
      </c>
      <c r="AM246" s="2"/>
      <c r="AN246" s="2"/>
      <c r="AO246" s="3"/>
      <c r="AP246" s="3"/>
      <c r="AQ246" s="2"/>
    </row>
    <row r="247" customFormat="false" ht="23.85" hidden="false" customHeight="false" outlineLevel="0" collapsed="false">
      <c r="A247" s="2" t="n">
        <v>246</v>
      </c>
      <c r="B247" s="2" t="s">
        <v>2915</v>
      </c>
      <c r="C247" s="2" t="s">
        <v>2520</v>
      </c>
      <c r="D247" s="2" t="s">
        <v>2520</v>
      </c>
      <c r="E247" s="2" t="s">
        <v>2916</v>
      </c>
      <c r="F247" s="2" t="s">
        <v>2917</v>
      </c>
      <c r="G247" s="3" t="s">
        <v>2918</v>
      </c>
      <c r="H247" s="2"/>
      <c r="I247" s="2" t="s">
        <v>74</v>
      </c>
      <c r="J247" s="3" t="s">
        <v>2919</v>
      </c>
      <c r="K247" s="2" t="s">
        <v>2512</v>
      </c>
      <c r="L247" s="2" t="s">
        <v>1553</v>
      </c>
      <c r="M247" s="2"/>
      <c r="N247" s="2"/>
      <c r="O247" s="2"/>
      <c r="P247" s="2" t="n">
        <v>37.486</v>
      </c>
      <c r="Q247" s="2" t="n">
        <v>29.1378</v>
      </c>
      <c r="R247" s="2" t="s">
        <v>54</v>
      </c>
      <c r="S247" s="2" t="n">
        <v>-20</v>
      </c>
      <c r="T247" s="2" t="s">
        <v>2920</v>
      </c>
      <c r="U247" s="2" t="s">
        <v>56</v>
      </c>
      <c r="V247" s="2" t="s">
        <v>78</v>
      </c>
      <c r="W247" s="2" t="s">
        <v>140</v>
      </c>
      <c r="X247" s="2" t="s">
        <v>289</v>
      </c>
      <c r="Y247" s="2"/>
      <c r="Z247" s="2" t="s">
        <v>170</v>
      </c>
      <c r="AA247" s="2"/>
      <c r="AB247" s="2" t="s">
        <v>63</v>
      </c>
      <c r="AC247" s="2" t="s">
        <v>64</v>
      </c>
      <c r="AD247" s="2"/>
      <c r="AE247" s="3" t="s">
        <v>2921</v>
      </c>
      <c r="AF247" s="3" t="s">
        <v>2922</v>
      </c>
      <c r="AG247" s="2"/>
      <c r="AH247" s="2" t="s">
        <v>113</v>
      </c>
      <c r="AI247" s="3" t="s">
        <v>2923</v>
      </c>
      <c r="AJ247" s="3" t="s">
        <v>2924</v>
      </c>
      <c r="AK247" s="2" t="n">
        <v>639096</v>
      </c>
      <c r="AL247" s="3" t="s">
        <v>2925</v>
      </c>
      <c r="AM247" s="2"/>
      <c r="AN247" s="2"/>
      <c r="AO247" s="3"/>
      <c r="AP247" s="3"/>
      <c r="AQ247" s="2"/>
    </row>
    <row r="248" customFormat="false" ht="102.2" hidden="false" customHeight="false" outlineLevel="0" collapsed="false">
      <c r="A248" s="2" t="n">
        <v>247</v>
      </c>
      <c r="B248" s="2" t="s">
        <v>2926</v>
      </c>
      <c r="C248" s="2" t="s">
        <v>2520</v>
      </c>
      <c r="D248" s="2" t="s">
        <v>2520</v>
      </c>
      <c r="E248" s="2" t="s">
        <v>2927</v>
      </c>
      <c r="F248" s="2" t="s">
        <v>2928</v>
      </c>
      <c r="G248" s="3" t="s">
        <v>2929</v>
      </c>
      <c r="H248" s="2"/>
      <c r="I248" s="2" t="s">
        <v>74</v>
      </c>
      <c r="J248" s="3" t="s">
        <v>2930</v>
      </c>
      <c r="K248" s="2" t="s">
        <v>2512</v>
      </c>
      <c r="L248" s="2" t="s">
        <v>1553</v>
      </c>
      <c r="M248" s="2"/>
      <c r="N248" s="2"/>
      <c r="O248" s="2"/>
      <c r="P248" s="2" t="n">
        <v>37.5151</v>
      </c>
      <c r="Q248" s="2" t="n">
        <v>29.0391</v>
      </c>
      <c r="R248" s="2" t="s">
        <v>54</v>
      </c>
      <c r="S248" s="2" t="n">
        <v>-200</v>
      </c>
      <c r="T248" s="2" t="s">
        <v>194</v>
      </c>
      <c r="U248" s="2" t="s">
        <v>56</v>
      </c>
      <c r="V248" s="2" t="s">
        <v>78</v>
      </c>
      <c r="W248" s="2" t="s">
        <v>195</v>
      </c>
      <c r="X248" s="2" t="s">
        <v>246</v>
      </c>
      <c r="Y248" s="2" t="s">
        <v>2931</v>
      </c>
      <c r="Z248" s="2" t="s">
        <v>2168</v>
      </c>
      <c r="AA248" s="2"/>
      <c r="AB248" s="2" t="s">
        <v>81</v>
      </c>
      <c r="AC248" s="2"/>
      <c r="AD248" s="2"/>
      <c r="AE248" s="3"/>
      <c r="AF248" s="3" t="s">
        <v>2932</v>
      </c>
      <c r="AG248" s="2"/>
      <c r="AH248" s="2" t="s">
        <v>54</v>
      </c>
      <c r="AI248" s="3" t="s">
        <v>2933</v>
      </c>
      <c r="AJ248" s="3" t="s">
        <v>2934</v>
      </c>
      <c r="AK248" s="2" t="n">
        <v>638757</v>
      </c>
      <c r="AL248" s="3" t="s">
        <v>2935</v>
      </c>
      <c r="AM248" s="2"/>
      <c r="AN248" s="2"/>
      <c r="AO248" s="3" t="s">
        <v>2936</v>
      </c>
      <c r="AP248" s="3" t="s">
        <v>2937</v>
      </c>
      <c r="AQ248" s="2" t="s">
        <v>151</v>
      </c>
    </row>
    <row r="249" customFormat="false" ht="46.25" hidden="false" customHeight="false" outlineLevel="0" collapsed="false">
      <c r="A249" s="2" t="n">
        <v>248</v>
      </c>
      <c r="B249" s="2" t="s">
        <v>2938</v>
      </c>
      <c r="C249" s="2" t="s">
        <v>2520</v>
      </c>
      <c r="D249" s="2" t="s">
        <v>2520</v>
      </c>
      <c r="E249" s="2" t="s">
        <v>2939</v>
      </c>
      <c r="F249" s="2" t="s">
        <v>2940</v>
      </c>
      <c r="G249" s="3" t="s">
        <v>2941</v>
      </c>
      <c r="H249" s="2" t="s">
        <v>2942</v>
      </c>
      <c r="I249" s="2" t="s">
        <v>49</v>
      </c>
      <c r="J249" s="3" t="s">
        <v>2943</v>
      </c>
      <c r="K249" s="2" t="s">
        <v>2512</v>
      </c>
      <c r="L249" s="2" t="s">
        <v>1553</v>
      </c>
      <c r="M249" s="2"/>
      <c r="N249" s="2"/>
      <c r="O249" s="2" t="s">
        <v>53</v>
      </c>
      <c r="P249" s="2" t="n">
        <v>37.6329</v>
      </c>
      <c r="Q249" s="2" t="n">
        <v>29.0035</v>
      </c>
      <c r="R249" s="2" t="s">
        <v>54</v>
      </c>
      <c r="S249" s="2" t="n">
        <v>-150</v>
      </c>
      <c r="T249" s="2" t="s">
        <v>2075</v>
      </c>
      <c r="U249" s="2" t="s">
        <v>56</v>
      </c>
      <c r="V249" s="2" t="s">
        <v>78</v>
      </c>
      <c r="W249" s="2" t="s">
        <v>195</v>
      </c>
      <c r="X249" s="2" t="s">
        <v>169</v>
      </c>
      <c r="Y249" s="2"/>
      <c r="Z249" s="2" t="s">
        <v>170</v>
      </c>
      <c r="AA249" s="2"/>
      <c r="AB249" s="2" t="s">
        <v>81</v>
      </c>
      <c r="AC249" s="2"/>
      <c r="AD249" s="2"/>
      <c r="AE249" s="3"/>
      <c r="AF249" s="3" t="s">
        <v>2944</v>
      </c>
      <c r="AG249" s="2"/>
      <c r="AH249" s="2" t="s">
        <v>54</v>
      </c>
      <c r="AI249" s="3" t="s">
        <v>2945</v>
      </c>
      <c r="AJ249" s="3" t="s">
        <v>2946</v>
      </c>
      <c r="AK249" s="2" t="n">
        <v>638857</v>
      </c>
      <c r="AL249" s="3" t="s">
        <v>2947</v>
      </c>
      <c r="AM249" s="2"/>
      <c r="AN249" s="2"/>
      <c r="AO249" s="3" t="s">
        <v>2948</v>
      </c>
      <c r="AP249" s="3" t="s">
        <v>2949</v>
      </c>
      <c r="AQ249" s="2" t="s">
        <v>151</v>
      </c>
    </row>
    <row r="250" customFormat="false" ht="23.85" hidden="false" customHeight="false" outlineLevel="0" collapsed="false">
      <c r="A250" s="2" t="n">
        <v>249</v>
      </c>
      <c r="B250" s="2" t="s">
        <v>2950</v>
      </c>
      <c r="C250" s="2" t="s">
        <v>2520</v>
      </c>
      <c r="D250" s="2" t="s">
        <v>2520</v>
      </c>
      <c r="E250" s="2" t="s">
        <v>2951</v>
      </c>
      <c r="F250" s="2" t="s">
        <v>2952</v>
      </c>
      <c r="G250" s="3" t="s">
        <v>2953</v>
      </c>
      <c r="H250" s="2" t="s">
        <v>2954</v>
      </c>
      <c r="I250" s="2" t="s">
        <v>49</v>
      </c>
      <c r="J250" s="3" t="s">
        <v>2955</v>
      </c>
      <c r="K250" s="2" t="s">
        <v>2512</v>
      </c>
      <c r="L250" s="2" t="s">
        <v>1553</v>
      </c>
      <c r="M250" s="2"/>
      <c r="N250" s="2"/>
      <c r="O250" s="2" t="s">
        <v>53</v>
      </c>
      <c r="P250" s="2" t="n">
        <v>37.839</v>
      </c>
      <c r="Q250" s="2" t="n">
        <v>28.8069</v>
      </c>
      <c r="R250" s="2" t="s">
        <v>54</v>
      </c>
      <c r="S250" s="2" t="n">
        <v>-20</v>
      </c>
      <c r="T250" s="2" t="s">
        <v>2920</v>
      </c>
      <c r="U250" s="2" t="s">
        <v>56</v>
      </c>
      <c r="V250" s="2" t="s">
        <v>78</v>
      </c>
      <c r="W250" s="2" t="s">
        <v>140</v>
      </c>
      <c r="X250" s="2" t="s">
        <v>289</v>
      </c>
      <c r="Y250" s="2"/>
      <c r="Z250" s="2" t="s">
        <v>170</v>
      </c>
      <c r="AA250" s="2"/>
      <c r="AB250" s="2" t="s">
        <v>63</v>
      </c>
      <c r="AC250" s="2" t="s">
        <v>64</v>
      </c>
      <c r="AD250" s="2"/>
      <c r="AE250" s="3" t="s">
        <v>2956</v>
      </c>
      <c r="AF250" s="3" t="s">
        <v>2957</v>
      </c>
      <c r="AG250" s="2"/>
      <c r="AH250" s="2" t="s">
        <v>54</v>
      </c>
      <c r="AI250" s="3" t="s">
        <v>2958</v>
      </c>
      <c r="AJ250" s="3" t="s">
        <v>2959</v>
      </c>
      <c r="AK250" s="2" t="n">
        <v>638779</v>
      </c>
      <c r="AL250" s="3" t="s">
        <v>2960</v>
      </c>
      <c r="AM250" s="2"/>
      <c r="AN250" s="2"/>
      <c r="AO250" s="3"/>
      <c r="AP250" s="3"/>
      <c r="AQ250" s="2"/>
    </row>
    <row r="251" customFormat="false" ht="35.05" hidden="false" customHeight="false" outlineLevel="0" collapsed="false">
      <c r="A251" s="2" t="n">
        <v>250</v>
      </c>
      <c r="B251" s="2" t="s">
        <v>2961</v>
      </c>
      <c r="C251" s="2" t="s">
        <v>2520</v>
      </c>
      <c r="D251" s="2" t="s">
        <v>2520</v>
      </c>
      <c r="E251" s="2" t="s">
        <v>2962</v>
      </c>
      <c r="F251" s="2" t="s">
        <v>2963</v>
      </c>
      <c r="G251" s="3"/>
      <c r="H251" s="2"/>
      <c r="I251" s="2" t="s">
        <v>74</v>
      </c>
      <c r="J251" s="3" t="s">
        <v>2964</v>
      </c>
      <c r="K251" s="2" t="s">
        <v>2512</v>
      </c>
      <c r="L251" s="2" t="s">
        <v>1553</v>
      </c>
      <c r="M251" s="2"/>
      <c r="N251" s="2"/>
      <c r="O251" s="2"/>
      <c r="P251" s="2" t="n">
        <v>37.8544</v>
      </c>
      <c r="Q251" s="2" t="n">
        <v>28.9291</v>
      </c>
      <c r="R251" s="2" t="s">
        <v>54</v>
      </c>
      <c r="S251" s="2" t="n">
        <v>77</v>
      </c>
      <c r="T251" s="2" t="s">
        <v>1361</v>
      </c>
      <c r="U251" s="2" t="s">
        <v>56</v>
      </c>
      <c r="V251" s="2" t="s">
        <v>78</v>
      </c>
      <c r="W251" s="2" t="s">
        <v>140</v>
      </c>
      <c r="X251" s="2" t="s">
        <v>169</v>
      </c>
      <c r="Y251" s="2"/>
      <c r="Z251" s="2" t="s">
        <v>170</v>
      </c>
      <c r="AA251" s="2"/>
      <c r="AB251" s="2" t="s">
        <v>81</v>
      </c>
      <c r="AC251" s="2"/>
      <c r="AD251" s="2"/>
      <c r="AE251" s="3"/>
      <c r="AF251" s="3" t="s">
        <v>2965</v>
      </c>
      <c r="AG251" s="2"/>
      <c r="AH251" s="2" t="s">
        <v>54</v>
      </c>
      <c r="AI251" s="3" t="s">
        <v>2966</v>
      </c>
      <c r="AJ251" s="3" t="s">
        <v>2967</v>
      </c>
      <c r="AK251" s="2" t="n">
        <v>639149</v>
      </c>
      <c r="AL251" s="3" t="s">
        <v>2968</v>
      </c>
      <c r="AM251" s="2"/>
      <c r="AN251" s="2"/>
      <c r="AO251" s="3" t="s">
        <v>2969</v>
      </c>
      <c r="AP251" s="3" t="s">
        <v>2970</v>
      </c>
      <c r="AQ251" s="2" t="s">
        <v>151</v>
      </c>
    </row>
    <row r="252" customFormat="false" ht="46.25" hidden="false" customHeight="false" outlineLevel="0" collapsed="false">
      <c r="A252" s="2" t="n">
        <v>251</v>
      </c>
      <c r="B252" s="2" t="s">
        <v>2971</v>
      </c>
      <c r="C252" s="2" t="s">
        <v>2972</v>
      </c>
      <c r="D252" s="2" t="s">
        <v>2972</v>
      </c>
      <c r="E252" s="2" t="s">
        <v>2973</v>
      </c>
      <c r="F252" s="2" t="s">
        <v>2974</v>
      </c>
      <c r="G252" s="3" t="s">
        <v>2975</v>
      </c>
      <c r="H252" s="2" t="s">
        <v>2976</v>
      </c>
      <c r="I252" s="2" t="s">
        <v>123</v>
      </c>
      <c r="J252" s="3" t="s">
        <v>2977</v>
      </c>
      <c r="K252" s="2" t="s">
        <v>2526</v>
      </c>
      <c r="L252" s="2" t="s">
        <v>1553</v>
      </c>
      <c r="M252" s="2" t="s">
        <v>2976</v>
      </c>
      <c r="N252" s="2"/>
      <c r="O252" s="2" t="s">
        <v>53</v>
      </c>
      <c r="P252" s="2" t="n">
        <v>36.6209</v>
      </c>
      <c r="Q252" s="2" t="n">
        <v>29.1058</v>
      </c>
      <c r="R252" s="2" t="s">
        <v>54</v>
      </c>
      <c r="S252" s="2" t="n">
        <v>-300</v>
      </c>
      <c r="T252" s="2" t="s">
        <v>1942</v>
      </c>
      <c r="U252" s="2" t="s">
        <v>56</v>
      </c>
      <c r="V252" s="2" t="s">
        <v>78</v>
      </c>
      <c r="W252" s="2" t="s">
        <v>195</v>
      </c>
      <c r="X252" s="2" t="s">
        <v>289</v>
      </c>
      <c r="Y252" s="2"/>
      <c r="Z252" s="2" t="s">
        <v>170</v>
      </c>
      <c r="AA252" s="2"/>
      <c r="AB252" s="2" t="s">
        <v>63</v>
      </c>
      <c r="AC252" s="2" t="s">
        <v>452</v>
      </c>
      <c r="AD252" s="2" t="s">
        <v>2978</v>
      </c>
      <c r="AE252" s="3" t="s">
        <v>2979</v>
      </c>
      <c r="AF252" s="3" t="s">
        <v>2980</v>
      </c>
      <c r="AG252" s="2"/>
      <c r="AH252" s="2" t="s">
        <v>54</v>
      </c>
      <c r="AI252" s="3" t="s">
        <v>2981</v>
      </c>
      <c r="AJ252" s="3" t="s">
        <v>2982</v>
      </c>
      <c r="AK252" s="2" t="n">
        <v>639137</v>
      </c>
      <c r="AL252" s="3" t="s">
        <v>2983</v>
      </c>
      <c r="AM252" s="2"/>
      <c r="AN252" s="2"/>
      <c r="AO252" s="3"/>
      <c r="AP252" s="3"/>
      <c r="AQ252" s="2"/>
    </row>
    <row r="253" customFormat="false" ht="35.05" hidden="false" customHeight="false" outlineLevel="0" collapsed="false">
      <c r="A253" s="2" t="n">
        <v>252</v>
      </c>
      <c r="B253" s="2" t="s">
        <v>2984</v>
      </c>
      <c r="C253" s="2" t="s">
        <v>2972</v>
      </c>
      <c r="D253" s="2" t="s">
        <v>2972</v>
      </c>
      <c r="E253" s="2" t="s">
        <v>2985</v>
      </c>
      <c r="F253" s="2" t="s">
        <v>2986</v>
      </c>
      <c r="G253" s="3" t="s">
        <v>2987</v>
      </c>
      <c r="H253" s="2"/>
      <c r="I253" s="2" t="s">
        <v>74</v>
      </c>
      <c r="J253" s="3" t="s">
        <v>2988</v>
      </c>
      <c r="K253" s="2" t="s">
        <v>2526</v>
      </c>
      <c r="L253" s="2" t="s">
        <v>1553</v>
      </c>
      <c r="M253" s="2"/>
      <c r="N253" s="2"/>
      <c r="O253" s="2"/>
      <c r="P253" s="2" t="n">
        <v>36.7167</v>
      </c>
      <c r="Q253" s="2" t="n">
        <v>29.2355</v>
      </c>
      <c r="R253" s="2" t="s">
        <v>54</v>
      </c>
      <c r="S253" s="2" t="n">
        <v>-300</v>
      </c>
      <c r="T253" s="2" t="s">
        <v>1942</v>
      </c>
      <c r="U253" s="2" t="s">
        <v>56</v>
      </c>
      <c r="V253" s="2" t="s">
        <v>78</v>
      </c>
      <c r="W253" s="2" t="s">
        <v>195</v>
      </c>
      <c r="X253" s="2" t="s">
        <v>289</v>
      </c>
      <c r="Y253" s="2"/>
      <c r="Z253" s="2" t="s">
        <v>170</v>
      </c>
      <c r="AA253" s="2"/>
      <c r="AB253" s="2" t="s">
        <v>63</v>
      </c>
      <c r="AC253" s="2" t="s">
        <v>452</v>
      </c>
      <c r="AD253" s="2" t="s">
        <v>2989</v>
      </c>
      <c r="AE253" s="3" t="s">
        <v>2990</v>
      </c>
      <c r="AF253" s="3" t="s">
        <v>2991</v>
      </c>
      <c r="AG253" s="2"/>
      <c r="AH253" s="2" t="s">
        <v>54</v>
      </c>
      <c r="AI253" s="3" t="s">
        <v>2992</v>
      </c>
      <c r="AJ253" s="3" t="s">
        <v>2993</v>
      </c>
      <c r="AK253" s="2" t="n">
        <v>638885</v>
      </c>
      <c r="AL253" s="3" t="s">
        <v>2994</v>
      </c>
      <c r="AM253" s="2"/>
      <c r="AN253" s="2"/>
      <c r="AO253" s="3"/>
      <c r="AP253" s="3"/>
      <c r="AQ253" s="2"/>
    </row>
    <row r="254" customFormat="false" ht="46.25" hidden="false" customHeight="false" outlineLevel="0" collapsed="false">
      <c r="A254" s="2" t="n">
        <v>253</v>
      </c>
      <c r="B254" s="2" t="s">
        <v>2995</v>
      </c>
      <c r="C254" s="2" t="s">
        <v>2972</v>
      </c>
      <c r="D254" s="2" t="s">
        <v>2972</v>
      </c>
      <c r="E254" s="2" t="s">
        <v>2996</v>
      </c>
      <c r="F254" s="2" t="s">
        <v>2997</v>
      </c>
      <c r="G254" s="3"/>
      <c r="H254" s="2"/>
      <c r="I254" s="2" t="s">
        <v>74</v>
      </c>
      <c r="J254" s="3" t="s">
        <v>2998</v>
      </c>
      <c r="K254" s="2" t="s">
        <v>2526</v>
      </c>
      <c r="L254" s="2" t="s">
        <v>1553</v>
      </c>
      <c r="M254" s="2"/>
      <c r="N254" s="2"/>
      <c r="O254" s="2"/>
      <c r="P254" s="2" t="n">
        <v>36.5533</v>
      </c>
      <c r="Q254" s="2" t="n">
        <v>29.4205</v>
      </c>
      <c r="R254" s="2" t="s">
        <v>54</v>
      </c>
      <c r="S254" s="2" t="n">
        <v>-300</v>
      </c>
      <c r="T254" s="2" t="s">
        <v>1942</v>
      </c>
      <c r="U254" s="2" t="s">
        <v>56</v>
      </c>
      <c r="V254" s="2" t="s">
        <v>78</v>
      </c>
      <c r="W254" s="2" t="s">
        <v>195</v>
      </c>
      <c r="X254" s="2" t="s">
        <v>289</v>
      </c>
      <c r="Y254" s="2"/>
      <c r="Z254" s="2" t="s">
        <v>170</v>
      </c>
      <c r="AA254" s="2"/>
      <c r="AB254" s="2" t="s">
        <v>63</v>
      </c>
      <c r="AC254" s="2" t="s">
        <v>452</v>
      </c>
      <c r="AD254" s="2" t="s">
        <v>2999</v>
      </c>
      <c r="AE254" s="3" t="s">
        <v>3000</v>
      </c>
      <c r="AF254" s="3" t="s">
        <v>3001</v>
      </c>
      <c r="AG254" s="2"/>
      <c r="AH254" s="2" t="s">
        <v>54</v>
      </c>
      <c r="AI254" s="3" t="s">
        <v>3002</v>
      </c>
      <c r="AJ254" s="3" t="s">
        <v>3003</v>
      </c>
      <c r="AK254" s="2" t="n">
        <v>639147</v>
      </c>
      <c r="AL254" s="3" t="s">
        <v>3004</v>
      </c>
      <c r="AM254" s="2"/>
      <c r="AN254" s="2"/>
      <c r="AO254" s="3"/>
      <c r="AP254" s="3"/>
      <c r="AQ254" s="2"/>
    </row>
    <row r="255" customFormat="false" ht="35.05" hidden="false" customHeight="false" outlineLevel="0" collapsed="false">
      <c r="A255" s="2" t="n">
        <v>254</v>
      </c>
      <c r="B255" s="2" t="s">
        <v>3005</v>
      </c>
      <c r="C255" s="2" t="s">
        <v>2972</v>
      </c>
      <c r="D255" s="2" t="s">
        <v>2972</v>
      </c>
      <c r="E255" s="2" t="s">
        <v>3006</v>
      </c>
      <c r="F255" s="2" t="s">
        <v>3007</v>
      </c>
      <c r="G255" s="3"/>
      <c r="H255" s="2"/>
      <c r="I255" s="2" t="s">
        <v>74</v>
      </c>
      <c r="J255" s="3" t="s">
        <v>3008</v>
      </c>
      <c r="K255" s="2" t="s">
        <v>2526</v>
      </c>
      <c r="L255" s="2" t="s">
        <v>1553</v>
      </c>
      <c r="M255" s="2"/>
      <c r="N255" s="2"/>
      <c r="O255" s="2"/>
      <c r="P255" s="2" t="n">
        <v>36.4938</v>
      </c>
      <c r="Q255" s="2" t="n">
        <v>29.252</v>
      </c>
      <c r="R255" s="2" t="s">
        <v>54</v>
      </c>
      <c r="S255" s="2" t="n">
        <v>-300</v>
      </c>
      <c r="T255" s="2" t="s">
        <v>1942</v>
      </c>
      <c r="U255" s="2" t="s">
        <v>56</v>
      </c>
      <c r="V255" s="2" t="s">
        <v>78</v>
      </c>
      <c r="W255" s="2" t="s">
        <v>195</v>
      </c>
      <c r="X255" s="2" t="s">
        <v>289</v>
      </c>
      <c r="Y255" s="2"/>
      <c r="Z255" s="2" t="s">
        <v>170</v>
      </c>
      <c r="AA255" s="2"/>
      <c r="AB255" s="2" t="s">
        <v>63</v>
      </c>
      <c r="AC255" s="2" t="s">
        <v>452</v>
      </c>
      <c r="AD255" s="2" t="s">
        <v>3009</v>
      </c>
      <c r="AE255" s="3" t="s">
        <v>3010</v>
      </c>
      <c r="AF255" s="3" t="s">
        <v>3011</v>
      </c>
      <c r="AG255" s="2"/>
      <c r="AH255" s="2" t="s">
        <v>54</v>
      </c>
      <c r="AI255" s="3"/>
      <c r="AJ255" s="3" t="s">
        <v>3012</v>
      </c>
      <c r="AK255" s="2" t="n">
        <v>639058</v>
      </c>
      <c r="AL255" s="3" t="s">
        <v>3013</v>
      </c>
      <c r="AM255" s="2"/>
      <c r="AN255" s="2"/>
      <c r="AO255" s="3"/>
      <c r="AP255" s="3"/>
      <c r="AQ255" s="2"/>
    </row>
    <row r="256" customFormat="false" ht="23.85" hidden="false" customHeight="false" outlineLevel="0" collapsed="false">
      <c r="A256" s="2" t="n">
        <v>255</v>
      </c>
      <c r="B256" s="2" t="s">
        <v>3014</v>
      </c>
      <c r="C256" s="2" t="s">
        <v>2972</v>
      </c>
      <c r="D256" s="2" t="s">
        <v>2972</v>
      </c>
      <c r="E256" s="2" t="s">
        <v>3015</v>
      </c>
      <c r="F256" s="2" t="s">
        <v>3016</v>
      </c>
      <c r="G256" s="3"/>
      <c r="H256" s="2" t="s">
        <v>3017</v>
      </c>
      <c r="I256" s="2" t="s">
        <v>49</v>
      </c>
      <c r="J256" s="3" t="s">
        <v>3018</v>
      </c>
      <c r="K256" s="2" t="s">
        <v>2526</v>
      </c>
      <c r="L256" s="2" t="s">
        <v>1553</v>
      </c>
      <c r="M256" s="2"/>
      <c r="N256" s="2"/>
      <c r="O256" s="2" t="s">
        <v>53</v>
      </c>
      <c r="P256" s="2" t="n">
        <v>36.4096</v>
      </c>
      <c r="Q256" s="2" t="n">
        <v>29.1926</v>
      </c>
      <c r="R256" s="2" t="s">
        <v>54</v>
      </c>
      <c r="S256" s="2" t="n">
        <v>-150</v>
      </c>
      <c r="T256" s="2" t="s">
        <v>2075</v>
      </c>
      <c r="U256" s="2" t="s">
        <v>56</v>
      </c>
      <c r="V256" s="2" t="s">
        <v>78</v>
      </c>
      <c r="W256" s="2" t="s">
        <v>195</v>
      </c>
      <c r="X256" s="2" t="s">
        <v>289</v>
      </c>
      <c r="Y256" s="2"/>
      <c r="Z256" s="2" t="s">
        <v>170</v>
      </c>
      <c r="AA256" s="2"/>
      <c r="AB256" s="2" t="s">
        <v>63</v>
      </c>
      <c r="AC256" s="2" t="s">
        <v>77</v>
      </c>
      <c r="AD256" s="2"/>
      <c r="AE256" s="3"/>
      <c r="AF256" s="3" t="s">
        <v>3019</v>
      </c>
      <c r="AG256" s="2"/>
      <c r="AH256" s="2" t="s">
        <v>54</v>
      </c>
      <c r="AI256" s="3" t="s">
        <v>3020</v>
      </c>
      <c r="AJ256" s="3" t="s">
        <v>3021</v>
      </c>
      <c r="AK256" s="2" t="n">
        <v>639108</v>
      </c>
      <c r="AL256" s="3" t="s">
        <v>3022</v>
      </c>
      <c r="AM256" s="2"/>
      <c r="AN256" s="2"/>
      <c r="AO256" s="3"/>
      <c r="AP256" s="3"/>
      <c r="AQ256" s="2"/>
    </row>
    <row r="257" customFormat="false" ht="35.05" hidden="false" customHeight="false" outlineLevel="0" collapsed="false">
      <c r="A257" s="2" t="n">
        <v>256</v>
      </c>
      <c r="B257" s="2" t="s">
        <v>3023</v>
      </c>
      <c r="C257" s="2" t="s">
        <v>2972</v>
      </c>
      <c r="D257" s="2" t="s">
        <v>2972</v>
      </c>
      <c r="E257" s="2" t="s">
        <v>3024</v>
      </c>
      <c r="F257" s="2" t="s">
        <v>3025</v>
      </c>
      <c r="G257" s="3"/>
      <c r="H257" s="2" t="s">
        <v>1305</v>
      </c>
      <c r="I257" s="2" t="s">
        <v>49</v>
      </c>
      <c r="J257" s="3" t="s">
        <v>3026</v>
      </c>
      <c r="K257" s="2" t="s">
        <v>2526</v>
      </c>
      <c r="L257" s="2" t="s">
        <v>1553</v>
      </c>
      <c r="M257" s="2"/>
      <c r="N257" s="2"/>
      <c r="O257" s="2" t="s">
        <v>53</v>
      </c>
      <c r="P257" s="2" t="n">
        <v>36.7513</v>
      </c>
      <c r="Q257" s="2" t="n">
        <v>29.3837</v>
      </c>
      <c r="R257" s="2" t="s">
        <v>54</v>
      </c>
      <c r="S257" s="2" t="n">
        <v>-180</v>
      </c>
      <c r="T257" s="2" t="s">
        <v>2247</v>
      </c>
      <c r="U257" s="2" t="s">
        <v>56</v>
      </c>
      <c r="V257" s="2" t="s">
        <v>57</v>
      </c>
      <c r="W257" s="2" t="s">
        <v>195</v>
      </c>
      <c r="X257" s="2" t="s">
        <v>289</v>
      </c>
      <c r="Y257" s="2"/>
      <c r="Z257" s="2" t="s">
        <v>170</v>
      </c>
      <c r="AA257" s="2"/>
      <c r="AB257" s="2" t="s">
        <v>63</v>
      </c>
      <c r="AC257" s="2" t="s">
        <v>64</v>
      </c>
      <c r="AD257" s="2"/>
      <c r="AE257" s="3"/>
      <c r="AF257" s="3" t="s">
        <v>3027</v>
      </c>
      <c r="AG257" s="2"/>
      <c r="AH257" s="2" t="s">
        <v>54</v>
      </c>
      <c r="AI257" s="3" t="s">
        <v>3028</v>
      </c>
      <c r="AJ257" s="3" t="s">
        <v>3029</v>
      </c>
      <c r="AK257" s="2" t="n">
        <v>638760</v>
      </c>
      <c r="AL257" s="3" t="s">
        <v>3030</v>
      </c>
      <c r="AM257" s="2"/>
      <c r="AN257" s="2"/>
      <c r="AO257" s="3"/>
      <c r="AP257" s="3"/>
      <c r="AQ257" s="2"/>
    </row>
    <row r="258" customFormat="false" ht="46.25" hidden="false" customHeight="false" outlineLevel="0" collapsed="false">
      <c r="A258" s="2" t="n">
        <v>257</v>
      </c>
      <c r="B258" s="2" t="s">
        <v>3031</v>
      </c>
      <c r="C258" s="2" t="s">
        <v>2972</v>
      </c>
      <c r="D258" s="2" t="s">
        <v>2972</v>
      </c>
      <c r="E258" s="2" t="s">
        <v>3032</v>
      </c>
      <c r="F258" s="2" t="s">
        <v>3033</v>
      </c>
      <c r="G258" s="3" t="s">
        <v>3034</v>
      </c>
      <c r="H258" s="2"/>
      <c r="I258" s="2" t="s">
        <v>74</v>
      </c>
      <c r="J258" s="3" t="s">
        <v>3035</v>
      </c>
      <c r="K258" s="2" t="s">
        <v>2526</v>
      </c>
      <c r="L258" s="2" t="s">
        <v>1553</v>
      </c>
      <c r="M258" s="2"/>
      <c r="N258" s="2"/>
      <c r="O258" s="2"/>
      <c r="P258" s="2" t="n">
        <v>36.8112</v>
      </c>
      <c r="Q258" s="2" t="n">
        <v>29.5552</v>
      </c>
      <c r="R258" s="2" t="s">
        <v>54</v>
      </c>
      <c r="S258" s="2" t="n">
        <v>-200</v>
      </c>
      <c r="T258" s="2" t="s">
        <v>194</v>
      </c>
      <c r="U258" s="2" t="s">
        <v>96</v>
      </c>
      <c r="V258" s="2" t="s">
        <v>57</v>
      </c>
      <c r="W258" s="2" t="s">
        <v>195</v>
      </c>
      <c r="X258" s="2" t="s">
        <v>59</v>
      </c>
      <c r="Y258" s="2" t="s">
        <v>3036</v>
      </c>
      <c r="Z258" s="2" t="s">
        <v>61</v>
      </c>
      <c r="AA258" s="2" t="s">
        <v>3037</v>
      </c>
      <c r="AB258" s="2" t="s">
        <v>63</v>
      </c>
      <c r="AC258" s="2" t="s">
        <v>64</v>
      </c>
      <c r="AD258" s="2" t="s">
        <v>3038</v>
      </c>
      <c r="AE258" s="3" t="s">
        <v>3039</v>
      </c>
      <c r="AF258" s="3" t="s">
        <v>3040</v>
      </c>
      <c r="AG258" s="2"/>
      <c r="AH258" s="2" t="s">
        <v>54</v>
      </c>
      <c r="AI258" s="3" t="s">
        <v>3041</v>
      </c>
      <c r="AJ258" s="3" t="s">
        <v>3042</v>
      </c>
      <c r="AK258" s="2" t="n">
        <v>639013</v>
      </c>
      <c r="AL258" s="3" t="s">
        <v>3043</v>
      </c>
      <c r="AM258" s="2"/>
      <c r="AN258" s="2"/>
      <c r="AO258" s="3"/>
      <c r="AP258" s="3"/>
      <c r="AQ258" s="2"/>
    </row>
    <row r="259" customFormat="false" ht="35.05" hidden="false" customHeight="false" outlineLevel="0" collapsed="false">
      <c r="A259" s="2" t="n">
        <v>258</v>
      </c>
      <c r="B259" s="2" t="s">
        <v>3044</v>
      </c>
      <c r="C259" s="2" t="s">
        <v>2972</v>
      </c>
      <c r="D259" s="2" t="s">
        <v>2972</v>
      </c>
      <c r="E259" s="2" t="s">
        <v>3045</v>
      </c>
      <c r="F259" s="2" t="s">
        <v>3046</v>
      </c>
      <c r="G259" s="3"/>
      <c r="H259" s="2"/>
      <c r="I259" s="2" t="s">
        <v>74</v>
      </c>
      <c r="J259" s="3" t="s">
        <v>3047</v>
      </c>
      <c r="K259" s="2" t="s">
        <v>3048</v>
      </c>
      <c r="L259" s="2" t="s">
        <v>3049</v>
      </c>
      <c r="M259" s="2"/>
      <c r="N259" s="2"/>
      <c r="O259" s="2"/>
      <c r="P259" s="2" t="n">
        <v>36.3571</v>
      </c>
      <c r="Q259" s="2" t="n">
        <v>29.3202</v>
      </c>
      <c r="R259" s="2" t="s">
        <v>54</v>
      </c>
      <c r="S259" s="2" t="n">
        <v>-300</v>
      </c>
      <c r="T259" s="2" t="s">
        <v>1942</v>
      </c>
      <c r="U259" s="2" t="s">
        <v>56</v>
      </c>
      <c r="V259" s="2" t="s">
        <v>78</v>
      </c>
      <c r="W259" s="2" t="s">
        <v>195</v>
      </c>
      <c r="X259" s="2" t="s">
        <v>289</v>
      </c>
      <c r="Y259" s="2"/>
      <c r="Z259" s="2" t="s">
        <v>170</v>
      </c>
      <c r="AA259" s="2"/>
      <c r="AB259" s="2" t="s">
        <v>63</v>
      </c>
      <c r="AC259" s="2" t="s">
        <v>452</v>
      </c>
      <c r="AD259" s="2" t="s">
        <v>3050</v>
      </c>
      <c r="AE259" s="3" t="s">
        <v>3051</v>
      </c>
      <c r="AF259" s="3" t="s">
        <v>3052</v>
      </c>
      <c r="AG259" s="2"/>
      <c r="AH259" s="2" t="s">
        <v>54</v>
      </c>
      <c r="AI259" s="3" t="s">
        <v>3053</v>
      </c>
      <c r="AJ259" s="3" t="s">
        <v>3054</v>
      </c>
      <c r="AK259" s="2" t="n">
        <v>639166</v>
      </c>
      <c r="AL259" s="3" t="s">
        <v>3055</v>
      </c>
      <c r="AM259" s="2"/>
      <c r="AN259" s="2"/>
      <c r="AO259" s="3"/>
      <c r="AP259" s="3"/>
      <c r="AQ259" s="2"/>
    </row>
    <row r="260" customFormat="false" ht="35.05" hidden="false" customHeight="false" outlineLevel="0" collapsed="false">
      <c r="A260" s="2" t="n">
        <v>259</v>
      </c>
      <c r="B260" s="2" t="s">
        <v>3056</v>
      </c>
      <c r="C260" s="2" t="s">
        <v>2972</v>
      </c>
      <c r="D260" s="2" t="s">
        <v>2972</v>
      </c>
      <c r="E260" s="2" t="s">
        <v>3057</v>
      </c>
      <c r="F260" s="2" t="s">
        <v>3058</v>
      </c>
      <c r="G260" s="3" t="s">
        <v>3059</v>
      </c>
      <c r="H260" s="2"/>
      <c r="I260" s="2" t="s">
        <v>74</v>
      </c>
      <c r="J260" s="3" t="s">
        <v>3060</v>
      </c>
      <c r="K260" s="2" t="s">
        <v>3048</v>
      </c>
      <c r="L260" s="2" t="s">
        <v>3049</v>
      </c>
      <c r="M260" s="2"/>
      <c r="N260" s="2"/>
      <c r="O260" s="2"/>
      <c r="P260" s="2" t="n">
        <v>36.2618</v>
      </c>
      <c r="Q260" s="2" t="n">
        <v>29.3145</v>
      </c>
      <c r="R260" s="2" t="s">
        <v>54</v>
      </c>
      <c r="S260" s="2" t="n">
        <v>-300</v>
      </c>
      <c r="T260" s="2" t="s">
        <v>1942</v>
      </c>
      <c r="U260" s="2" t="s">
        <v>56</v>
      </c>
      <c r="V260" s="2" t="s">
        <v>78</v>
      </c>
      <c r="W260" s="2" t="s">
        <v>195</v>
      </c>
      <c r="X260" s="2" t="s">
        <v>289</v>
      </c>
      <c r="Y260" s="2"/>
      <c r="Z260" s="2" t="s">
        <v>170</v>
      </c>
      <c r="AA260" s="2"/>
      <c r="AB260" s="2" t="s">
        <v>63</v>
      </c>
      <c r="AC260" s="2" t="s">
        <v>452</v>
      </c>
      <c r="AD260" s="2" t="s">
        <v>3061</v>
      </c>
      <c r="AE260" s="3" t="s">
        <v>3062</v>
      </c>
      <c r="AF260" s="3" t="s">
        <v>3063</v>
      </c>
      <c r="AG260" s="2"/>
      <c r="AH260" s="2" t="s">
        <v>54</v>
      </c>
      <c r="AI260" s="3"/>
      <c r="AJ260" s="3" t="s">
        <v>3064</v>
      </c>
      <c r="AK260" s="2" t="n">
        <v>639042</v>
      </c>
      <c r="AL260" s="3" t="s">
        <v>3065</v>
      </c>
      <c r="AM260" s="2"/>
      <c r="AN260" s="2"/>
      <c r="AO260" s="3"/>
      <c r="AP260" s="3"/>
      <c r="AQ260" s="2"/>
    </row>
    <row r="261" customFormat="false" ht="35.05" hidden="false" customHeight="false" outlineLevel="0" collapsed="false">
      <c r="A261" s="2" t="n">
        <v>260</v>
      </c>
      <c r="B261" s="2" t="s">
        <v>3066</v>
      </c>
      <c r="C261" s="2" t="s">
        <v>2972</v>
      </c>
      <c r="D261" s="2" t="s">
        <v>2972</v>
      </c>
      <c r="E261" s="2" t="s">
        <v>3067</v>
      </c>
      <c r="F261" s="2" t="s">
        <v>3068</v>
      </c>
      <c r="G261" s="3"/>
      <c r="H261" s="2"/>
      <c r="I261" s="2" t="s">
        <v>74</v>
      </c>
      <c r="J261" s="3" t="s">
        <v>3069</v>
      </c>
      <c r="K261" s="2" t="s">
        <v>3048</v>
      </c>
      <c r="L261" s="2" t="s">
        <v>3049</v>
      </c>
      <c r="M261" s="2"/>
      <c r="N261" s="2"/>
      <c r="O261" s="2"/>
      <c r="P261" s="2" t="n">
        <v>36.2428</v>
      </c>
      <c r="Q261" s="2" t="n">
        <v>29.6622</v>
      </c>
      <c r="R261" s="2" t="s">
        <v>54</v>
      </c>
      <c r="S261" s="2" t="n">
        <v>-300</v>
      </c>
      <c r="T261" s="2" t="s">
        <v>1942</v>
      </c>
      <c r="U261" s="2" t="s">
        <v>56</v>
      </c>
      <c r="V261" s="2" t="s">
        <v>78</v>
      </c>
      <c r="W261" s="2" t="s">
        <v>195</v>
      </c>
      <c r="X261" s="2" t="s">
        <v>289</v>
      </c>
      <c r="Y261" s="2"/>
      <c r="Z261" s="2" t="s">
        <v>170</v>
      </c>
      <c r="AA261" s="2"/>
      <c r="AB261" s="2" t="s">
        <v>63</v>
      </c>
      <c r="AC261" s="2" t="s">
        <v>452</v>
      </c>
      <c r="AD261" s="2" t="s">
        <v>3070</v>
      </c>
      <c r="AE261" s="3" t="s">
        <v>3071</v>
      </c>
      <c r="AF261" s="3" t="s">
        <v>3072</v>
      </c>
      <c r="AG261" s="2"/>
      <c r="AH261" s="2" t="s">
        <v>54</v>
      </c>
      <c r="AI261" s="3"/>
      <c r="AJ261" s="3" t="s">
        <v>3073</v>
      </c>
      <c r="AK261" s="2" t="n">
        <v>639052</v>
      </c>
      <c r="AL261" s="3" t="s">
        <v>3074</v>
      </c>
      <c r="AM261" s="2"/>
      <c r="AN261" s="2"/>
      <c r="AO261" s="3"/>
      <c r="AP261" s="3"/>
      <c r="AQ261" s="2"/>
    </row>
    <row r="262" customFormat="false" ht="35.05" hidden="false" customHeight="false" outlineLevel="0" collapsed="false">
      <c r="A262" s="2" t="n">
        <v>261</v>
      </c>
      <c r="B262" s="2" t="s">
        <v>3075</v>
      </c>
      <c r="C262" s="2" t="s">
        <v>2972</v>
      </c>
      <c r="D262" s="2" t="s">
        <v>2972</v>
      </c>
      <c r="E262" s="2" t="s">
        <v>3076</v>
      </c>
      <c r="F262" s="2" t="s">
        <v>3077</v>
      </c>
      <c r="G262" s="3" t="s">
        <v>3078</v>
      </c>
      <c r="H262" s="2" t="s">
        <v>3079</v>
      </c>
      <c r="I262" s="2" t="s">
        <v>123</v>
      </c>
      <c r="J262" s="3" t="s">
        <v>3080</v>
      </c>
      <c r="K262" s="2" t="s">
        <v>3048</v>
      </c>
      <c r="L262" s="2" t="s">
        <v>3049</v>
      </c>
      <c r="M262" s="2" t="s">
        <v>3079</v>
      </c>
      <c r="N262" s="2"/>
      <c r="O262" s="2" t="s">
        <v>53</v>
      </c>
      <c r="P262" s="2" t="n">
        <v>36.2</v>
      </c>
      <c r="Q262" s="2" t="n">
        <v>29.6349</v>
      </c>
      <c r="R262" s="2" t="s">
        <v>54</v>
      </c>
      <c r="S262" s="2" t="n">
        <v>-300</v>
      </c>
      <c r="T262" s="2" t="s">
        <v>1942</v>
      </c>
      <c r="U262" s="2" t="s">
        <v>56</v>
      </c>
      <c r="V262" s="2" t="s">
        <v>78</v>
      </c>
      <c r="W262" s="2" t="s">
        <v>195</v>
      </c>
      <c r="X262" s="2" t="s">
        <v>289</v>
      </c>
      <c r="Y262" s="2"/>
      <c r="Z262" s="2" t="s">
        <v>170</v>
      </c>
      <c r="AA262" s="2"/>
      <c r="AB262" s="2" t="s">
        <v>63</v>
      </c>
      <c r="AC262" s="2" t="s">
        <v>452</v>
      </c>
      <c r="AD262" s="2"/>
      <c r="AE262" s="3" t="s">
        <v>3081</v>
      </c>
      <c r="AF262" s="3" t="s">
        <v>3082</v>
      </c>
      <c r="AG262" s="2"/>
      <c r="AH262" s="2" t="s">
        <v>54</v>
      </c>
      <c r="AI262" s="3" t="s">
        <v>3083</v>
      </c>
      <c r="AJ262" s="3" t="s">
        <v>3084</v>
      </c>
      <c r="AK262" s="2" t="n">
        <v>638749</v>
      </c>
      <c r="AL262" s="3" t="s">
        <v>3085</v>
      </c>
      <c r="AM262" s="2"/>
      <c r="AN262" s="2"/>
      <c r="AO262" s="3"/>
      <c r="AP262" s="3"/>
      <c r="AQ262" s="2"/>
    </row>
    <row r="263" customFormat="false" ht="46.25" hidden="false" customHeight="false" outlineLevel="0" collapsed="false">
      <c r="A263" s="2" t="n">
        <v>262</v>
      </c>
      <c r="B263" s="2" t="s">
        <v>3086</v>
      </c>
      <c r="C263" s="2" t="s">
        <v>2972</v>
      </c>
      <c r="D263" s="2" t="s">
        <v>2972</v>
      </c>
      <c r="E263" s="2" t="s">
        <v>3087</v>
      </c>
      <c r="F263" s="2" t="s">
        <v>3088</v>
      </c>
      <c r="G263" s="3"/>
      <c r="H263" s="2"/>
      <c r="I263" s="2" t="s">
        <v>74</v>
      </c>
      <c r="J263" s="3" t="s">
        <v>3089</v>
      </c>
      <c r="K263" s="2" t="s">
        <v>3048</v>
      </c>
      <c r="L263" s="2" t="s">
        <v>3049</v>
      </c>
      <c r="M263" s="2"/>
      <c r="N263" s="2"/>
      <c r="O263" s="2"/>
      <c r="P263" s="2" t="n">
        <v>36.179</v>
      </c>
      <c r="Q263" s="2" t="n">
        <v>29.705</v>
      </c>
      <c r="R263" s="2" t="s">
        <v>95</v>
      </c>
      <c r="S263" s="2" t="n">
        <v>-100</v>
      </c>
      <c r="T263" s="2" t="s">
        <v>2084</v>
      </c>
      <c r="U263" s="2" t="s">
        <v>56</v>
      </c>
      <c r="V263" s="2" t="s">
        <v>78</v>
      </c>
      <c r="W263" s="2" t="s">
        <v>195</v>
      </c>
      <c r="X263" s="2" t="s">
        <v>289</v>
      </c>
      <c r="Y263" s="2"/>
      <c r="Z263" s="2" t="s">
        <v>170</v>
      </c>
      <c r="AA263" s="2"/>
      <c r="AB263" s="2" t="s">
        <v>63</v>
      </c>
      <c r="AC263" s="2" t="s">
        <v>77</v>
      </c>
      <c r="AD263" s="2"/>
      <c r="AE263" s="3"/>
      <c r="AF263" s="3" t="s">
        <v>3090</v>
      </c>
      <c r="AG263" s="2"/>
      <c r="AH263" s="2" t="s">
        <v>113</v>
      </c>
      <c r="AI263" s="3" t="s">
        <v>3091</v>
      </c>
      <c r="AJ263" s="3" t="s">
        <v>3092</v>
      </c>
      <c r="AK263" s="2" t="n">
        <v>638871</v>
      </c>
      <c r="AL263" s="3" t="s">
        <v>3093</v>
      </c>
      <c r="AM263" s="2"/>
      <c r="AN263" s="2"/>
      <c r="AO263" s="3"/>
      <c r="AP263" s="3"/>
      <c r="AQ263" s="2"/>
    </row>
    <row r="264" customFormat="false" ht="23.85" hidden="false" customHeight="false" outlineLevel="0" collapsed="false">
      <c r="A264" s="2" t="n">
        <v>263</v>
      </c>
      <c r="B264" s="2" t="s">
        <v>3094</v>
      </c>
      <c r="C264" s="2" t="s">
        <v>2972</v>
      </c>
      <c r="D264" s="2" t="s">
        <v>2972</v>
      </c>
      <c r="E264" s="2" t="s">
        <v>3095</v>
      </c>
      <c r="F264" s="2" t="s">
        <v>3096</v>
      </c>
      <c r="G264" s="3"/>
      <c r="H264" s="2"/>
      <c r="I264" s="2" t="s">
        <v>74</v>
      </c>
      <c r="J264" s="3" t="s">
        <v>3097</v>
      </c>
      <c r="K264" s="2" t="s">
        <v>3048</v>
      </c>
      <c r="L264" s="2" t="s">
        <v>3049</v>
      </c>
      <c r="M264" s="2"/>
      <c r="N264" s="2"/>
      <c r="O264" s="2"/>
      <c r="P264" s="2" t="n">
        <v>36.1596</v>
      </c>
      <c r="Q264" s="2" t="n">
        <v>29.7822</v>
      </c>
      <c r="R264" s="2" t="s">
        <v>54</v>
      </c>
      <c r="S264" s="2" t="n">
        <v>-300</v>
      </c>
      <c r="T264" s="2" t="s">
        <v>1942</v>
      </c>
      <c r="U264" s="2" t="s">
        <v>56</v>
      </c>
      <c r="V264" s="2" t="s">
        <v>78</v>
      </c>
      <c r="W264" s="2" t="s">
        <v>195</v>
      </c>
      <c r="X264" s="2" t="s">
        <v>289</v>
      </c>
      <c r="Y264" s="2"/>
      <c r="Z264" s="2" t="s">
        <v>170</v>
      </c>
      <c r="AA264" s="2"/>
      <c r="AB264" s="2" t="s">
        <v>63</v>
      </c>
      <c r="AC264" s="2" t="s">
        <v>452</v>
      </c>
      <c r="AD264" s="2" t="s">
        <v>3098</v>
      </c>
      <c r="AE264" s="3" t="s">
        <v>3099</v>
      </c>
      <c r="AF264" s="3" t="s">
        <v>3100</v>
      </c>
      <c r="AG264" s="2"/>
      <c r="AH264" s="2" t="s">
        <v>54</v>
      </c>
      <c r="AI264" s="3" t="s">
        <v>3101</v>
      </c>
      <c r="AJ264" s="3" t="s">
        <v>3102</v>
      </c>
      <c r="AK264" s="2" t="n">
        <v>638752</v>
      </c>
      <c r="AL264" s="3" t="s">
        <v>3103</v>
      </c>
      <c r="AM264" s="2"/>
      <c r="AN264" s="2"/>
      <c r="AO264" s="3"/>
      <c r="AP264" s="3"/>
      <c r="AQ264" s="2"/>
    </row>
    <row r="265" customFormat="false" ht="35.05" hidden="false" customHeight="false" outlineLevel="0" collapsed="false">
      <c r="A265" s="2" t="n">
        <v>264</v>
      </c>
      <c r="B265" s="2" t="s">
        <v>3104</v>
      </c>
      <c r="C265" s="2" t="s">
        <v>2972</v>
      </c>
      <c r="D265" s="2" t="s">
        <v>2972</v>
      </c>
      <c r="E265" s="2" t="s">
        <v>3105</v>
      </c>
      <c r="F265" s="2" t="s">
        <v>2928</v>
      </c>
      <c r="G265" s="3"/>
      <c r="H265" s="2"/>
      <c r="I265" s="2" t="s">
        <v>74</v>
      </c>
      <c r="J265" s="3" t="s">
        <v>3106</v>
      </c>
      <c r="K265" s="2" t="s">
        <v>3048</v>
      </c>
      <c r="L265" s="2" t="s">
        <v>3049</v>
      </c>
      <c r="M265" s="2"/>
      <c r="N265" s="2"/>
      <c r="O265" s="2"/>
      <c r="P265" s="2" t="n">
        <v>36.1866</v>
      </c>
      <c r="Q265" s="2" t="n">
        <v>29.7644</v>
      </c>
      <c r="R265" s="2" t="s">
        <v>54</v>
      </c>
      <c r="S265" s="2" t="n">
        <v>-100</v>
      </c>
      <c r="T265" s="2" t="s">
        <v>2084</v>
      </c>
      <c r="U265" s="2" t="s">
        <v>56</v>
      </c>
      <c r="V265" s="2" t="s">
        <v>78</v>
      </c>
      <c r="W265" s="2" t="s">
        <v>195</v>
      </c>
      <c r="X265" s="2" t="s">
        <v>289</v>
      </c>
      <c r="Y265" s="2"/>
      <c r="Z265" s="2" t="s">
        <v>170</v>
      </c>
      <c r="AA265" s="2"/>
      <c r="AB265" s="2" t="s">
        <v>63</v>
      </c>
      <c r="AC265" s="2" t="s">
        <v>77</v>
      </c>
      <c r="AD265" s="2"/>
      <c r="AE265" s="3"/>
      <c r="AF265" s="3" t="s">
        <v>3107</v>
      </c>
      <c r="AG265" s="2"/>
      <c r="AH265" s="2" t="s">
        <v>113</v>
      </c>
      <c r="AI265" s="3" t="s">
        <v>3108</v>
      </c>
      <c r="AJ265" s="3" t="s">
        <v>3109</v>
      </c>
      <c r="AK265" s="2" t="n">
        <v>638755</v>
      </c>
      <c r="AL265" s="3" t="s">
        <v>3110</v>
      </c>
      <c r="AM265" s="2"/>
      <c r="AN265" s="2"/>
      <c r="AO265" s="3"/>
      <c r="AP265" s="3"/>
      <c r="AQ265" s="2"/>
    </row>
    <row r="266" customFormat="false" ht="23.85" hidden="false" customHeight="false" outlineLevel="0" collapsed="false">
      <c r="A266" s="2" t="n">
        <v>265</v>
      </c>
      <c r="B266" s="2" t="s">
        <v>3111</v>
      </c>
      <c r="C266" s="2" t="s">
        <v>2972</v>
      </c>
      <c r="D266" s="2" t="s">
        <v>2972</v>
      </c>
      <c r="E266" s="2" t="s">
        <v>3112</v>
      </c>
      <c r="F266" s="2" t="s">
        <v>3113</v>
      </c>
      <c r="G266" s="3"/>
      <c r="H266" s="2" t="s">
        <v>48</v>
      </c>
      <c r="I266" s="2" t="s">
        <v>49</v>
      </c>
      <c r="J266" s="3" t="s">
        <v>3114</v>
      </c>
      <c r="K266" s="2" t="s">
        <v>3048</v>
      </c>
      <c r="L266" s="2" t="s">
        <v>3049</v>
      </c>
      <c r="M266" s="2"/>
      <c r="N266" s="2"/>
      <c r="O266" s="2" t="s">
        <v>53</v>
      </c>
      <c r="P266" s="2" t="n">
        <v>36.1935</v>
      </c>
      <c r="Q266" s="2" t="n">
        <v>29.8706</v>
      </c>
      <c r="R266" s="2" t="s">
        <v>54</v>
      </c>
      <c r="S266" s="2" t="n">
        <v>-100</v>
      </c>
      <c r="T266" s="2" t="s">
        <v>2084</v>
      </c>
      <c r="U266" s="2" t="s">
        <v>56</v>
      </c>
      <c r="V266" s="2" t="s">
        <v>78</v>
      </c>
      <c r="W266" s="2" t="s">
        <v>195</v>
      </c>
      <c r="X266" s="2" t="s">
        <v>289</v>
      </c>
      <c r="Y266" s="2"/>
      <c r="Z266" s="2" t="s">
        <v>170</v>
      </c>
      <c r="AA266" s="2"/>
      <c r="AB266" s="2" t="s">
        <v>63</v>
      </c>
      <c r="AC266" s="2" t="s">
        <v>77</v>
      </c>
      <c r="AD266" s="2"/>
      <c r="AE266" s="3"/>
      <c r="AF266" s="3" t="s">
        <v>3115</v>
      </c>
      <c r="AG266" s="2"/>
      <c r="AH266" s="2" t="s">
        <v>113</v>
      </c>
      <c r="AI266" s="3" t="s">
        <v>3116</v>
      </c>
      <c r="AJ266" s="3" t="s">
        <v>3117</v>
      </c>
      <c r="AK266" s="2" t="n">
        <v>639110</v>
      </c>
      <c r="AL266" s="3" t="s">
        <v>3110</v>
      </c>
      <c r="AM266" s="2"/>
      <c r="AN266" s="2"/>
      <c r="AO266" s="3"/>
      <c r="AP266" s="3"/>
      <c r="AQ266" s="2"/>
    </row>
    <row r="267" customFormat="false" ht="23.85" hidden="false" customHeight="false" outlineLevel="0" collapsed="false">
      <c r="A267" s="2" t="n">
        <v>266</v>
      </c>
      <c r="B267" s="2" t="s">
        <v>3118</v>
      </c>
      <c r="C267" s="2" t="s">
        <v>2972</v>
      </c>
      <c r="D267" s="2" t="s">
        <v>2972</v>
      </c>
      <c r="E267" s="2" t="s">
        <v>3119</v>
      </c>
      <c r="F267" s="2" t="s">
        <v>3120</v>
      </c>
      <c r="G267" s="3" t="s">
        <v>3121</v>
      </c>
      <c r="H267" s="2"/>
      <c r="I267" s="2" t="s">
        <v>74</v>
      </c>
      <c r="J267" s="3" t="s">
        <v>3122</v>
      </c>
      <c r="K267" s="2" t="s">
        <v>3048</v>
      </c>
      <c r="L267" s="2" t="s">
        <v>3049</v>
      </c>
      <c r="M267" s="2"/>
      <c r="N267" s="2"/>
      <c r="O267" s="2"/>
      <c r="P267" s="2" t="n">
        <v>36.2464</v>
      </c>
      <c r="Q267" s="2" t="n">
        <v>29.8166</v>
      </c>
      <c r="R267" s="2" t="s">
        <v>54</v>
      </c>
      <c r="S267" s="2" t="n">
        <v>-300</v>
      </c>
      <c r="T267" s="2" t="s">
        <v>1942</v>
      </c>
      <c r="U267" s="2" t="s">
        <v>56</v>
      </c>
      <c r="V267" s="2" t="s">
        <v>78</v>
      </c>
      <c r="W267" s="2" t="s">
        <v>195</v>
      </c>
      <c r="X267" s="2" t="s">
        <v>289</v>
      </c>
      <c r="Y267" s="2"/>
      <c r="Z267" s="2" t="s">
        <v>170</v>
      </c>
      <c r="AA267" s="2"/>
      <c r="AB267" s="2" t="s">
        <v>63</v>
      </c>
      <c r="AC267" s="2" t="s">
        <v>77</v>
      </c>
      <c r="AD267" s="2"/>
      <c r="AE267" s="3" t="s">
        <v>3123</v>
      </c>
      <c r="AF267" s="3" t="s">
        <v>3124</v>
      </c>
      <c r="AG267" s="2"/>
      <c r="AH267" s="2" t="s">
        <v>54</v>
      </c>
      <c r="AI267" s="3" t="s">
        <v>3125</v>
      </c>
      <c r="AJ267" s="3" t="s">
        <v>3126</v>
      </c>
      <c r="AK267" s="2" t="n">
        <v>638948</v>
      </c>
      <c r="AL267" s="3" t="s">
        <v>3127</v>
      </c>
      <c r="AM267" s="2"/>
      <c r="AN267" s="2"/>
      <c r="AO267" s="3"/>
      <c r="AP267" s="3"/>
      <c r="AQ267" s="2"/>
    </row>
    <row r="268" customFormat="false" ht="35.05" hidden="false" customHeight="false" outlineLevel="0" collapsed="false">
      <c r="A268" s="2" t="n">
        <v>267</v>
      </c>
      <c r="B268" s="2" t="s">
        <v>3128</v>
      </c>
      <c r="C268" s="2" t="s">
        <v>2972</v>
      </c>
      <c r="D268" s="2" t="s">
        <v>2972</v>
      </c>
      <c r="E268" s="2" t="s">
        <v>3129</v>
      </c>
      <c r="F268" s="2" t="s">
        <v>3130</v>
      </c>
      <c r="G268" s="3"/>
      <c r="H268" s="2" t="s">
        <v>3131</v>
      </c>
      <c r="I268" s="2" t="s">
        <v>123</v>
      </c>
      <c r="J268" s="3" t="s">
        <v>3132</v>
      </c>
      <c r="K268" s="2" t="s">
        <v>3048</v>
      </c>
      <c r="L268" s="2" t="s">
        <v>3049</v>
      </c>
      <c r="M268" s="2" t="s">
        <v>3131</v>
      </c>
      <c r="N268" s="2"/>
      <c r="O268" s="2" t="s">
        <v>53</v>
      </c>
      <c r="P268" s="2" t="n">
        <v>36.2586</v>
      </c>
      <c r="Q268" s="2" t="n">
        <v>29.9855</v>
      </c>
      <c r="R268" s="2" t="s">
        <v>54</v>
      </c>
      <c r="S268" s="2" t="n">
        <v>-300</v>
      </c>
      <c r="T268" s="2" t="s">
        <v>1942</v>
      </c>
      <c r="U268" s="2" t="s">
        <v>56</v>
      </c>
      <c r="V268" s="2" t="s">
        <v>78</v>
      </c>
      <c r="W268" s="2" t="s">
        <v>195</v>
      </c>
      <c r="X268" s="2" t="s">
        <v>289</v>
      </c>
      <c r="Y268" s="2"/>
      <c r="Z268" s="2" t="s">
        <v>170</v>
      </c>
      <c r="AA268" s="2"/>
      <c r="AB268" s="2" t="s">
        <v>63</v>
      </c>
      <c r="AC268" s="2" t="s">
        <v>77</v>
      </c>
      <c r="AD268" s="2"/>
      <c r="AE268" s="3" t="s">
        <v>3133</v>
      </c>
      <c r="AF268" s="3" t="s">
        <v>3134</v>
      </c>
      <c r="AG268" s="2"/>
      <c r="AH268" s="2" t="s">
        <v>54</v>
      </c>
      <c r="AI268" s="3" t="s">
        <v>3135</v>
      </c>
      <c r="AJ268" s="3" t="s">
        <v>3136</v>
      </c>
      <c r="AK268" s="2" t="n">
        <v>639005</v>
      </c>
      <c r="AL268" s="3" t="s">
        <v>3137</v>
      </c>
      <c r="AM268" s="2"/>
      <c r="AN268" s="2"/>
      <c r="AO268" s="3"/>
      <c r="AP268" s="3"/>
      <c r="AQ268" s="2"/>
    </row>
    <row r="269" customFormat="false" ht="46.25" hidden="false" customHeight="false" outlineLevel="0" collapsed="false">
      <c r="A269" s="2" t="n">
        <v>268</v>
      </c>
      <c r="B269" s="2" t="s">
        <v>3138</v>
      </c>
      <c r="C269" s="2" t="s">
        <v>2972</v>
      </c>
      <c r="D269" s="2" t="s">
        <v>2972</v>
      </c>
      <c r="E269" s="2" t="s">
        <v>3139</v>
      </c>
      <c r="F269" s="2" t="s">
        <v>2480</v>
      </c>
      <c r="G269" s="3"/>
      <c r="H269" s="2"/>
      <c r="I269" s="2" t="s">
        <v>74</v>
      </c>
      <c r="J269" s="3" t="s">
        <v>3140</v>
      </c>
      <c r="K269" s="2" t="s">
        <v>3048</v>
      </c>
      <c r="L269" s="2" t="s">
        <v>3049</v>
      </c>
      <c r="M269" s="2"/>
      <c r="N269" s="2"/>
      <c r="O269" s="2"/>
      <c r="P269" s="2" t="n">
        <v>36.3348</v>
      </c>
      <c r="Q269" s="2" t="n">
        <v>29.8151</v>
      </c>
      <c r="R269" s="2" t="s">
        <v>95</v>
      </c>
      <c r="S269" s="2" t="n">
        <v>640</v>
      </c>
      <c r="T269" s="2" t="s">
        <v>819</v>
      </c>
      <c r="U269" s="2" t="s">
        <v>56</v>
      </c>
      <c r="V269" s="2" t="s">
        <v>57</v>
      </c>
      <c r="W269" s="2" t="s">
        <v>304</v>
      </c>
      <c r="X269" s="2" t="s">
        <v>289</v>
      </c>
      <c r="Y269" s="2"/>
      <c r="Z269" s="2" t="s">
        <v>170</v>
      </c>
      <c r="AA269" s="2"/>
      <c r="AB269" s="2" t="s">
        <v>63</v>
      </c>
      <c r="AC269" s="2" t="s">
        <v>64</v>
      </c>
      <c r="AD269" s="2"/>
      <c r="AE269" s="3" t="s">
        <v>3141</v>
      </c>
      <c r="AF269" s="3" t="s">
        <v>3142</v>
      </c>
      <c r="AG269" s="2"/>
      <c r="AH269" s="2" t="s">
        <v>263</v>
      </c>
      <c r="AI269" s="3" t="s">
        <v>3143</v>
      </c>
      <c r="AJ269" s="3" t="s">
        <v>3144</v>
      </c>
      <c r="AK269" s="2" t="n">
        <v>638820</v>
      </c>
      <c r="AL269" s="3" t="s">
        <v>3145</v>
      </c>
      <c r="AM269" s="2"/>
      <c r="AN269" s="2"/>
      <c r="AO269" s="3"/>
      <c r="AP269" s="3"/>
      <c r="AQ269" s="2"/>
    </row>
    <row r="270" customFormat="false" ht="35.05" hidden="false" customHeight="false" outlineLevel="0" collapsed="false">
      <c r="A270" s="2" t="n">
        <v>269</v>
      </c>
      <c r="B270" s="2" t="s">
        <v>3146</v>
      </c>
      <c r="C270" s="2" t="s">
        <v>2972</v>
      </c>
      <c r="D270" s="2" t="s">
        <v>2972</v>
      </c>
      <c r="E270" s="2" t="s">
        <v>3147</v>
      </c>
      <c r="F270" s="2" t="s">
        <v>3148</v>
      </c>
      <c r="G270" s="3"/>
      <c r="H270" s="2"/>
      <c r="I270" s="2" t="s">
        <v>74</v>
      </c>
      <c r="J270" s="3" t="s">
        <v>3149</v>
      </c>
      <c r="K270" s="2" t="s">
        <v>3048</v>
      </c>
      <c r="L270" s="2" t="s">
        <v>3049</v>
      </c>
      <c r="M270" s="2"/>
      <c r="N270" s="2"/>
      <c r="O270" s="2"/>
      <c r="P270" s="2" t="n">
        <v>36.4341</v>
      </c>
      <c r="Q270" s="2" t="n">
        <v>29.8643</v>
      </c>
      <c r="R270" s="2" t="s">
        <v>54</v>
      </c>
      <c r="S270" s="2" t="n">
        <v>100</v>
      </c>
      <c r="T270" s="2" t="s">
        <v>2260</v>
      </c>
      <c r="U270" s="2" t="s">
        <v>56</v>
      </c>
      <c r="V270" s="2" t="s">
        <v>78</v>
      </c>
      <c r="W270" s="2" t="s">
        <v>140</v>
      </c>
      <c r="X270" s="2" t="s">
        <v>289</v>
      </c>
      <c r="Y270" s="2"/>
      <c r="Z270" s="2" t="s">
        <v>170</v>
      </c>
      <c r="AA270" s="2"/>
      <c r="AB270" s="2" t="s">
        <v>63</v>
      </c>
      <c r="AC270" s="2" t="s">
        <v>77</v>
      </c>
      <c r="AD270" s="2"/>
      <c r="AE270" s="3"/>
      <c r="AF270" s="3" t="s">
        <v>3150</v>
      </c>
      <c r="AG270" s="2"/>
      <c r="AH270" s="2" t="s">
        <v>113</v>
      </c>
      <c r="AI270" s="3" t="s">
        <v>3151</v>
      </c>
      <c r="AJ270" s="3" t="s">
        <v>3152</v>
      </c>
      <c r="AK270" s="2" t="n">
        <v>638763</v>
      </c>
      <c r="AL270" s="3" t="s">
        <v>3153</v>
      </c>
      <c r="AM270" s="2"/>
      <c r="AN270" s="2"/>
      <c r="AO270" s="3"/>
      <c r="AP270" s="3"/>
      <c r="AQ270" s="2"/>
    </row>
    <row r="271" customFormat="false" ht="35.05" hidden="false" customHeight="false" outlineLevel="0" collapsed="false">
      <c r="A271" s="2" t="n">
        <v>270</v>
      </c>
      <c r="B271" s="2" t="s">
        <v>3154</v>
      </c>
      <c r="C271" s="2" t="s">
        <v>2972</v>
      </c>
      <c r="D271" s="2" t="s">
        <v>2972</v>
      </c>
      <c r="E271" s="2" t="s">
        <v>3155</v>
      </c>
      <c r="F271" s="2" t="s">
        <v>3156</v>
      </c>
      <c r="G271" s="3" t="s">
        <v>3157</v>
      </c>
      <c r="H271" s="2"/>
      <c r="I271" s="2" t="s">
        <v>74</v>
      </c>
      <c r="J271" s="3" t="s">
        <v>3158</v>
      </c>
      <c r="K271" s="2" t="s">
        <v>3048</v>
      </c>
      <c r="L271" s="2" t="s">
        <v>3049</v>
      </c>
      <c r="M271" s="2"/>
      <c r="N271" s="2"/>
      <c r="O271" s="2"/>
      <c r="P271" s="2" t="n">
        <v>36.3094</v>
      </c>
      <c r="Q271" s="2" t="n">
        <v>29.6617</v>
      </c>
      <c r="R271" s="2" t="s">
        <v>54</v>
      </c>
      <c r="S271" s="2" t="n">
        <v>-300</v>
      </c>
      <c r="T271" s="2" t="s">
        <v>1942</v>
      </c>
      <c r="U271" s="2" t="s">
        <v>56</v>
      </c>
      <c r="V271" s="2" t="s">
        <v>78</v>
      </c>
      <c r="W271" s="2" t="s">
        <v>195</v>
      </c>
      <c r="X271" s="2" t="s">
        <v>289</v>
      </c>
      <c r="Y271" s="2"/>
      <c r="Z271" s="2" t="s">
        <v>170</v>
      </c>
      <c r="AA271" s="2"/>
      <c r="AB271" s="2" t="s">
        <v>63</v>
      </c>
      <c r="AC271" s="2" t="s">
        <v>452</v>
      </c>
      <c r="AD271" s="2" t="s">
        <v>3159</v>
      </c>
      <c r="AE271" s="3" t="s">
        <v>3160</v>
      </c>
      <c r="AF271" s="3" t="s">
        <v>3161</v>
      </c>
      <c r="AG271" s="2"/>
      <c r="AH271" s="2" t="s">
        <v>54</v>
      </c>
      <c r="AI271" s="3" t="s">
        <v>3162</v>
      </c>
      <c r="AJ271" s="3" t="s">
        <v>3163</v>
      </c>
      <c r="AK271" s="2" t="n">
        <v>638892</v>
      </c>
      <c r="AL271" s="3" t="s">
        <v>3164</v>
      </c>
      <c r="AM271" s="2"/>
      <c r="AN271" s="2"/>
      <c r="AO271" s="3"/>
      <c r="AP271" s="3"/>
      <c r="AQ271" s="2"/>
    </row>
    <row r="272" customFormat="false" ht="23.85" hidden="false" customHeight="false" outlineLevel="0" collapsed="false">
      <c r="A272" s="2" t="n">
        <v>271</v>
      </c>
      <c r="B272" s="2" t="s">
        <v>3165</v>
      </c>
      <c r="C272" s="2" t="s">
        <v>2972</v>
      </c>
      <c r="D272" s="2" t="s">
        <v>2972</v>
      </c>
      <c r="E272" s="2" t="s">
        <v>3166</v>
      </c>
      <c r="F272" s="2" t="s">
        <v>3167</v>
      </c>
      <c r="G272" s="3"/>
      <c r="H272" s="2"/>
      <c r="I272" s="2" t="s">
        <v>74</v>
      </c>
      <c r="J272" s="3" t="s">
        <v>3168</v>
      </c>
      <c r="K272" s="2" t="s">
        <v>3048</v>
      </c>
      <c r="L272" s="2" t="s">
        <v>3049</v>
      </c>
      <c r="M272" s="2"/>
      <c r="N272" s="2"/>
      <c r="O272" s="2"/>
      <c r="P272" s="2" t="n">
        <v>36.4419</v>
      </c>
      <c r="Q272" s="2" t="n">
        <v>29.6296</v>
      </c>
      <c r="R272" s="2" t="s">
        <v>54</v>
      </c>
      <c r="S272" s="2" t="n">
        <v>100</v>
      </c>
      <c r="T272" s="2" t="s">
        <v>2260</v>
      </c>
      <c r="U272" s="2" t="s">
        <v>56</v>
      </c>
      <c r="V272" s="2" t="s">
        <v>78</v>
      </c>
      <c r="W272" s="2" t="s">
        <v>140</v>
      </c>
      <c r="X272" s="2" t="s">
        <v>289</v>
      </c>
      <c r="Y272" s="2"/>
      <c r="Z272" s="2" t="s">
        <v>170</v>
      </c>
      <c r="AA272" s="2"/>
      <c r="AB272" s="2" t="s">
        <v>63</v>
      </c>
      <c r="AC272" s="2" t="s">
        <v>64</v>
      </c>
      <c r="AD272" s="2"/>
      <c r="AE272" s="3"/>
      <c r="AF272" s="3" t="s">
        <v>3169</v>
      </c>
      <c r="AG272" s="2"/>
      <c r="AH272" s="2" t="s">
        <v>54</v>
      </c>
      <c r="AI272" s="3" t="s">
        <v>3170</v>
      </c>
      <c r="AJ272" s="3" t="s">
        <v>3171</v>
      </c>
      <c r="AK272" s="2" t="n">
        <v>639010</v>
      </c>
      <c r="AL272" s="3" t="s">
        <v>3172</v>
      </c>
      <c r="AM272" s="2"/>
      <c r="AN272" s="2"/>
      <c r="AO272" s="3"/>
      <c r="AP272" s="3"/>
      <c r="AQ272" s="2"/>
    </row>
    <row r="273" customFormat="false" ht="35.05" hidden="false" customHeight="false" outlineLevel="0" collapsed="false">
      <c r="A273" s="2" t="n">
        <v>272</v>
      </c>
      <c r="B273" s="2" t="s">
        <v>3173</v>
      </c>
      <c r="C273" s="2" t="s">
        <v>2972</v>
      </c>
      <c r="D273" s="2" t="s">
        <v>2972</v>
      </c>
      <c r="E273" s="2" t="s">
        <v>3174</v>
      </c>
      <c r="F273" s="2" t="s">
        <v>3175</v>
      </c>
      <c r="G273" s="3" t="s">
        <v>3176</v>
      </c>
      <c r="H273" s="2"/>
      <c r="I273" s="2" t="s">
        <v>74</v>
      </c>
      <c r="J273" s="3" t="s">
        <v>3177</v>
      </c>
      <c r="K273" s="2" t="s">
        <v>3048</v>
      </c>
      <c r="L273" s="2" t="s">
        <v>3049</v>
      </c>
      <c r="M273" s="2"/>
      <c r="N273" s="2"/>
      <c r="O273" s="2"/>
      <c r="P273" s="2" t="n">
        <v>36.5513</v>
      </c>
      <c r="Q273" s="2" t="n">
        <v>29.6694</v>
      </c>
      <c r="R273" s="2" t="s">
        <v>54</v>
      </c>
      <c r="S273" s="2" t="n">
        <v>100</v>
      </c>
      <c r="T273" s="2" t="s">
        <v>2260</v>
      </c>
      <c r="U273" s="2" t="s">
        <v>56</v>
      </c>
      <c r="V273" s="2" t="s">
        <v>78</v>
      </c>
      <c r="W273" s="2" t="s">
        <v>140</v>
      </c>
      <c r="X273" s="2" t="s">
        <v>289</v>
      </c>
      <c r="Y273" s="2"/>
      <c r="Z273" s="2" t="s">
        <v>170</v>
      </c>
      <c r="AA273" s="2"/>
      <c r="AB273" s="2" t="s">
        <v>63</v>
      </c>
      <c r="AC273" s="2" t="s">
        <v>64</v>
      </c>
      <c r="AD273" s="2"/>
      <c r="AE273" s="3"/>
      <c r="AF273" s="3" t="s">
        <v>3178</v>
      </c>
      <c r="AG273" s="2"/>
      <c r="AH273" s="2" t="s">
        <v>113</v>
      </c>
      <c r="AI273" s="3" t="s">
        <v>3179</v>
      </c>
      <c r="AJ273" s="3" t="s">
        <v>3180</v>
      </c>
      <c r="AK273" s="2" t="n">
        <v>638932</v>
      </c>
      <c r="AL273" s="3" t="s">
        <v>3181</v>
      </c>
      <c r="AM273" s="2"/>
      <c r="AN273" s="2"/>
      <c r="AO273" s="3"/>
      <c r="AP273" s="3"/>
      <c r="AQ273" s="2"/>
    </row>
    <row r="274" customFormat="false" ht="35.05" hidden="false" customHeight="false" outlineLevel="0" collapsed="false">
      <c r="A274" s="2" t="n">
        <v>273</v>
      </c>
      <c r="B274" s="2" t="s">
        <v>3182</v>
      </c>
      <c r="C274" s="2" t="s">
        <v>2972</v>
      </c>
      <c r="D274" s="2" t="s">
        <v>2972</v>
      </c>
      <c r="E274" s="2" t="s">
        <v>3183</v>
      </c>
      <c r="F274" s="2" t="s">
        <v>3184</v>
      </c>
      <c r="G274" s="3"/>
      <c r="H274" s="2"/>
      <c r="I274" s="2" t="s">
        <v>74</v>
      </c>
      <c r="J274" s="3" t="s">
        <v>3185</v>
      </c>
      <c r="K274" s="2" t="s">
        <v>3048</v>
      </c>
      <c r="L274" s="2" t="s">
        <v>3049</v>
      </c>
      <c r="M274" s="2"/>
      <c r="N274" s="2"/>
      <c r="O274" s="2"/>
      <c r="P274" s="2" t="n">
        <v>36.6424</v>
      </c>
      <c r="Q274" s="2" t="n">
        <v>29.836</v>
      </c>
      <c r="R274" s="2" t="s">
        <v>54</v>
      </c>
      <c r="S274" s="2" t="n">
        <v>50</v>
      </c>
      <c r="T274" s="2" t="s">
        <v>2879</v>
      </c>
      <c r="U274" s="2" t="s">
        <v>56</v>
      </c>
      <c r="V274" s="2" t="s">
        <v>78</v>
      </c>
      <c r="W274" s="2" t="s">
        <v>140</v>
      </c>
      <c r="X274" s="2" t="s">
        <v>289</v>
      </c>
      <c r="Y274" s="2"/>
      <c r="Z274" s="2" t="s">
        <v>170</v>
      </c>
      <c r="AA274" s="2"/>
      <c r="AB274" s="2" t="s">
        <v>63</v>
      </c>
      <c r="AC274" s="2" t="s">
        <v>77</v>
      </c>
      <c r="AD274" s="2"/>
      <c r="AE274" s="3" t="s">
        <v>3186</v>
      </c>
      <c r="AF274" s="3" t="s">
        <v>3187</v>
      </c>
      <c r="AG274" s="2"/>
      <c r="AH274" s="2" t="s">
        <v>54</v>
      </c>
      <c r="AI274" s="3" t="s">
        <v>3188</v>
      </c>
      <c r="AJ274" s="3" t="s">
        <v>3189</v>
      </c>
      <c r="AK274" s="2" t="n">
        <v>638803</v>
      </c>
      <c r="AL274" s="3" t="s">
        <v>3190</v>
      </c>
      <c r="AM274" s="2"/>
      <c r="AN274" s="2"/>
      <c r="AO274" s="3"/>
      <c r="AP274" s="3"/>
      <c r="AQ274" s="2"/>
    </row>
    <row r="275" customFormat="false" ht="35.05" hidden="false" customHeight="false" outlineLevel="0" collapsed="false">
      <c r="A275" s="2" t="n">
        <v>274</v>
      </c>
      <c r="B275" s="2" t="s">
        <v>3191</v>
      </c>
      <c r="C275" s="2" t="s">
        <v>2972</v>
      </c>
      <c r="D275" s="2" t="s">
        <v>2972</v>
      </c>
      <c r="E275" s="2" t="s">
        <v>3192</v>
      </c>
      <c r="F275" s="2" t="s">
        <v>3193</v>
      </c>
      <c r="G275" s="3"/>
      <c r="H275" s="2"/>
      <c r="I275" s="2" t="s">
        <v>74</v>
      </c>
      <c r="J275" s="3" t="s">
        <v>3194</v>
      </c>
      <c r="K275" s="2" t="s">
        <v>3048</v>
      </c>
      <c r="L275" s="2" t="s">
        <v>3049</v>
      </c>
      <c r="M275" s="2"/>
      <c r="N275" s="2"/>
      <c r="O275" s="2"/>
      <c r="P275" s="2" t="n">
        <v>36.6855</v>
      </c>
      <c r="Q275" s="2" t="n">
        <v>30.0503</v>
      </c>
      <c r="R275" s="2" t="s">
        <v>54</v>
      </c>
      <c r="S275" s="2" t="n">
        <v>50</v>
      </c>
      <c r="T275" s="2" t="s">
        <v>2879</v>
      </c>
      <c r="U275" s="2" t="s">
        <v>56</v>
      </c>
      <c r="V275" s="2" t="s">
        <v>78</v>
      </c>
      <c r="W275" s="2" t="s">
        <v>140</v>
      </c>
      <c r="X275" s="2" t="s">
        <v>289</v>
      </c>
      <c r="Y275" s="2"/>
      <c r="Z275" s="2" t="s">
        <v>170</v>
      </c>
      <c r="AA275" s="2"/>
      <c r="AB275" s="2" t="s">
        <v>63</v>
      </c>
      <c r="AC275" s="2" t="s">
        <v>64</v>
      </c>
      <c r="AD275" s="2"/>
      <c r="AE275" s="3"/>
      <c r="AF275" s="3" t="s">
        <v>3195</v>
      </c>
      <c r="AG275" s="2"/>
      <c r="AH275" s="2" t="s">
        <v>113</v>
      </c>
      <c r="AI275" s="3" t="s">
        <v>3196</v>
      </c>
      <c r="AJ275" s="3" t="s">
        <v>3197</v>
      </c>
      <c r="AK275" s="2" t="n">
        <v>639065</v>
      </c>
      <c r="AL275" s="3" t="s">
        <v>3198</v>
      </c>
      <c r="AM275" s="2"/>
      <c r="AN275" s="2"/>
      <c r="AO275" s="3"/>
      <c r="AP275" s="3"/>
      <c r="AQ275" s="2"/>
    </row>
    <row r="276" customFormat="false" ht="35.05" hidden="false" customHeight="false" outlineLevel="0" collapsed="false">
      <c r="A276" s="2" t="n">
        <v>275</v>
      </c>
      <c r="B276" s="2" t="s">
        <v>3199</v>
      </c>
      <c r="C276" s="2" t="s">
        <v>2972</v>
      </c>
      <c r="D276" s="2" t="s">
        <v>2972</v>
      </c>
      <c r="E276" s="2" t="s">
        <v>3200</v>
      </c>
      <c r="F276" s="2" t="s">
        <v>3201</v>
      </c>
      <c r="G276" s="3"/>
      <c r="H276" s="2"/>
      <c r="I276" s="2" t="s">
        <v>74</v>
      </c>
      <c r="J276" s="3" t="s">
        <v>3202</v>
      </c>
      <c r="K276" s="2" t="s">
        <v>3048</v>
      </c>
      <c r="L276" s="2" t="s">
        <v>3049</v>
      </c>
      <c r="M276" s="2"/>
      <c r="N276" s="2"/>
      <c r="O276" s="2"/>
      <c r="P276" s="2" t="n">
        <v>36.3418</v>
      </c>
      <c r="Q276" s="2" t="n">
        <v>30.1701</v>
      </c>
      <c r="R276" s="2" t="s">
        <v>54</v>
      </c>
      <c r="S276" s="2" t="n">
        <v>-300</v>
      </c>
      <c r="T276" s="2" t="s">
        <v>1942</v>
      </c>
      <c r="U276" s="2" t="s">
        <v>56</v>
      </c>
      <c r="V276" s="2" t="s">
        <v>78</v>
      </c>
      <c r="W276" s="2" t="s">
        <v>195</v>
      </c>
      <c r="X276" s="2" t="s">
        <v>289</v>
      </c>
      <c r="Y276" s="2"/>
      <c r="Z276" s="2" t="s">
        <v>170</v>
      </c>
      <c r="AA276" s="2"/>
      <c r="AB276" s="2" t="s">
        <v>63</v>
      </c>
      <c r="AC276" s="2" t="s">
        <v>452</v>
      </c>
      <c r="AD276" s="2" t="s">
        <v>3203</v>
      </c>
      <c r="AE276" s="3" t="s">
        <v>3204</v>
      </c>
      <c r="AF276" s="3" t="s">
        <v>3205</v>
      </c>
      <c r="AG276" s="2"/>
      <c r="AH276" s="2" t="s">
        <v>54</v>
      </c>
      <c r="AI276" s="3" t="s">
        <v>3206</v>
      </c>
      <c r="AJ276" s="3" t="s">
        <v>3207</v>
      </c>
      <c r="AK276" s="2" t="n">
        <v>638961</v>
      </c>
      <c r="AL276" s="3" t="s">
        <v>3208</v>
      </c>
      <c r="AM276" s="2"/>
      <c r="AN276" s="2"/>
      <c r="AO276" s="3"/>
      <c r="AP276" s="3"/>
      <c r="AQ276" s="2"/>
    </row>
    <row r="277" customFormat="false" ht="35.05" hidden="false" customHeight="false" outlineLevel="0" collapsed="false">
      <c r="A277" s="2" t="n">
        <v>276</v>
      </c>
      <c r="B277" s="2" t="s">
        <v>3209</v>
      </c>
      <c r="C277" s="2" t="s">
        <v>2972</v>
      </c>
      <c r="D277" s="2" t="s">
        <v>2972</v>
      </c>
      <c r="E277" s="2" t="s">
        <v>3210</v>
      </c>
      <c r="F277" s="2" t="s">
        <v>3211</v>
      </c>
      <c r="G277" s="3" t="s">
        <v>3212</v>
      </c>
      <c r="H277" s="2"/>
      <c r="I277" s="2" t="s">
        <v>74</v>
      </c>
      <c r="J277" s="3" t="s">
        <v>3213</v>
      </c>
      <c r="K277" s="2" t="s">
        <v>3048</v>
      </c>
      <c r="L277" s="2" t="s">
        <v>3049</v>
      </c>
      <c r="M277" s="2"/>
      <c r="N277" s="2"/>
      <c r="O277" s="2"/>
      <c r="P277" s="2" t="n">
        <v>36.5146</v>
      </c>
      <c r="Q277" s="2" t="n">
        <v>30.0589</v>
      </c>
      <c r="R277" s="2" t="s">
        <v>54</v>
      </c>
      <c r="S277" s="2" t="n">
        <v>-300</v>
      </c>
      <c r="T277" s="2" t="s">
        <v>1942</v>
      </c>
      <c r="U277" s="2" t="s">
        <v>56</v>
      </c>
      <c r="V277" s="2" t="s">
        <v>78</v>
      </c>
      <c r="W277" s="2" t="s">
        <v>195</v>
      </c>
      <c r="X277" s="2" t="s">
        <v>289</v>
      </c>
      <c r="Y277" s="2"/>
      <c r="Z277" s="2" t="s">
        <v>170</v>
      </c>
      <c r="AA277" s="2"/>
      <c r="AB277" s="2" t="s">
        <v>63</v>
      </c>
      <c r="AC277" s="2" t="s">
        <v>77</v>
      </c>
      <c r="AD277" s="2"/>
      <c r="AE277" s="3" t="s">
        <v>3214</v>
      </c>
      <c r="AF277" s="3" t="s">
        <v>3215</v>
      </c>
      <c r="AG277" s="2"/>
      <c r="AH277" s="2" t="s">
        <v>54</v>
      </c>
      <c r="AI277" s="3" t="s">
        <v>3216</v>
      </c>
      <c r="AJ277" s="3" t="s">
        <v>3217</v>
      </c>
      <c r="AK277" s="2" t="n">
        <v>638770</v>
      </c>
      <c r="AL277" s="3" t="s">
        <v>3218</v>
      </c>
      <c r="AM277" s="2"/>
      <c r="AN277" s="2"/>
      <c r="AO277" s="3"/>
      <c r="AP277" s="3"/>
      <c r="AQ277" s="2"/>
    </row>
    <row r="278" customFormat="false" ht="57.45" hidden="false" customHeight="false" outlineLevel="0" collapsed="false">
      <c r="A278" s="2" t="n">
        <v>277</v>
      </c>
      <c r="B278" s="2" t="s">
        <v>3219</v>
      </c>
      <c r="C278" s="2" t="s">
        <v>2972</v>
      </c>
      <c r="D278" s="2" t="s">
        <v>2972</v>
      </c>
      <c r="E278" s="2" t="s">
        <v>3220</v>
      </c>
      <c r="F278" s="2" t="s">
        <v>3221</v>
      </c>
      <c r="G278" s="3" t="s">
        <v>3222</v>
      </c>
      <c r="H278" s="2"/>
      <c r="I278" s="2" t="s">
        <v>74</v>
      </c>
      <c r="J278" s="3" t="s">
        <v>3223</v>
      </c>
      <c r="K278" s="2" t="s">
        <v>3048</v>
      </c>
      <c r="L278" s="2" t="s">
        <v>3049</v>
      </c>
      <c r="M278" s="2"/>
      <c r="N278" s="2"/>
      <c r="O278" s="2"/>
      <c r="P278" s="2" t="n">
        <v>36.3865</v>
      </c>
      <c r="Q278" s="2" t="n">
        <v>30.2667</v>
      </c>
      <c r="R278" s="2" t="s">
        <v>54</v>
      </c>
      <c r="S278" s="2" t="n">
        <v>-300</v>
      </c>
      <c r="T278" s="2" t="s">
        <v>1942</v>
      </c>
      <c r="U278" s="2" t="s">
        <v>56</v>
      </c>
      <c r="V278" s="2" t="s">
        <v>78</v>
      </c>
      <c r="W278" s="2" t="s">
        <v>195</v>
      </c>
      <c r="X278" s="2" t="s">
        <v>289</v>
      </c>
      <c r="Y278" s="2"/>
      <c r="Z278" s="2" t="s">
        <v>170</v>
      </c>
      <c r="AA278" s="2"/>
      <c r="AB278" s="2" t="s">
        <v>63</v>
      </c>
      <c r="AC278" s="2" t="s">
        <v>452</v>
      </c>
      <c r="AD278" s="2" t="s">
        <v>3224</v>
      </c>
      <c r="AE278" s="3" t="s">
        <v>3225</v>
      </c>
      <c r="AF278" s="3" t="s">
        <v>3226</v>
      </c>
      <c r="AG278" s="2"/>
      <c r="AH278" s="2" t="s">
        <v>54</v>
      </c>
      <c r="AI278" s="3" t="s">
        <v>3227</v>
      </c>
      <c r="AJ278" s="3" t="s">
        <v>3228</v>
      </c>
      <c r="AK278" s="2" t="n">
        <v>639078</v>
      </c>
      <c r="AL278" s="3" t="s">
        <v>3229</v>
      </c>
      <c r="AM278" s="2"/>
      <c r="AN278" s="2"/>
      <c r="AO278" s="3"/>
      <c r="AP278" s="3"/>
      <c r="AQ278" s="2"/>
    </row>
    <row r="279" customFormat="false" ht="91" hidden="false" customHeight="false" outlineLevel="0" collapsed="false">
      <c r="A279" s="2" t="n">
        <v>278</v>
      </c>
      <c r="B279" s="2" t="s">
        <v>3230</v>
      </c>
      <c r="C279" s="2" t="s">
        <v>2972</v>
      </c>
      <c r="D279" s="2" t="s">
        <v>2972</v>
      </c>
      <c r="E279" s="2" t="s">
        <v>3231</v>
      </c>
      <c r="F279" s="2" t="s">
        <v>3232</v>
      </c>
      <c r="G279" s="3" t="s">
        <v>3233</v>
      </c>
      <c r="H279" s="2" t="s">
        <v>3234</v>
      </c>
      <c r="I279" s="2" t="s">
        <v>123</v>
      </c>
      <c r="J279" s="3" t="s">
        <v>3235</v>
      </c>
      <c r="K279" s="2" t="s">
        <v>3048</v>
      </c>
      <c r="L279" s="2" t="s">
        <v>3049</v>
      </c>
      <c r="M279" s="2" t="s">
        <v>3234</v>
      </c>
      <c r="N279" s="2"/>
      <c r="O279" s="2" t="s">
        <v>53</v>
      </c>
      <c r="P279" s="2" t="n">
        <v>36.3767</v>
      </c>
      <c r="Q279" s="2" t="n">
        <v>30.2733</v>
      </c>
      <c r="R279" s="2" t="s">
        <v>54</v>
      </c>
      <c r="S279" s="2" t="n">
        <v>-500</v>
      </c>
      <c r="T279" s="2" t="s">
        <v>55</v>
      </c>
      <c r="U279" s="2" t="s">
        <v>56</v>
      </c>
      <c r="V279" s="2" t="s">
        <v>97</v>
      </c>
      <c r="W279" s="2" t="s">
        <v>58</v>
      </c>
      <c r="X279" s="2" t="s">
        <v>59</v>
      </c>
      <c r="Y279" s="2" t="s">
        <v>3236</v>
      </c>
      <c r="Z279" s="2" t="s">
        <v>61</v>
      </c>
      <c r="AA279" s="2" t="s">
        <v>3237</v>
      </c>
      <c r="AB279" s="2" t="s">
        <v>81</v>
      </c>
      <c r="AC279" s="2"/>
      <c r="AD279" s="2"/>
      <c r="AE279" s="3"/>
      <c r="AF279" s="3" t="s">
        <v>3238</v>
      </c>
      <c r="AG279" s="2"/>
      <c r="AH279" s="2" t="s">
        <v>113</v>
      </c>
      <c r="AI279" s="3" t="s">
        <v>3239</v>
      </c>
      <c r="AJ279" s="3" t="s">
        <v>3240</v>
      </c>
      <c r="AK279" s="2" t="n">
        <v>638937</v>
      </c>
      <c r="AL279" s="3" t="s">
        <v>3241</v>
      </c>
      <c r="AM279" s="2"/>
      <c r="AN279" s="2"/>
      <c r="AO279" s="3" t="s">
        <v>3242</v>
      </c>
      <c r="AP279" s="3" t="s">
        <v>3243</v>
      </c>
      <c r="AQ279" s="2" t="s">
        <v>89</v>
      </c>
    </row>
    <row r="280" customFormat="false" ht="102.2" hidden="false" customHeight="false" outlineLevel="0" collapsed="false">
      <c r="A280" s="2" t="n">
        <v>279</v>
      </c>
      <c r="B280" s="2" t="s">
        <v>3244</v>
      </c>
      <c r="C280" s="2" t="s">
        <v>2972</v>
      </c>
      <c r="D280" s="2" t="s">
        <v>2972</v>
      </c>
      <c r="E280" s="2" t="s">
        <v>3245</v>
      </c>
      <c r="F280" s="2" t="s">
        <v>3246</v>
      </c>
      <c r="G280" s="3" t="s">
        <v>3247</v>
      </c>
      <c r="H280" s="2"/>
      <c r="I280" s="2" t="s">
        <v>74</v>
      </c>
      <c r="J280" s="3" t="s">
        <v>3248</v>
      </c>
      <c r="K280" s="2" t="s">
        <v>3048</v>
      </c>
      <c r="L280" s="2" t="s">
        <v>3049</v>
      </c>
      <c r="M280" s="2"/>
      <c r="N280" s="2"/>
      <c r="O280" s="2"/>
      <c r="P280" s="2" t="n">
        <v>36.2911</v>
      </c>
      <c r="Q280" s="2" t="n">
        <v>30.3452</v>
      </c>
      <c r="R280" s="2" t="s">
        <v>54</v>
      </c>
      <c r="S280" s="2" t="n">
        <v>-400</v>
      </c>
      <c r="T280" s="2" t="s">
        <v>288</v>
      </c>
      <c r="U280" s="2" t="s">
        <v>77</v>
      </c>
      <c r="V280" s="2" t="s">
        <v>97</v>
      </c>
      <c r="W280" s="2" t="s">
        <v>168</v>
      </c>
      <c r="X280" s="2" t="s">
        <v>59</v>
      </c>
      <c r="Y280" s="2" t="s">
        <v>3249</v>
      </c>
      <c r="Z280" s="2" t="s">
        <v>61</v>
      </c>
      <c r="AA280" s="2" t="s">
        <v>3237</v>
      </c>
      <c r="AB280" s="2" t="s">
        <v>81</v>
      </c>
      <c r="AC280" s="2"/>
      <c r="AD280" s="2"/>
      <c r="AE280" s="3"/>
      <c r="AF280" s="3" t="s">
        <v>3250</v>
      </c>
      <c r="AG280" s="2"/>
      <c r="AH280" s="2" t="s">
        <v>113</v>
      </c>
      <c r="AI280" s="3" t="s">
        <v>3251</v>
      </c>
      <c r="AJ280" s="3" t="s">
        <v>3252</v>
      </c>
      <c r="AK280" s="2" t="n">
        <v>638842</v>
      </c>
      <c r="AL280" s="3" t="s">
        <v>3253</v>
      </c>
      <c r="AM280" s="2"/>
      <c r="AN280" s="2"/>
      <c r="AO280" s="3" t="s">
        <v>3254</v>
      </c>
      <c r="AP280" s="3" t="s">
        <v>3255</v>
      </c>
      <c r="AQ280" s="2" t="s">
        <v>89</v>
      </c>
    </row>
    <row r="281" customFormat="false" ht="35.05" hidden="false" customHeight="false" outlineLevel="0" collapsed="false">
      <c r="A281" s="2" t="n">
        <v>280</v>
      </c>
      <c r="B281" s="2" t="s">
        <v>3256</v>
      </c>
      <c r="C281" s="2" t="s">
        <v>2972</v>
      </c>
      <c r="D281" s="2" t="s">
        <v>2972</v>
      </c>
      <c r="E281" s="2" t="s">
        <v>3257</v>
      </c>
      <c r="F281" s="2" t="s">
        <v>3258</v>
      </c>
      <c r="G281" s="3" t="s">
        <v>3259</v>
      </c>
      <c r="H281" s="2"/>
      <c r="I281" s="2" t="s">
        <v>93</v>
      </c>
      <c r="J281" s="3" t="s">
        <v>3260</v>
      </c>
      <c r="K281" s="2" t="s">
        <v>3048</v>
      </c>
      <c r="L281" s="2" t="s">
        <v>3049</v>
      </c>
      <c r="M281" s="2"/>
      <c r="N281" s="2"/>
      <c r="O281" s="2"/>
      <c r="P281" s="2" t="n">
        <v>36.25</v>
      </c>
      <c r="Q281" s="2" t="n">
        <v>30.35</v>
      </c>
      <c r="R281" s="2" t="s">
        <v>637</v>
      </c>
      <c r="S281" s="2" t="n">
        <v>787</v>
      </c>
      <c r="T281" s="2" t="s">
        <v>464</v>
      </c>
      <c r="U281" s="2" t="s">
        <v>56</v>
      </c>
      <c r="V281" s="2" t="s">
        <v>245</v>
      </c>
      <c r="W281" s="2" t="s">
        <v>304</v>
      </c>
      <c r="X281" s="2" t="s">
        <v>169</v>
      </c>
      <c r="Y281" s="2"/>
      <c r="Z281" s="2" t="s">
        <v>170</v>
      </c>
      <c r="AA281" s="2"/>
      <c r="AB281" s="2" t="s">
        <v>81</v>
      </c>
      <c r="AC281" s="2"/>
      <c r="AD281" s="2"/>
      <c r="AE281" s="3"/>
      <c r="AF281" s="3" t="s">
        <v>3261</v>
      </c>
      <c r="AG281" s="2"/>
      <c r="AH281" s="2" t="s">
        <v>263</v>
      </c>
      <c r="AI281" s="3" t="s">
        <v>3262</v>
      </c>
      <c r="AJ281" s="3" t="s">
        <v>3263</v>
      </c>
      <c r="AK281" s="2"/>
      <c r="AL281" s="3" t="s">
        <v>3264</v>
      </c>
      <c r="AM281" s="2"/>
      <c r="AN281" s="2"/>
      <c r="AO281" s="3" t="s">
        <v>3265</v>
      </c>
      <c r="AP281" s="3" t="s">
        <v>3266</v>
      </c>
      <c r="AQ281" s="2" t="s">
        <v>106</v>
      </c>
    </row>
    <row r="282" customFormat="false" ht="23.85" hidden="false" customHeight="false" outlineLevel="0" collapsed="false">
      <c r="A282" s="2" t="n">
        <v>281</v>
      </c>
      <c r="B282" s="2" t="s">
        <v>3267</v>
      </c>
      <c r="C282" s="2" t="s">
        <v>2972</v>
      </c>
      <c r="D282" s="2" t="s">
        <v>2972</v>
      </c>
      <c r="E282" s="2" t="s">
        <v>3268</v>
      </c>
      <c r="F282" s="2" t="s">
        <v>3269</v>
      </c>
      <c r="G282" s="3" t="s">
        <v>3270</v>
      </c>
      <c r="H282" s="2"/>
      <c r="I282" s="2" t="s">
        <v>74</v>
      </c>
      <c r="J282" s="3" t="s">
        <v>3271</v>
      </c>
      <c r="K282" s="2" t="s">
        <v>3048</v>
      </c>
      <c r="L282" s="2" t="s">
        <v>3049</v>
      </c>
      <c r="M282" s="2"/>
      <c r="N282" s="2"/>
      <c r="O282" s="2"/>
      <c r="P282" s="2" t="n">
        <v>36.5301</v>
      </c>
      <c r="Q282" s="2" t="n">
        <v>30.2204</v>
      </c>
      <c r="R282" s="2" t="s">
        <v>54</v>
      </c>
      <c r="S282" s="2" t="n">
        <v>100</v>
      </c>
      <c r="T282" s="2" t="s">
        <v>2260</v>
      </c>
      <c r="U282" s="2" t="s">
        <v>56</v>
      </c>
      <c r="V282" s="2" t="s">
        <v>78</v>
      </c>
      <c r="W282" s="2" t="s">
        <v>140</v>
      </c>
      <c r="X282" s="2" t="s">
        <v>289</v>
      </c>
      <c r="Y282" s="2"/>
      <c r="Z282" s="2" t="s">
        <v>170</v>
      </c>
      <c r="AA282" s="2"/>
      <c r="AB282" s="2" t="s">
        <v>63</v>
      </c>
      <c r="AC282" s="2" t="s">
        <v>64</v>
      </c>
      <c r="AD282" s="2"/>
      <c r="AE282" s="3"/>
      <c r="AF282" s="3" t="s">
        <v>3272</v>
      </c>
      <c r="AG282" s="2"/>
      <c r="AH282" s="2" t="s">
        <v>54</v>
      </c>
      <c r="AI282" s="3"/>
      <c r="AJ282" s="3" t="s">
        <v>3273</v>
      </c>
      <c r="AK282" s="2" t="n">
        <v>638736</v>
      </c>
      <c r="AL282" s="3" t="s">
        <v>3274</v>
      </c>
      <c r="AM282" s="2"/>
      <c r="AN282" s="2"/>
      <c r="AO282" s="3"/>
      <c r="AP282" s="3"/>
      <c r="AQ282" s="2"/>
    </row>
    <row r="283" customFormat="false" ht="23.85" hidden="false" customHeight="false" outlineLevel="0" collapsed="false">
      <c r="A283" s="2" t="n">
        <v>282</v>
      </c>
      <c r="B283" s="2" t="s">
        <v>3275</v>
      </c>
      <c r="C283" s="2" t="s">
        <v>2972</v>
      </c>
      <c r="D283" s="2" t="s">
        <v>2972</v>
      </c>
      <c r="E283" s="2" t="s">
        <v>3276</v>
      </c>
      <c r="F283" s="2" t="s">
        <v>3277</v>
      </c>
      <c r="G283" s="3" t="s">
        <v>3278</v>
      </c>
      <c r="H283" s="2"/>
      <c r="I283" s="2" t="s">
        <v>74</v>
      </c>
      <c r="J283" s="3" t="s">
        <v>3279</v>
      </c>
      <c r="K283" s="2" t="s">
        <v>3048</v>
      </c>
      <c r="L283" s="2" t="s">
        <v>3049</v>
      </c>
      <c r="M283" s="2"/>
      <c r="N283" s="2"/>
      <c r="O283" s="2"/>
      <c r="P283" s="2" t="n">
        <v>36.555</v>
      </c>
      <c r="Q283" s="2" t="n">
        <v>30.203</v>
      </c>
      <c r="R283" s="2" t="s">
        <v>54</v>
      </c>
      <c r="S283" s="2" t="n">
        <v>100</v>
      </c>
      <c r="T283" s="2" t="s">
        <v>2260</v>
      </c>
      <c r="U283" s="2" t="s">
        <v>56</v>
      </c>
      <c r="V283" s="2" t="s">
        <v>78</v>
      </c>
      <c r="W283" s="2" t="s">
        <v>140</v>
      </c>
      <c r="X283" s="2" t="s">
        <v>289</v>
      </c>
      <c r="Y283" s="2"/>
      <c r="Z283" s="2" t="s">
        <v>170</v>
      </c>
      <c r="AA283" s="2"/>
      <c r="AB283" s="2" t="s">
        <v>63</v>
      </c>
      <c r="AC283" s="2" t="s">
        <v>64</v>
      </c>
      <c r="AD283" s="2"/>
      <c r="AE283" s="3"/>
      <c r="AF283" s="3" t="s">
        <v>3280</v>
      </c>
      <c r="AG283" s="2"/>
      <c r="AH283" s="2" t="s">
        <v>54</v>
      </c>
      <c r="AI283" s="3"/>
      <c r="AJ283" s="3" t="s">
        <v>3281</v>
      </c>
      <c r="AK283" s="2" t="n">
        <v>638865</v>
      </c>
      <c r="AL283" s="3" t="s">
        <v>3282</v>
      </c>
      <c r="AM283" s="2"/>
      <c r="AN283" s="2"/>
      <c r="AO283" s="3"/>
      <c r="AP283" s="3"/>
      <c r="AQ283" s="2"/>
    </row>
    <row r="284" customFormat="false" ht="35.05" hidden="false" customHeight="false" outlineLevel="0" collapsed="false">
      <c r="A284" s="2" t="n">
        <v>283</v>
      </c>
      <c r="B284" s="2" t="s">
        <v>3283</v>
      </c>
      <c r="C284" s="2" t="s">
        <v>2972</v>
      </c>
      <c r="D284" s="2" t="s">
        <v>2972</v>
      </c>
      <c r="E284" s="2" t="s">
        <v>3284</v>
      </c>
      <c r="F284" s="2" t="s">
        <v>3285</v>
      </c>
      <c r="G284" s="3"/>
      <c r="H284" s="2"/>
      <c r="I284" s="2" t="s">
        <v>74</v>
      </c>
      <c r="J284" s="3" t="s">
        <v>3286</v>
      </c>
      <c r="K284" s="2" t="s">
        <v>3048</v>
      </c>
      <c r="L284" s="2" t="s">
        <v>3049</v>
      </c>
      <c r="M284" s="2"/>
      <c r="N284" s="2"/>
      <c r="O284" s="2"/>
      <c r="P284" s="2" t="n">
        <v>36.6469</v>
      </c>
      <c r="Q284" s="2" t="n">
        <v>30.3653</v>
      </c>
      <c r="R284" s="2" t="s">
        <v>54</v>
      </c>
      <c r="S284" s="2" t="n">
        <v>45</v>
      </c>
      <c r="T284" s="2" t="s">
        <v>3287</v>
      </c>
      <c r="U284" s="2" t="s">
        <v>56</v>
      </c>
      <c r="V284" s="2" t="s">
        <v>245</v>
      </c>
      <c r="W284" s="2" t="s">
        <v>140</v>
      </c>
      <c r="X284" s="2" t="s">
        <v>289</v>
      </c>
      <c r="Y284" s="2"/>
      <c r="Z284" s="2" t="s">
        <v>170</v>
      </c>
      <c r="AA284" s="2"/>
      <c r="AB284" s="2" t="s">
        <v>63</v>
      </c>
      <c r="AC284" s="2" t="s">
        <v>64</v>
      </c>
      <c r="AD284" s="2"/>
      <c r="AE284" s="3"/>
      <c r="AF284" s="3" t="s">
        <v>3288</v>
      </c>
      <c r="AG284" s="2"/>
      <c r="AH284" s="2" t="s">
        <v>113</v>
      </c>
      <c r="AI284" s="3" t="s">
        <v>3289</v>
      </c>
      <c r="AJ284" s="3" t="s">
        <v>3290</v>
      </c>
      <c r="AK284" s="2" t="n">
        <v>638923</v>
      </c>
      <c r="AL284" s="3" t="s">
        <v>3291</v>
      </c>
      <c r="AM284" s="2"/>
      <c r="AN284" s="2"/>
      <c r="AO284" s="3"/>
      <c r="AP284" s="3"/>
      <c r="AQ284" s="2"/>
    </row>
    <row r="285" customFormat="false" ht="57.45" hidden="false" customHeight="false" outlineLevel="0" collapsed="false">
      <c r="A285" s="2" t="n">
        <v>284</v>
      </c>
      <c r="B285" s="2" t="s">
        <v>3292</v>
      </c>
      <c r="C285" s="2" t="s">
        <v>2972</v>
      </c>
      <c r="D285" s="2" t="s">
        <v>2972</v>
      </c>
      <c r="E285" s="2" t="s">
        <v>3293</v>
      </c>
      <c r="F285" s="2" t="s">
        <v>3294</v>
      </c>
      <c r="G285" s="3" t="s">
        <v>3295</v>
      </c>
      <c r="H285" s="2"/>
      <c r="I285" s="2" t="s">
        <v>74</v>
      </c>
      <c r="J285" s="3" t="s">
        <v>3296</v>
      </c>
      <c r="K285" s="2" t="s">
        <v>3048</v>
      </c>
      <c r="L285" s="2" t="s">
        <v>3049</v>
      </c>
      <c r="M285" s="2"/>
      <c r="N285" s="2"/>
      <c r="O285" s="2"/>
      <c r="P285" s="2" t="n">
        <v>36.3953</v>
      </c>
      <c r="Q285" s="2" t="n">
        <v>30.4734</v>
      </c>
      <c r="R285" s="2" t="s">
        <v>54</v>
      </c>
      <c r="S285" s="2" t="n">
        <v>-150</v>
      </c>
      <c r="T285" s="2" t="s">
        <v>2075</v>
      </c>
      <c r="U285" s="2" t="s">
        <v>56</v>
      </c>
      <c r="V285" s="2" t="s">
        <v>78</v>
      </c>
      <c r="W285" s="2" t="s">
        <v>195</v>
      </c>
      <c r="X285" s="2" t="s">
        <v>169</v>
      </c>
      <c r="Y285" s="2"/>
      <c r="Z285" s="2" t="s">
        <v>170</v>
      </c>
      <c r="AA285" s="2"/>
      <c r="AB285" s="2" t="s">
        <v>81</v>
      </c>
      <c r="AC285" s="2"/>
      <c r="AD285" s="2"/>
      <c r="AE285" s="3"/>
      <c r="AF285" s="3" t="s">
        <v>3297</v>
      </c>
      <c r="AG285" s="2"/>
      <c r="AH285" s="2" t="s">
        <v>54</v>
      </c>
      <c r="AI285" s="3" t="s">
        <v>3298</v>
      </c>
      <c r="AJ285" s="3" t="s">
        <v>3299</v>
      </c>
      <c r="AK285" s="2" t="n">
        <v>639017</v>
      </c>
      <c r="AL285" s="3" t="s">
        <v>3300</v>
      </c>
      <c r="AM285" s="2"/>
      <c r="AN285" s="2"/>
      <c r="AO285" s="3" t="s">
        <v>3301</v>
      </c>
      <c r="AP285" s="3" t="s">
        <v>3302</v>
      </c>
      <c r="AQ285" s="2" t="s">
        <v>151</v>
      </c>
    </row>
    <row r="286" customFormat="false" ht="113.4" hidden="false" customHeight="false" outlineLevel="0" collapsed="false">
      <c r="A286" s="2" t="n">
        <v>285</v>
      </c>
      <c r="B286" s="2" t="s">
        <v>3303</v>
      </c>
      <c r="C286" s="2" t="s">
        <v>2972</v>
      </c>
      <c r="D286" s="2" t="s">
        <v>2972</v>
      </c>
      <c r="E286" s="2" t="s">
        <v>3304</v>
      </c>
      <c r="F286" s="2" t="s">
        <v>3305</v>
      </c>
      <c r="G286" s="3"/>
      <c r="H286" s="2"/>
      <c r="I286" s="2" t="s">
        <v>74</v>
      </c>
      <c r="J286" s="3" t="s">
        <v>3306</v>
      </c>
      <c r="K286" s="2" t="s">
        <v>3048</v>
      </c>
      <c r="L286" s="2" t="s">
        <v>3049</v>
      </c>
      <c r="M286" s="2"/>
      <c r="N286" s="2"/>
      <c r="O286" s="2"/>
      <c r="P286" s="2" t="n">
        <v>36.5235</v>
      </c>
      <c r="Q286" s="2" t="n">
        <v>30.5522</v>
      </c>
      <c r="R286" s="2" t="s">
        <v>54</v>
      </c>
      <c r="S286" s="2" t="n">
        <v>-690</v>
      </c>
      <c r="T286" s="2" t="s">
        <v>3307</v>
      </c>
      <c r="U286" s="2" t="s">
        <v>96</v>
      </c>
      <c r="V286" s="2" t="s">
        <v>57</v>
      </c>
      <c r="W286" s="2" t="s">
        <v>58</v>
      </c>
      <c r="X286" s="2" t="s">
        <v>59</v>
      </c>
      <c r="Y286" s="2" t="s">
        <v>3308</v>
      </c>
      <c r="Z286" s="2" t="s">
        <v>61</v>
      </c>
      <c r="AA286" s="2" t="s">
        <v>3309</v>
      </c>
      <c r="AB286" s="2" t="s">
        <v>81</v>
      </c>
      <c r="AC286" s="2"/>
      <c r="AD286" s="2"/>
      <c r="AE286" s="3" t="s">
        <v>3310</v>
      </c>
      <c r="AF286" s="3" t="s">
        <v>3311</v>
      </c>
      <c r="AG286" s="2"/>
      <c r="AH286" s="2" t="s">
        <v>54</v>
      </c>
      <c r="AI286" s="3" t="s">
        <v>3312</v>
      </c>
      <c r="AJ286" s="3" t="s">
        <v>3313</v>
      </c>
      <c r="AK286" s="2" t="n">
        <v>639051</v>
      </c>
      <c r="AL286" s="3" t="s">
        <v>3314</v>
      </c>
      <c r="AM286" s="2"/>
      <c r="AN286" s="2"/>
      <c r="AO286" s="3" t="s">
        <v>3315</v>
      </c>
      <c r="AP286" s="3" t="s">
        <v>3316</v>
      </c>
      <c r="AQ286" s="2" t="s">
        <v>151</v>
      </c>
    </row>
    <row r="287" customFormat="false" ht="46.25" hidden="false" customHeight="false" outlineLevel="0" collapsed="false">
      <c r="A287" s="2" t="n">
        <v>286</v>
      </c>
      <c r="B287" s="2" t="s">
        <v>3317</v>
      </c>
      <c r="C287" s="2" t="s">
        <v>2972</v>
      </c>
      <c r="D287" s="2" t="s">
        <v>2972</v>
      </c>
      <c r="E287" s="2" t="s">
        <v>3318</v>
      </c>
      <c r="F287" s="2" t="s">
        <v>3319</v>
      </c>
      <c r="G287" s="3"/>
      <c r="H287" s="2" t="s">
        <v>1039</v>
      </c>
      <c r="I287" s="2" t="s">
        <v>123</v>
      </c>
      <c r="J287" s="3" t="s">
        <v>3320</v>
      </c>
      <c r="K287" s="2" t="s">
        <v>3048</v>
      </c>
      <c r="L287" s="2" t="s">
        <v>3049</v>
      </c>
      <c r="M287" s="2" t="s">
        <v>1039</v>
      </c>
      <c r="N287" s="2"/>
      <c r="O287" s="2" t="s">
        <v>53</v>
      </c>
      <c r="P287" s="2" t="n">
        <v>36.6026</v>
      </c>
      <c r="Q287" s="2" t="n">
        <v>30.5598</v>
      </c>
      <c r="R287" s="2" t="s">
        <v>95</v>
      </c>
      <c r="S287" s="2" t="n">
        <v>-350</v>
      </c>
      <c r="T287" s="2" t="s">
        <v>926</v>
      </c>
      <c r="U287" s="2" t="s">
        <v>56</v>
      </c>
      <c r="V287" s="2" t="s">
        <v>78</v>
      </c>
      <c r="W287" s="2" t="s">
        <v>168</v>
      </c>
      <c r="X287" s="2" t="s">
        <v>169</v>
      </c>
      <c r="Y287" s="2"/>
      <c r="Z287" s="2" t="s">
        <v>170</v>
      </c>
      <c r="AA287" s="2"/>
      <c r="AB287" s="2" t="s">
        <v>81</v>
      </c>
      <c r="AC287" s="2"/>
      <c r="AD287" s="2"/>
      <c r="AE287" s="3"/>
      <c r="AF287" s="3" t="s">
        <v>3321</v>
      </c>
      <c r="AG287" s="2"/>
      <c r="AH287" s="2" t="s">
        <v>263</v>
      </c>
      <c r="AI287" s="3" t="s">
        <v>3322</v>
      </c>
      <c r="AJ287" s="3" t="s">
        <v>3323</v>
      </c>
      <c r="AK287" s="2" t="n">
        <v>638866</v>
      </c>
      <c r="AL287" s="3" t="s">
        <v>3324</v>
      </c>
      <c r="AM287" s="2"/>
      <c r="AN287" s="2"/>
      <c r="AO287" s="3" t="s">
        <v>3325</v>
      </c>
      <c r="AP287" s="3" t="s">
        <v>3326</v>
      </c>
      <c r="AQ287" s="2" t="s">
        <v>151</v>
      </c>
    </row>
    <row r="288" customFormat="false" ht="35.05" hidden="false" customHeight="false" outlineLevel="0" collapsed="false">
      <c r="A288" s="2" t="n">
        <v>287</v>
      </c>
      <c r="B288" s="2" t="s">
        <v>3327</v>
      </c>
      <c r="C288" s="2" t="s">
        <v>2972</v>
      </c>
      <c r="D288" s="2" t="s">
        <v>2972</v>
      </c>
      <c r="E288" s="2" t="s">
        <v>3328</v>
      </c>
      <c r="F288" s="2" t="s">
        <v>3329</v>
      </c>
      <c r="G288" s="3" t="s">
        <v>3330</v>
      </c>
      <c r="H288" s="2"/>
      <c r="I288" s="2" t="s">
        <v>74</v>
      </c>
      <c r="J288" s="3" t="s">
        <v>3331</v>
      </c>
      <c r="K288" s="2" t="s">
        <v>3048</v>
      </c>
      <c r="L288" s="2" t="s">
        <v>3049</v>
      </c>
      <c r="M288" s="2"/>
      <c r="N288" s="2"/>
      <c r="O288" s="2"/>
      <c r="P288" s="2" t="n">
        <v>36.8658</v>
      </c>
      <c r="Q288" s="2" t="n">
        <v>30.476</v>
      </c>
      <c r="R288" s="2" t="s">
        <v>54</v>
      </c>
      <c r="S288" s="2" t="n">
        <v>45</v>
      </c>
      <c r="T288" s="2" t="s">
        <v>3287</v>
      </c>
      <c r="U288" s="2" t="s">
        <v>56</v>
      </c>
      <c r="V288" s="2" t="s">
        <v>245</v>
      </c>
      <c r="W288" s="2" t="s">
        <v>140</v>
      </c>
      <c r="X288" s="2" t="s">
        <v>289</v>
      </c>
      <c r="Y288" s="2"/>
      <c r="Z288" s="2" t="s">
        <v>170</v>
      </c>
      <c r="AA288" s="2"/>
      <c r="AB288" s="2" t="s">
        <v>63</v>
      </c>
      <c r="AC288" s="2" t="s">
        <v>64</v>
      </c>
      <c r="AD288" s="2"/>
      <c r="AE288" s="3"/>
      <c r="AF288" s="3" t="s">
        <v>3332</v>
      </c>
      <c r="AG288" s="2"/>
      <c r="AH288" s="2" t="s">
        <v>54</v>
      </c>
      <c r="AI288" s="3" t="s">
        <v>3333</v>
      </c>
      <c r="AJ288" s="3" t="s">
        <v>3334</v>
      </c>
      <c r="AK288" s="2" t="n">
        <v>639151</v>
      </c>
      <c r="AL288" s="3" t="s">
        <v>3335</v>
      </c>
      <c r="AM288" s="2"/>
      <c r="AN288" s="2"/>
      <c r="AO288" s="3"/>
      <c r="AP288" s="3"/>
      <c r="AQ288" s="2"/>
    </row>
    <row r="289" customFormat="false" ht="35.05" hidden="false" customHeight="false" outlineLevel="0" collapsed="false">
      <c r="A289" s="2" t="n">
        <v>288</v>
      </c>
      <c r="B289" s="2" t="s">
        <v>3336</v>
      </c>
      <c r="C289" s="2" t="s">
        <v>2972</v>
      </c>
      <c r="D289" s="2" t="s">
        <v>2972</v>
      </c>
      <c r="E289" s="2" t="s">
        <v>3337</v>
      </c>
      <c r="F289" s="2" t="s">
        <v>3338</v>
      </c>
      <c r="G289" s="3" t="s">
        <v>3339</v>
      </c>
      <c r="H289" s="2"/>
      <c r="I289" s="2" t="s">
        <v>74</v>
      </c>
      <c r="J289" s="3" t="s">
        <v>3340</v>
      </c>
      <c r="K289" s="2" t="s">
        <v>3341</v>
      </c>
      <c r="L289" s="2" t="s">
        <v>3049</v>
      </c>
      <c r="M289" s="2"/>
      <c r="N289" s="2"/>
      <c r="O289" s="2"/>
      <c r="P289" s="2" t="n">
        <v>36.9526</v>
      </c>
      <c r="Q289" s="2" t="n">
        <v>29.5823</v>
      </c>
      <c r="R289" s="2" t="s">
        <v>54</v>
      </c>
      <c r="S289" s="2" t="n">
        <v>-200</v>
      </c>
      <c r="T289" s="2" t="s">
        <v>194</v>
      </c>
      <c r="U289" s="2" t="s">
        <v>77</v>
      </c>
      <c r="V289" s="2" t="s">
        <v>78</v>
      </c>
      <c r="W289" s="2" t="s">
        <v>195</v>
      </c>
      <c r="X289" s="2" t="s">
        <v>289</v>
      </c>
      <c r="Y289" s="2"/>
      <c r="Z289" s="2" t="s">
        <v>170</v>
      </c>
      <c r="AA289" s="2"/>
      <c r="AB289" s="2" t="s">
        <v>63</v>
      </c>
      <c r="AC289" s="2" t="s">
        <v>64</v>
      </c>
      <c r="AD289" s="2"/>
      <c r="AE289" s="3" t="s">
        <v>3342</v>
      </c>
      <c r="AF289" s="3" t="s">
        <v>3343</v>
      </c>
      <c r="AG289" s="2"/>
      <c r="AH289" s="2" t="s">
        <v>54</v>
      </c>
      <c r="AI289" s="3"/>
      <c r="AJ289" s="3" t="s">
        <v>3344</v>
      </c>
      <c r="AK289" s="2" t="n">
        <v>638789</v>
      </c>
      <c r="AL289" s="3" t="s">
        <v>3345</v>
      </c>
      <c r="AM289" s="2"/>
      <c r="AN289" s="2"/>
      <c r="AO289" s="3"/>
      <c r="AP289" s="3"/>
      <c r="AQ289" s="2"/>
    </row>
    <row r="290" customFormat="false" ht="35.05" hidden="false" customHeight="false" outlineLevel="0" collapsed="false">
      <c r="A290" s="2" t="n">
        <v>289</v>
      </c>
      <c r="B290" s="2" t="s">
        <v>3346</v>
      </c>
      <c r="C290" s="2" t="s">
        <v>2972</v>
      </c>
      <c r="D290" s="2" t="s">
        <v>2972</v>
      </c>
      <c r="E290" s="2" t="s">
        <v>3347</v>
      </c>
      <c r="F290" s="2" t="s">
        <v>3348</v>
      </c>
      <c r="G290" s="3" t="s">
        <v>3349</v>
      </c>
      <c r="H290" s="2"/>
      <c r="I290" s="2" t="s">
        <v>74</v>
      </c>
      <c r="J290" s="3" t="s">
        <v>3350</v>
      </c>
      <c r="K290" s="2" t="s">
        <v>3341</v>
      </c>
      <c r="L290" s="2" t="s">
        <v>3049</v>
      </c>
      <c r="M290" s="2"/>
      <c r="N290" s="2"/>
      <c r="O290" s="2"/>
      <c r="P290" s="2" t="n">
        <v>36.9683</v>
      </c>
      <c r="Q290" s="2" t="n">
        <v>29.4078</v>
      </c>
      <c r="R290" s="2" t="s">
        <v>54</v>
      </c>
      <c r="S290" s="2" t="n">
        <v>-200</v>
      </c>
      <c r="T290" s="2" t="s">
        <v>194</v>
      </c>
      <c r="U290" s="2" t="s">
        <v>56</v>
      </c>
      <c r="V290" s="2" t="s">
        <v>78</v>
      </c>
      <c r="W290" s="2" t="s">
        <v>195</v>
      </c>
      <c r="X290" s="2" t="s">
        <v>289</v>
      </c>
      <c r="Y290" s="2"/>
      <c r="Z290" s="2" t="s">
        <v>170</v>
      </c>
      <c r="AA290" s="2"/>
      <c r="AB290" s="2" t="s">
        <v>63</v>
      </c>
      <c r="AC290" s="2" t="s">
        <v>64</v>
      </c>
      <c r="AD290" s="2"/>
      <c r="AE290" s="3" t="s">
        <v>3351</v>
      </c>
      <c r="AF290" s="3" t="s">
        <v>3352</v>
      </c>
      <c r="AG290" s="2"/>
      <c r="AH290" s="2" t="s">
        <v>54</v>
      </c>
      <c r="AI290" s="3"/>
      <c r="AJ290" s="3" t="s">
        <v>3353</v>
      </c>
      <c r="AK290" s="2" t="n">
        <v>638792</v>
      </c>
      <c r="AL290" s="3" t="s">
        <v>3354</v>
      </c>
      <c r="AM290" s="2"/>
      <c r="AN290" s="2"/>
      <c r="AO290" s="3"/>
      <c r="AP290" s="3"/>
      <c r="AQ290" s="2"/>
    </row>
    <row r="291" customFormat="false" ht="46.25" hidden="false" customHeight="false" outlineLevel="0" collapsed="false">
      <c r="A291" s="2" t="n">
        <v>290</v>
      </c>
      <c r="B291" s="2" t="s">
        <v>3355</v>
      </c>
      <c r="C291" s="2" t="s">
        <v>2972</v>
      </c>
      <c r="D291" s="2" t="s">
        <v>2972</v>
      </c>
      <c r="E291" s="2" t="s">
        <v>3356</v>
      </c>
      <c r="F291" s="2" t="s">
        <v>3357</v>
      </c>
      <c r="G291" s="3" t="s">
        <v>3358</v>
      </c>
      <c r="H291" s="2"/>
      <c r="I291" s="2" t="s">
        <v>74</v>
      </c>
      <c r="J291" s="3" t="s">
        <v>3359</v>
      </c>
      <c r="K291" s="2" t="s">
        <v>3341</v>
      </c>
      <c r="L291" s="2" t="s">
        <v>3049</v>
      </c>
      <c r="M291" s="2"/>
      <c r="N291" s="2"/>
      <c r="O291" s="2"/>
      <c r="P291" s="2" t="n">
        <v>37.1594</v>
      </c>
      <c r="Q291" s="2" t="n">
        <v>29.4922</v>
      </c>
      <c r="R291" s="2" t="s">
        <v>54</v>
      </c>
      <c r="S291" s="2" t="n">
        <v>-200</v>
      </c>
      <c r="T291" s="2" t="s">
        <v>194</v>
      </c>
      <c r="U291" s="2" t="s">
        <v>56</v>
      </c>
      <c r="V291" s="2" t="s">
        <v>78</v>
      </c>
      <c r="W291" s="2" t="s">
        <v>195</v>
      </c>
      <c r="X291" s="2" t="s">
        <v>289</v>
      </c>
      <c r="Y291" s="2"/>
      <c r="Z291" s="2" t="s">
        <v>170</v>
      </c>
      <c r="AA291" s="2"/>
      <c r="AB291" s="2" t="s">
        <v>63</v>
      </c>
      <c r="AC291" s="2" t="s">
        <v>452</v>
      </c>
      <c r="AD291" s="2"/>
      <c r="AE291" s="3" t="s">
        <v>3360</v>
      </c>
      <c r="AF291" s="3" t="s">
        <v>3361</v>
      </c>
      <c r="AG291" s="2" t="s">
        <v>3362</v>
      </c>
      <c r="AH291" s="2" t="s">
        <v>54</v>
      </c>
      <c r="AI291" s="3"/>
      <c r="AJ291" s="3" t="s">
        <v>3363</v>
      </c>
      <c r="AK291" s="2" t="n">
        <v>638804</v>
      </c>
      <c r="AL291" s="3" t="s">
        <v>3364</v>
      </c>
      <c r="AM291" s="2"/>
      <c r="AN291" s="2"/>
      <c r="AO291" s="3"/>
      <c r="AP291" s="3"/>
      <c r="AQ291" s="2"/>
    </row>
    <row r="292" customFormat="false" ht="46.25" hidden="false" customHeight="false" outlineLevel="0" collapsed="false">
      <c r="A292" s="2" t="n">
        <v>291</v>
      </c>
      <c r="B292" s="2" t="s">
        <v>3365</v>
      </c>
      <c r="C292" s="2" t="s">
        <v>2972</v>
      </c>
      <c r="D292" s="2" t="s">
        <v>2972</v>
      </c>
      <c r="E292" s="2" t="s">
        <v>3366</v>
      </c>
      <c r="F292" s="2" t="s">
        <v>3367</v>
      </c>
      <c r="G292" s="3" t="s">
        <v>3368</v>
      </c>
      <c r="H292" s="2"/>
      <c r="I292" s="2" t="s">
        <v>93</v>
      </c>
      <c r="J292" s="3" t="s">
        <v>3369</v>
      </c>
      <c r="K292" s="2" t="s">
        <v>3048</v>
      </c>
      <c r="L292" s="2" t="s">
        <v>3049</v>
      </c>
      <c r="M292" s="2"/>
      <c r="N292" s="2"/>
      <c r="O292" s="2"/>
      <c r="P292" s="2" t="n">
        <v>36.45</v>
      </c>
      <c r="Q292" s="2" t="n">
        <v>29.85</v>
      </c>
      <c r="R292" s="2" t="s">
        <v>637</v>
      </c>
      <c r="S292" s="2" t="n">
        <v>448</v>
      </c>
      <c r="T292" s="2" t="s">
        <v>3370</v>
      </c>
      <c r="U292" s="2" t="s">
        <v>56</v>
      </c>
      <c r="V292" s="2" t="s">
        <v>245</v>
      </c>
      <c r="W292" s="2" t="s">
        <v>304</v>
      </c>
      <c r="X292" s="2" t="s">
        <v>169</v>
      </c>
      <c r="Y292" s="2"/>
      <c r="Z292" s="2" t="s">
        <v>170</v>
      </c>
      <c r="AA292" s="2"/>
      <c r="AB292" s="2" t="s">
        <v>81</v>
      </c>
      <c r="AC292" s="2"/>
      <c r="AD292" s="2"/>
      <c r="AE292" s="3"/>
      <c r="AF292" s="3" t="s">
        <v>3371</v>
      </c>
      <c r="AG292" s="2"/>
      <c r="AH292" s="2" t="s">
        <v>263</v>
      </c>
      <c r="AI292" s="3" t="s">
        <v>3372</v>
      </c>
      <c r="AJ292" s="3" t="s">
        <v>3373</v>
      </c>
      <c r="AK292" s="2"/>
      <c r="AL292" s="3" t="s">
        <v>3374</v>
      </c>
      <c r="AM292" s="2"/>
      <c r="AN292" s="2"/>
      <c r="AO292" s="3" t="s">
        <v>3375</v>
      </c>
      <c r="AP292" s="3" t="s">
        <v>3376</v>
      </c>
      <c r="AQ292" s="2" t="s">
        <v>106</v>
      </c>
    </row>
    <row r="293" customFormat="false" ht="35.05" hidden="false" customHeight="false" outlineLevel="0" collapsed="false">
      <c r="A293" s="2" t="n">
        <v>292</v>
      </c>
      <c r="B293" s="2" t="s">
        <v>3377</v>
      </c>
      <c r="C293" s="2" t="s">
        <v>3378</v>
      </c>
      <c r="D293" s="2" t="s">
        <v>3379</v>
      </c>
      <c r="E293" s="2" t="s">
        <v>3380</v>
      </c>
      <c r="F293" s="2" t="s">
        <v>3381</v>
      </c>
      <c r="G293" s="3"/>
      <c r="H293" s="2"/>
      <c r="I293" s="2" t="s">
        <v>74</v>
      </c>
      <c r="J293" s="3" t="s">
        <v>3382</v>
      </c>
      <c r="K293" s="2" t="s">
        <v>3341</v>
      </c>
      <c r="L293" s="2" t="s">
        <v>3049</v>
      </c>
      <c r="M293" s="2"/>
      <c r="N293" s="2"/>
      <c r="O293" s="2"/>
      <c r="P293" s="2" t="n">
        <v>37.1205</v>
      </c>
      <c r="Q293" s="2" t="n">
        <v>29.6045</v>
      </c>
      <c r="R293" s="2" t="s">
        <v>95</v>
      </c>
      <c r="S293" s="2" t="n">
        <v>-189</v>
      </c>
      <c r="T293" s="2" t="s">
        <v>3383</v>
      </c>
      <c r="U293" s="2" t="s">
        <v>56</v>
      </c>
      <c r="V293" s="2" t="s">
        <v>245</v>
      </c>
      <c r="W293" s="2" t="s">
        <v>195</v>
      </c>
      <c r="X293" s="2" t="s">
        <v>289</v>
      </c>
      <c r="Y293" s="2"/>
      <c r="Z293" s="2" t="s">
        <v>170</v>
      </c>
      <c r="AA293" s="2"/>
      <c r="AB293" s="2" t="s">
        <v>63</v>
      </c>
      <c r="AC293" s="2" t="s">
        <v>64</v>
      </c>
      <c r="AD293" s="2"/>
      <c r="AE293" s="3"/>
      <c r="AF293" s="3" t="s">
        <v>3384</v>
      </c>
      <c r="AG293" s="2"/>
      <c r="AH293" s="2" t="s">
        <v>263</v>
      </c>
      <c r="AI293" s="3" t="s">
        <v>3385</v>
      </c>
      <c r="AJ293" s="3" t="s">
        <v>3386</v>
      </c>
      <c r="AK293" s="2" t="n">
        <v>639111</v>
      </c>
      <c r="AL293" s="3" t="s">
        <v>3387</v>
      </c>
      <c r="AM293" s="2"/>
      <c r="AN293" s="2"/>
      <c r="AO293" s="3"/>
      <c r="AP293" s="3"/>
      <c r="AQ293" s="2"/>
    </row>
    <row r="294" customFormat="false" ht="57.45" hidden="false" customHeight="false" outlineLevel="0" collapsed="false">
      <c r="A294" s="2" t="n">
        <v>293</v>
      </c>
      <c r="B294" s="2" t="s">
        <v>3388</v>
      </c>
      <c r="C294" s="2" t="s">
        <v>3378</v>
      </c>
      <c r="D294" s="2" t="s">
        <v>3389</v>
      </c>
      <c r="E294" s="2" t="s">
        <v>3390</v>
      </c>
      <c r="F294" s="2" t="s">
        <v>3391</v>
      </c>
      <c r="G294" s="3" t="s">
        <v>3392</v>
      </c>
      <c r="H294" s="2" t="s">
        <v>3048</v>
      </c>
      <c r="I294" s="2" t="s">
        <v>123</v>
      </c>
      <c r="J294" s="3" t="s">
        <v>3393</v>
      </c>
      <c r="K294" s="2" t="s">
        <v>3048</v>
      </c>
      <c r="L294" s="2" t="s">
        <v>3049</v>
      </c>
      <c r="M294" s="2" t="s">
        <v>3394</v>
      </c>
      <c r="N294" s="2" t="s">
        <v>63</v>
      </c>
      <c r="O294" s="2" t="s">
        <v>53</v>
      </c>
      <c r="P294" s="2" t="n">
        <v>36.8729</v>
      </c>
      <c r="Q294" s="2" t="n">
        <v>30.6086</v>
      </c>
      <c r="R294" s="2" t="s">
        <v>95</v>
      </c>
      <c r="S294" s="2" t="n">
        <v>-200</v>
      </c>
      <c r="T294" s="2" t="s">
        <v>194</v>
      </c>
      <c r="U294" s="2" t="s">
        <v>56</v>
      </c>
      <c r="V294" s="2" t="s">
        <v>78</v>
      </c>
      <c r="W294" s="2" t="s">
        <v>195</v>
      </c>
      <c r="X294" s="2" t="s">
        <v>169</v>
      </c>
      <c r="Y294" s="2" t="s">
        <v>81</v>
      </c>
      <c r="Z294" s="2" t="s">
        <v>170</v>
      </c>
      <c r="AA294" s="2"/>
      <c r="AB294" s="2" t="s">
        <v>81</v>
      </c>
      <c r="AC294" s="2"/>
      <c r="AD294" s="2"/>
      <c r="AE294" s="3"/>
      <c r="AF294" s="3" t="s">
        <v>3395</v>
      </c>
      <c r="AG294" s="2"/>
      <c r="AH294" s="2" t="s">
        <v>113</v>
      </c>
      <c r="AI294" s="3" t="s">
        <v>3396</v>
      </c>
      <c r="AJ294" s="3" t="s">
        <v>3397</v>
      </c>
      <c r="AK294" s="2" t="n">
        <v>639016</v>
      </c>
      <c r="AL294" s="3" t="s">
        <v>3398</v>
      </c>
      <c r="AM294" s="2"/>
      <c r="AN294" s="2"/>
      <c r="AO294" s="3" t="s">
        <v>3399</v>
      </c>
      <c r="AP294" s="3" t="s">
        <v>3400</v>
      </c>
      <c r="AQ294" s="2" t="s">
        <v>151</v>
      </c>
    </row>
    <row r="295" customFormat="false" ht="68.65" hidden="false" customHeight="false" outlineLevel="0" collapsed="false">
      <c r="A295" s="2" t="n">
        <v>294</v>
      </c>
      <c r="B295" s="2" t="s">
        <v>3401</v>
      </c>
      <c r="C295" s="2" t="s">
        <v>3378</v>
      </c>
      <c r="D295" s="2" t="s">
        <v>3389</v>
      </c>
      <c r="E295" s="2" t="s">
        <v>3402</v>
      </c>
      <c r="F295" s="2" t="s">
        <v>2288</v>
      </c>
      <c r="G295" s="3" t="s">
        <v>3403</v>
      </c>
      <c r="H295" s="2" t="s">
        <v>3048</v>
      </c>
      <c r="I295" s="2" t="s">
        <v>123</v>
      </c>
      <c r="J295" s="3" t="s">
        <v>3404</v>
      </c>
      <c r="K295" s="2" t="s">
        <v>3048</v>
      </c>
      <c r="L295" s="2" t="s">
        <v>3049</v>
      </c>
      <c r="M295" s="2" t="s">
        <v>3405</v>
      </c>
      <c r="N295" s="2" t="s">
        <v>63</v>
      </c>
      <c r="O295" s="2" t="s">
        <v>5</v>
      </c>
      <c r="P295" s="2" t="n">
        <v>36.8903</v>
      </c>
      <c r="Q295" s="2" t="n">
        <v>30.7</v>
      </c>
      <c r="R295" s="2" t="s">
        <v>54</v>
      </c>
      <c r="S295" s="2" t="n">
        <v>-150</v>
      </c>
      <c r="T295" s="2" t="s">
        <v>2075</v>
      </c>
      <c r="U295" s="2" t="s">
        <v>139</v>
      </c>
      <c r="V295" s="2" t="s">
        <v>57</v>
      </c>
      <c r="W295" s="2" t="s">
        <v>195</v>
      </c>
      <c r="X295" s="2" t="s">
        <v>246</v>
      </c>
      <c r="Y295" s="2" t="s">
        <v>3406</v>
      </c>
      <c r="Z295" s="2" t="s">
        <v>2215</v>
      </c>
      <c r="AA295" s="2"/>
      <c r="AB295" s="2" t="s">
        <v>81</v>
      </c>
      <c r="AC295" s="2"/>
      <c r="AD295" s="2"/>
      <c r="AE295" s="3"/>
      <c r="AF295" s="3" t="s">
        <v>3407</v>
      </c>
      <c r="AG295" s="2"/>
      <c r="AH295" s="2" t="s">
        <v>54</v>
      </c>
      <c r="AI295" s="3" t="s">
        <v>3408</v>
      </c>
      <c r="AJ295" s="3" t="s">
        <v>3409</v>
      </c>
      <c r="AK295" s="2" t="n">
        <v>638778</v>
      </c>
      <c r="AL295" s="3" t="s">
        <v>3410</v>
      </c>
      <c r="AM295" s="2"/>
      <c r="AN295" s="2" t="s">
        <v>200</v>
      </c>
      <c r="AO295" s="3" t="s">
        <v>3411</v>
      </c>
      <c r="AP295" s="3" t="s">
        <v>3412</v>
      </c>
      <c r="AQ295" s="2" t="s">
        <v>151</v>
      </c>
    </row>
    <row r="296" customFormat="false" ht="35.05" hidden="false" customHeight="false" outlineLevel="0" collapsed="false">
      <c r="A296" s="2" t="n">
        <v>295</v>
      </c>
      <c r="B296" s="2" t="s">
        <v>3413</v>
      </c>
      <c r="C296" s="2" t="s">
        <v>3378</v>
      </c>
      <c r="D296" s="2" t="s">
        <v>3389</v>
      </c>
      <c r="E296" s="2" t="s">
        <v>3414</v>
      </c>
      <c r="F296" s="2" t="s">
        <v>3415</v>
      </c>
      <c r="G296" s="3" t="s">
        <v>3416</v>
      </c>
      <c r="H296" s="2" t="s">
        <v>3048</v>
      </c>
      <c r="I296" s="2" t="s">
        <v>123</v>
      </c>
      <c r="J296" s="3" t="s">
        <v>3417</v>
      </c>
      <c r="K296" s="2" t="s">
        <v>3048</v>
      </c>
      <c r="L296" s="2" t="s">
        <v>3049</v>
      </c>
      <c r="M296" s="2" t="s">
        <v>3405</v>
      </c>
      <c r="N296" s="2" t="s">
        <v>63</v>
      </c>
      <c r="O296" s="2" t="s">
        <v>53</v>
      </c>
      <c r="P296" s="2" t="n">
        <v>36.8488</v>
      </c>
      <c r="Q296" s="2" t="n">
        <v>30.8</v>
      </c>
      <c r="R296" s="2" t="s">
        <v>95</v>
      </c>
      <c r="S296" s="2" t="n">
        <v>-350</v>
      </c>
      <c r="T296" s="2" t="s">
        <v>926</v>
      </c>
      <c r="U296" s="2" t="s">
        <v>56</v>
      </c>
      <c r="V296" s="2" t="s">
        <v>78</v>
      </c>
      <c r="W296" s="2" t="s">
        <v>168</v>
      </c>
      <c r="X296" s="2" t="s">
        <v>169</v>
      </c>
      <c r="Y296" s="2"/>
      <c r="Z296" s="2" t="s">
        <v>170</v>
      </c>
      <c r="AA296" s="2"/>
      <c r="AB296" s="2" t="s">
        <v>81</v>
      </c>
      <c r="AC296" s="2"/>
      <c r="AD296" s="2"/>
      <c r="AE296" s="3"/>
      <c r="AF296" s="3" t="s">
        <v>3418</v>
      </c>
      <c r="AG296" s="2"/>
      <c r="AH296" s="2" t="s">
        <v>54</v>
      </c>
      <c r="AI296" s="3" t="s">
        <v>3419</v>
      </c>
      <c r="AJ296" s="3" t="s">
        <v>3420</v>
      </c>
      <c r="AK296" s="2" t="n">
        <v>638980</v>
      </c>
      <c r="AL296" s="3" t="s">
        <v>3421</v>
      </c>
      <c r="AM296" s="2"/>
      <c r="AN296" s="2"/>
      <c r="AO296" s="3" t="s">
        <v>3422</v>
      </c>
      <c r="AP296" s="3" t="s">
        <v>3423</v>
      </c>
      <c r="AQ296" s="2" t="s">
        <v>151</v>
      </c>
    </row>
    <row r="297" customFormat="false" ht="68.65" hidden="false" customHeight="false" outlineLevel="0" collapsed="false">
      <c r="A297" s="2" t="n">
        <v>296</v>
      </c>
      <c r="B297" s="2" t="s">
        <v>3424</v>
      </c>
      <c r="C297" s="2" t="s">
        <v>3378</v>
      </c>
      <c r="D297" s="2" t="s">
        <v>3389</v>
      </c>
      <c r="E297" s="2" t="s">
        <v>3425</v>
      </c>
      <c r="F297" s="2" t="s">
        <v>3426</v>
      </c>
      <c r="G297" s="3" t="s">
        <v>3427</v>
      </c>
      <c r="H297" s="2"/>
      <c r="I297" s="2" t="s">
        <v>74</v>
      </c>
      <c r="J297" s="3" t="s">
        <v>3428</v>
      </c>
      <c r="K297" s="2" t="s">
        <v>3048</v>
      </c>
      <c r="L297" s="2" t="s">
        <v>3049</v>
      </c>
      <c r="M297" s="2"/>
      <c r="N297" s="2"/>
      <c r="O297" s="2"/>
      <c r="P297" s="2" t="n">
        <v>36.9645</v>
      </c>
      <c r="Q297" s="2" t="n">
        <v>30.8533</v>
      </c>
      <c r="R297" s="2" t="s">
        <v>54</v>
      </c>
      <c r="S297" s="2" t="n">
        <v>-700</v>
      </c>
      <c r="T297" s="2" t="s">
        <v>900</v>
      </c>
      <c r="U297" s="2" t="s">
        <v>77</v>
      </c>
      <c r="V297" s="2" t="s">
        <v>78</v>
      </c>
      <c r="W297" s="2" t="s">
        <v>58</v>
      </c>
      <c r="X297" s="2" t="s">
        <v>901</v>
      </c>
      <c r="Y297" s="2" t="s">
        <v>3429</v>
      </c>
      <c r="Z297" s="2" t="s">
        <v>3430</v>
      </c>
      <c r="AA297" s="2"/>
      <c r="AB297" s="2" t="s">
        <v>63</v>
      </c>
      <c r="AC297" s="2" t="s">
        <v>452</v>
      </c>
      <c r="AD297" s="2" t="s">
        <v>3431</v>
      </c>
      <c r="AE297" s="3" t="s">
        <v>3432</v>
      </c>
      <c r="AF297" s="3" t="s">
        <v>3433</v>
      </c>
      <c r="AG297" s="2"/>
      <c r="AH297" s="2" t="s">
        <v>54</v>
      </c>
      <c r="AI297" s="3" t="s">
        <v>3434</v>
      </c>
      <c r="AJ297" s="3" t="s">
        <v>3435</v>
      </c>
      <c r="AK297" s="2" t="n">
        <v>639048</v>
      </c>
      <c r="AL297" s="3" t="s">
        <v>3436</v>
      </c>
      <c r="AM297" s="2"/>
      <c r="AN297" s="2"/>
      <c r="AO297" s="3"/>
      <c r="AP297" s="3"/>
      <c r="AQ297" s="2"/>
    </row>
    <row r="298" customFormat="false" ht="79.85" hidden="false" customHeight="false" outlineLevel="0" collapsed="false">
      <c r="A298" s="2" t="n">
        <v>297</v>
      </c>
      <c r="B298" s="2" t="s">
        <v>3437</v>
      </c>
      <c r="C298" s="2" t="s">
        <v>3378</v>
      </c>
      <c r="D298" s="2" t="s">
        <v>3389</v>
      </c>
      <c r="E298" s="2" t="s">
        <v>3438</v>
      </c>
      <c r="F298" s="2" t="s">
        <v>3439</v>
      </c>
      <c r="G298" s="3" t="s">
        <v>3440</v>
      </c>
      <c r="H298" s="2"/>
      <c r="I298" s="2" t="s">
        <v>74</v>
      </c>
      <c r="J298" s="3" t="s">
        <v>3441</v>
      </c>
      <c r="K298" s="2" t="s">
        <v>3048</v>
      </c>
      <c r="L298" s="2" t="s">
        <v>3049</v>
      </c>
      <c r="M298" s="2"/>
      <c r="N298" s="2"/>
      <c r="O298" s="2"/>
      <c r="P298" s="2" t="n">
        <v>36.9916</v>
      </c>
      <c r="Q298" s="2" t="n">
        <v>30.9876</v>
      </c>
      <c r="R298" s="2" t="s">
        <v>54</v>
      </c>
      <c r="S298" s="2" t="n">
        <v>-700</v>
      </c>
      <c r="T298" s="2" t="s">
        <v>900</v>
      </c>
      <c r="U298" s="2" t="s">
        <v>77</v>
      </c>
      <c r="V298" s="2" t="s">
        <v>78</v>
      </c>
      <c r="W298" s="2" t="s">
        <v>58</v>
      </c>
      <c r="X298" s="2" t="s">
        <v>901</v>
      </c>
      <c r="Y298" s="2" t="s">
        <v>3442</v>
      </c>
      <c r="Z298" s="2" t="s">
        <v>3430</v>
      </c>
      <c r="AA298" s="2"/>
      <c r="AB298" s="2" t="s">
        <v>81</v>
      </c>
      <c r="AC298" s="2"/>
      <c r="AD298" s="2"/>
      <c r="AE298" s="3" t="s">
        <v>3443</v>
      </c>
      <c r="AF298" s="3" t="s">
        <v>3444</v>
      </c>
      <c r="AG298" s="2"/>
      <c r="AH298" s="2" t="s">
        <v>54</v>
      </c>
      <c r="AI298" s="3" t="s">
        <v>3445</v>
      </c>
      <c r="AJ298" s="3" t="s">
        <v>3446</v>
      </c>
      <c r="AK298" s="2" t="n">
        <v>639109</v>
      </c>
      <c r="AL298" s="3" t="s">
        <v>3447</v>
      </c>
      <c r="AM298" s="2"/>
      <c r="AN298" s="2"/>
      <c r="AO298" s="3" t="s">
        <v>3448</v>
      </c>
      <c r="AP298" s="3" t="s">
        <v>3449</v>
      </c>
      <c r="AQ298" s="2" t="s">
        <v>89</v>
      </c>
    </row>
    <row r="299" customFormat="false" ht="113.4" hidden="false" customHeight="false" outlineLevel="0" collapsed="false">
      <c r="A299" s="2" t="n">
        <v>298</v>
      </c>
      <c r="B299" s="2" t="s">
        <v>3450</v>
      </c>
      <c r="C299" s="2" t="s">
        <v>3378</v>
      </c>
      <c r="D299" s="2" t="s">
        <v>3389</v>
      </c>
      <c r="E299" s="2" t="s">
        <v>3451</v>
      </c>
      <c r="F299" s="2" t="s">
        <v>3452</v>
      </c>
      <c r="G299" s="3" t="s">
        <v>3453</v>
      </c>
      <c r="H299" s="2"/>
      <c r="I299" s="2" t="s">
        <v>74</v>
      </c>
      <c r="J299" s="3" t="s">
        <v>3454</v>
      </c>
      <c r="K299" s="2" t="s">
        <v>3048</v>
      </c>
      <c r="L299" s="2" t="s">
        <v>3049</v>
      </c>
      <c r="M299" s="2"/>
      <c r="N299" s="2"/>
      <c r="O299" s="2"/>
      <c r="P299" s="2" t="n">
        <v>36.9404</v>
      </c>
      <c r="Q299" s="2" t="n">
        <v>31.1697</v>
      </c>
      <c r="R299" s="2" t="s">
        <v>54</v>
      </c>
      <c r="S299" s="2" t="n">
        <v>-700</v>
      </c>
      <c r="T299" s="2" t="s">
        <v>900</v>
      </c>
      <c r="U299" s="2" t="s">
        <v>77</v>
      </c>
      <c r="V299" s="2" t="s">
        <v>78</v>
      </c>
      <c r="W299" s="2" t="s">
        <v>58</v>
      </c>
      <c r="X299" s="2" t="s">
        <v>901</v>
      </c>
      <c r="Y299" s="2" t="s">
        <v>3455</v>
      </c>
      <c r="Z299" s="2" t="s">
        <v>3430</v>
      </c>
      <c r="AA299" s="2"/>
      <c r="AB299" s="2" t="s">
        <v>81</v>
      </c>
      <c r="AC299" s="2"/>
      <c r="AD299" s="2"/>
      <c r="AE299" s="3"/>
      <c r="AF299" s="3" t="s">
        <v>3456</v>
      </c>
      <c r="AG299" s="2"/>
      <c r="AH299" s="2" t="s">
        <v>54</v>
      </c>
      <c r="AI299" s="3" t="s">
        <v>3457</v>
      </c>
      <c r="AJ299" s="3" t="s">
        <v>3458</v>
      </c>
      <c r="AK299" s="2" t="n">
        <v>638776</v>
      </c>
      <c r="AL299" s="3" t="s">
        <v>3459</v>
      </c>
      <c r="AM299" s="2"/>
      <c r="AN299" s="2"/>
      <c r="AO299" s="3" t="s">
        <v>3460</v>
      </c>
      <c r="AP299" s="3" t="s">
        <v>3461</v>
      </c>
      <c r="AQ299" s="2" t="s">
        <v>151</v>
      </c>
    </row>
    <row r="300" customFormat="false" ht="46.25" hidden="false" customHeight="false" outlineLevel="0" collapsed="false">
      <c r="A300" s="2" t="n">
        <v>299</v>
      </c>
      <c r="B300" s="2" t="s">
        <v>3462</v>
      </c>
      <c r="C300" s="2" t="s">
        <v>3378</v>
      </c>
      <c r="D300" s="2" t="s">
        <v>3389</v>
      </c>
      <c r="E300" s="2" t="s">
        <v>3463</v>
      </c>
      <c r="F300" s="2" t="s">
        <v>3464</v>
      </c>
      <c r="G300" s="3"/>
      <c r="H300" s="2"/>
      <c r="I300" s="2" t="s">
        <v>93</v>
      </c>
      <c r="J300" s="3" t="s">
        <v>3465</v>
      </c>
      <c r="K300" s="2" t="s">
        <v>3048</v>
      </c>
      <c r="L300" s="2" t="s">
        <v>3049</v>
      </c>
      <c r="M300" s="2"/>
      <c r="N300" s="2"/>
      <c r="O300" s="2"/>
      <c r="P300" s="2" t="n">
        <v>36.8521</v>
      </c>
      <c r="Q300" s="2" t="n">
        <v>31.3547</v>
      </c>
      <c r="R300" s="2" t="s">
        <v>95</v>
      </c>
      <c r="S300" s="2" t="n">
        <v>-250</v>
      </c>
      <c r="T300" s="2" t="s">
        <v>2189</v>
      </c>
      <c r="U300" s="2" t="s">
        <v>139</v>
      </c>
      <c r="V300" s="2" t="s">
        <v>78</v>
      </c>
      <c r="W300" s="2" t="s">
        <v>195</v>
      </c>
      <c r="X300" s="2" t="s">
        <v>246</v>
      </c>
      <c r="Y300" s="2" t="s">
        <v>3466</v>
      </c>
      <c r="Z300" s="2" t="s">
        <v>2168</v>
      </c>
      <c r="AA300" s="2"/>
      <c r="AB300" s="2" t="s">
        <v>81</v>
      </c>
      <c r="AC300" s="2"/>
      <c r="AD300" s="2"/>
      <c r="AE300" s="3"/>
      <c r="AF300" s="3" t="s">
        <v>3467</v>
      </c>
      <c r="AG300" s="2"/>
      <c r="AH300" s="2" t="s">
        <v>113</v>
      </c>
      <c r="AI300" s="3" t="s">
        <v>3468</v>
      </c>
      <c r="AJ300" s="3" t="s">
        <v>3469</v>
      </c>
      <c r="AK300" s="2" t="n">
        <v>639099</v>
      </c>
      <c r="AL300" s="3" t="s">
        <v>3470</v>
      </c>
      <c r="AM300" s="2"/>
      <c r="AN300" s="2"/>
      <c r="AO300" s="3" t="s">
        <v>3471</v>
      </c>
      <c r="AP300" s="3" t="s">
        <v>3472</v>
      </c>
      <c r="AQ300" s="2" t="s">
        <v>106</v>
      </c>
    </row>
    <row r="301" customFormat="false" ht="46.25" hidden="false" customHeight="false" outlineLevel="0" collapsed="false">
      <c r="A301" s="2" t="n">
        <v>300</v>
      </c>
      <c r="B301" s="2" t="s">
        <v>3473</v>
      </c>
      <c r="C301" s="2" t="s">
        <v>3378</v>
      </c>
      <c r="D301" s="2" t="s">
        <v>3389</v>
      </c>
      <c r="E301" s="2" t="s">
        <v>3474</v>
      </c>
      <c r="F301" s="2" t="s">
        <v>3475</v>
      </c>
      <c r="G301" s="3" t="s">
        <v>3476</v>
      </c>
      <c r="H301" s="2" t="s">
        <v>3474</v>
      </c>
      <c r="I301" s="2" t="s">
        <v>123</v>
      </c>
      <c r="J301" s="3" t="s">
        <v>3477</v>
      </c>
      <c r="K301" s="2" t="s">
        <v>3048</v>
      </c>
      <c r="L301" s="2" t="s">
        <v>3049</v>
      </c>
      <c r="M301" s="2"/>
      <c r="N301" s="2"/>
      <c r="O301" s="2" t="s">
        <v>3478</v>
      </c>
      <c r="P301" s="2" t="n">
        <v>36.7684</v>
      </c>
      <c r="Q301" s="2" t="n">
        <v>31.3922</v>
      </c>
      <c r="R301" s="2" t="s">
        <v>54</v>
      </c>
      <c r="S301" s="2" t="n">
        <v>-650</v>
      </c>
      <c r="T301" s="2" t="s">
        <v>125</v>
      </c>
      <c r="U301" s="2" t="s">
        <v>96</v>
      </c>
      <c r="V301" s="2" t="s">
        <v>78</v>
      </c>
      <c r="W301" s="2" t="s">
        <v>58</v>
      </c>
      <c r="X301" s="2" t="s">
        <v>59</v>
      </c>
      <c r="Y301" s="2" t="s">
        <v>1397</v>
      </c>
      <c r="Z301" s="2" t="s">
        <v>61</v>
      </c>
      <c r="AA301" s="2" t="s">
        <v>3479</v>
      </c>
      <c r="AB301" s="2" t="s">
        <v>63</v>
      </c>
      <c r="AC301" s="2" t="s">
        <v>64</v>
      </c>
      <c r="AD301" s="2"/>
      <c r="AE301" s="3" t="s">
        <v>3480</v>
      </c>
      <c r="AF301" s="3" t="s">
        <v>3481</v>
      </c>
      <c r="AG301" s="2" t="s">
        <v>3482</v>
      </c>
      <c r="AH301" s="2" t="s">
        <v>54</v>
      </c>
      <c r="AI301" s="3" t="s">
        <v>3483</v>
      </c>
      <c r="AJ301" s="3" t="s">
        <v>3484</v>
      </c>
      <c r="AK301" s="2" t="n">
        <v>639105</v>
      </c>
      <c r="AL301" s="3" t="s">
        <v>3485</v>
      </c>
      <c r="AM301" s="2"/>
      <c r="AN301" s="2" t="s">
        <v>200</v>
      </c>
      <c r="AO301" s="3"/>
      <c r="AP301" s="3"/>
      <c r="AQ301" s="2"/>
    </row>
    <row r="302" customFormat="false" ht="35.05" hidden="false" customHeight="false" outlineLevel="0" collapsed="false">
      <c r="A302" s="2" t="n">
        <v>301</v>
      </c>
      <c r="B302" s="2" t="s">
        <v>3486</v>
      </c>
      <c r="C302" s="2" t="s">
        <v>3378</v>
      </c>
      <c r="D302" s="2" t="s">
        <v>3389</v>
      </c>
      <c r="E302" s="2" t="s">
        <v>3487</v>
      </c>
      <c r="F302" s="2" t="s">
        <v>3488</v>
      </c>
      <c r="G302" s="3" t="s">
        <v>3489</v>
      </c>
      <c r="H302" s="2"/>
      <c r="I302" s="2" t="s">
        <v>74</v>
      </c>
      <c r="J302" s="3" t="s">
        <v>3490</v>
      </c>
      <c r="K302" s="2" t="s">
        <v>3048</v>
      </c>
      <c r="L302" s="2" t="s">
        <v>3049</v>
      </c>
      <c r="M302" s="2"/>
      <c r="N302" s="2"/>
      <c r="O302" s="2"/>
      <c r="P302" s="2" t="n">
        <v>36.874</v>
      </c>
      <c r="Q302" s="2" t="n">
        <v>31.4759</v>
      </c>
      <c r="R302" s="2" t="s">
        <v>54</v>
      </c>
      <c r="S302" s="2" t="n">
        <v>-150</v>
      </c>
      <c r="T302" s="2" t="s">
        <v>2075</v>
      </c>
      <c r="U302" s="2" t="s">
        <v>56</v>
      </c>
      <c r="V302" s="2" t="s">
        <v>78</v>
      </c>
      <c r="W302" s="2" t="s">
        <v>195</v>
      </c>
      <c r="X302" s="2" t="s">
        <v>289</v>
      </c>
      <c r="Y302" s="2"/>
      <c r="Z302" s="2" t="s">
        <v>170</v>
      </c>
      <c r="AA302" s="2"/>
      <c r="AB302" s="2" t="s">
        <v>63</v>
      </c>
      <c r="AC302" s="2" t="s">
        <v>77</v>
      </c>
      <c r="AD302" s="2"/>
      <c r="AE302" s="3" t="s">
        <v>3491</v>
      </c>
      <c r="AF302" s="3" t="s">
        <v>3492</v>
      </c>
      <c r="AG302" s="2" t="s">
        <v>3493</v>
      </c>
      <c r="AH302" s="2" t="s">
        <v>113</v>
      </c>
      <c r="AI302" s="3" t="s">
        <v>3494</v>
      </c>
      <c r="AJ302" s="3" t="s">
        <v>3495</v>
      </c>
      <c r="AK302" s="2" t="n">
        <v>638970</v>
      </c>
      <c r="AL302" s="3" t="s">
        <v>3496</v>
      </c>
      <c r="AM302" s="2"/>
      <c r="AN302" s="2"/>
      <c r="AO302" s="3"/>
      <c r="AP302" s="3"/>
      <c r="AQ302" s="2"/>
    </row>
    <row r="303" customFormat="false" ht="35.05" hidden="false" customHeight="false" outlineLevel="0" collapsed="false">
      <c r="A303" s="2" t="n">
        <v>302</v>
      </c>
      <c r="B303" s="2" t="s">
        <v>3497</v>
      </c>
      <c r="C303" s="2" t="s">
        <v>3378</v>
      </c>
      <c r="D303" s="2" t="s">
        <v>3389</v>
      </c>
      <c r="E303" s="2" t="s">
        <v>3498</v>
      </c>
      <c r="F303" s="2" t="s">
        <v>3499</v>
      </c>
      <c r="G303" s="3"/>
      <c r="H303" s="2"/>
      <c r="I303" s="2" t="s">
        <v>74</v>
      </c>
      <c r="J303" s="3" t="s">
        <v>3500</v>
      </c>
      <c r="K303" s="2" t="s">
        <v>3048</v>
      </c>
      <c r="L303" s="2" t="s">
        <v>3049</v>
      </c>
      <c r="M303" s="2"/>
      <c r="N303" s="2"/>
      <c r="O303" s="2"/>
      <c r="P303" s="2" t="n">
        <v>36.6134</v>
      </c>
      <c r="Q303" s="2" t="n">
        <v>31.7928</v>
      </c>
      <c r="R303" s="2" t="s">
        <v>95</v>
      </c>
      <c r="S303" s="2" t="n">
        <v>-250</v>
      </c>
      <c r="T303" s="2" t="s">
        <v>2189</v>
      </c>
      <c r="U303" s="2" t="s">
        <v>139</v>
      </c>
      <c r="V303" s="2" t="s">
        <v>78</v>
      </c>
      <c r="W303" s="2" t="s">
        <v>195</v>
      </c>
      <c r="X303" s="2" t="s">
        <v>246</v>
      </c>
      <c r="Y303" s="2" t="s">
        <v>3501</v>
      </c>
      <c r="Z303" s="2" t="s">
        <v>3502</v>
      </c>
      <c r="AA303" s="2"/>
      <c r="AB303" s="2" t="s">
        <v>81</v>
      </c>
      <c r="AC303" s="2"/>
      <c r="AD303" s="2"/>
      <c r="AE303" s="3"/>
      <c r="AF303" s="3" t="s">
        <v>3503</v>
      </c>
      <c r="AG303" s="2"/>
      <c r="AH303" s="2" t="s">
        <v>113</v>
      </c>
      <c r="AI303" s="3" t="s">
        <v>3504</v>
      </c>
      <c r="AJ303" s="3" t="s">
        <v>3505</v>
      </c>
      <c r="AK303" s="2" t="n">
        <v>639073</v>
      </c>
      <c r="AL303" s="3" t="s">
        <v>3506</v>
      </c>
      <c r="AM303" s="2"/>
      <c r="AN303" s="2"/>
      <c r="AO303" s="3" t="s">
        <v>3507</v>
      </c>
      <c r="AP303" s="3" t="s">
        <v>3508</v>
      </c>
      <c r="AQ303" s="2" t="s">
        <v>151</v>
      </c>
    </row>
    <row r="304" customFormat="false" ht="23.85" hidden="false" customHeight="false" outlineLevel="0" collapsed="false">
      <c r="A304" s="2" t="n">
        <v>303</v>
      </c>
      <c r="B304" s="2" t="s">
        <v>3509</v>
      </c>
      <c r="C304" s="2" t="s">
        <v>3378</v>
      </c>
      <c r="D304" s="2" t="s">
        <v>3389</v>
      </c>
      <c r="E304" s="2" t="s">
        <v>3510</v>
      </c>
      <c r="F304" s="2" t="s">
        <v>3511</v>
      </c>
      <c r="G304" s="3" t="s">
        <v>3512</v>
      </c>
      <c r="H304" s="2"/>
      <c r="I304" s="2" t="s">
        <v>74</v>
      </c>
      <c r="J304" s="3" t="s">
        <v>3513</v>
      </c>
      <c r="K304" s="2" t="s">
        <v>3048</v>
      </c>
      <c r="L304" s="2" t="s">
        <v>3049</v>
      </c>
      <c r="M304" s="2"/>
      <c r="N304" s="2"/>
      <c r="O304" s="2"/>
      <c r="P304" s="2" t="n">
        <v>36.6685</v>
      </c>
      <c r="Q304" s="2" t="n">
        <v>31.898</v>
      </c>
      <c r="R304" s="2" t="s">
        <v>95</v>
      </c>
      <c r="S304" s="2" t="n">
        <v>431</v>
      </c>
      <c r="T304" s="2" t="s">
        <v>3514</v>
      </c>
      <c r="U304" s="2" t="s">
        <v>56</v>
      </c>
      <c r="V304" s="2" t="s">
        <v>78</v>
      </c>
      <c r="W304" s="2" t="s">
        <v>304</v>
      </c>
      <c r="X304" s="2" t="s">
        <v>289</v>
      </c>
      <c r="Y304" s="2"/>
      <c r="Z304" s="2" t="s">
        <v>170</v>
      </c>
      <c r="AA304" s="2"/>
      <c r="AB304" s="2" t="s">
        <v>63</v>
      </c>
      <c r="AC304" s="2" t="s">
        <v>64</v>
      </c>
      <c r="AD304" s="2"/>
      <c r="AE304" s="3"/>
      <c r="AF304" s="3" t="s">
        <v>3515</v>
      </c>
      <c r="AG304" s="2"/>
      <c r="AH304" s="2" t="s">
        <v>113</v>
      </c>
      <c r="AI304" s="3" t="s">
        <v>3516</v>
      </c>
      <c r="AJ304" s="3" t="s">
        <v>3517</v>
      </c>
      <c r="AK304" s="2" t="n">
        <v>638898</v>
      </c>
      <c r="AL304" s="3" t="s">
        <v>3518</v>
      </c>
      <c r="AM304" s="2"/>
      <c r="AN304" s="2"/>
      <c r="AO304" s="3"/>
      <c r="AP304" s="3"/>
      <c r="AQ304" s="2"/>
    </row>
    <row r="305" customFormat="false" ht="35.05" hidden="false" customHeight="false" outlineLevel="0" collapsed="false">
      <c r="A305" s="2" t="n">
        <v>304</v>
      </c>
      <c r="B305" s="2" t="s">
        <v>3519</v>
      </c>
      <c r="C305" s="2" t="s">
        <v>3378</v>
      </c>
      <c r="D305" s="2" t="s">
        <v>3379</v>
      </c>
      <c r="E305" s="2" t="s">
        <v>3520</v>
      </c>
      <c r="F305" s="2" t="s">
        <v>3521</v>
      </c>
      <c r="G305" s="3" t="s">
        <v>3522</v>
      </c>
      <c r="H305" s="2"/>
      <c r="I305" s="2" t="s">
        <v>74</v>
      </c>
      <c r="J305" s="3" t="s">
        <v>3523</v>
      </c>
      <c r="K305" s="2" t="s">
        <v>3048</v>
      </c>
      <c r="L305" s="2" t="s">
        <v>3049</v>
      </c>
      <c r="M305" s="2"/>
      <c r="N305" s="2"/>
      <c r="O305" s="2"/>
      <c r="P305" s="2" t="n">
        <v>36.9973</v>
      </c>
      <c r="Q305" s="2" t="n">
        <v>31.4428</v>
      </c>
      <c r="R305" s="2" t="s">
        <v>95</v>
      </c>
      <c r="S305" s="2" t="n">
        <v>-300</v>
      </c>
      <c r="T305" s="2" t="s">
        <v>1942</v>
      </c>
      <c r="U305" s="2" t="s">
        <v>56</v>
      </c>
      <c r="V305" s="2" t="s">
        <v>78</v>
      </c>
      <c r="W305" s="2" t="s">
        <v>195</v>
      </c>
      <c r="X305" s="2" t="s">
        <v>289</v>
      </c>
      <c r="Y305" s="2"/>
      <c r="Z305" s="2" t="s">
        <v>170</v>
      </c>
      <c r="AA305" s="2"/>
      <c r="AB305" s="2" t="s">
        <v>63</v>
      </c>
      <c r="AC305" s="2" t="s">
        <v>77</v>
      </c>
      <c r="AD305" s="2"/>
      <c r="AE305" s="3" t="s">
        <v>3524</v>
      </c>
      <c r="AF305" s="3" t="s">
        <v>3525</v>
      </c>
      <c r="AG305" s="2"/>
      <c r="AH305" s="2" t="s">
        <v>113</v>
      </c>
      <c r="AI305" s="3" t="s">
        <v>3526</v>
      </c>
      <c r="AJ305" s="3" t="s">
        <v>3527</v>
      </c>
      <c r="AK305" s="2" t="n">
        <v>638832</v>
      </c>
      <c r="AL305" s="3" t="s">
        <v>3528</v>
      </c>
      <c r="AM305" s="2"/>
      <c r="AN305" s="2"/>
      <c r="AO305" s="3"/>
      <c r="AP305" s="3"/>
      <c r="AQ305" s="2"/>
    </row>
    <row r="306" customFormat="false" ht="23.85" hidden="false" customHeight="false" outlineLevel="0" collapsed="false">
      <c r="A306" s="2" t="n">
        <v>305</v>
      </c>
      <c r="B306" s="2" t="s">
        <v>3529</v>
      </c>
      <c r="C306" s="2" t="s">
        <v>3378</v>
      </c>
      <c r="D306" s="2" t="s">
        <v>3379</v>
      </c>
      <c r="E306" s="2" t="s">
        <v>3530</v>
      </c>
      <c r="F306" s="2" t="s">
        <v>3531</v>
      </c>
      <c r="G306" s="3" t="s">
        <v>3532</v>
      </c>
      <c r="H306" s="2"/>
      <c r="I306" s="2" t="s">
        <v>74</v>
      </c>
      <c r="J306" s="3" t="s">
        <v>3533</v>
      </c>
      <c r="K306" s="2" t="s">
        <v>3048</v>
      </c>
      <c r="L306" s="2" t="s">
        <v>3049</v>
      </c>
      <c r="M306" s="2"/>
      <c r="N306" s="2"/>
      <c r="O306" s="2"/>
      <c r="P306" s="2" t="n">
        <v>37.0242</v>
      </c>
      <c r="Q306" s="2" t="n">
        <v>31.6479</v>
      </c>
      <c r="R306" s="2" t="s">
        <v>95</v>
      </c>
      <c r="S306" s="2" t="n">
        <v>100</v>
      </c>
      <c r="T306" s="2" t="s">
        <v>2260</v>
      </c>
      <c r="U306" s="2" t="s">
        <v>56</v>
      </c>
      <c r="V306" s="2" t="s">
        <v>97</v>
      </c>
      <c r="W306" s="2" t="s">
        <v>140</v>
      </c>
      <c r="X306" s="2" t="s">
        <v>289</v>
      </c>
      <c r="Y306" s="2"/>
      <c r="Z306" s="2" t="s">
        <v>170</v>
      </c>
      <c r="AA306" s="2"/>
      <c r="AB306" s="2" t="s">
        <v>63</v>
      </c>
      <c r="AC306" s="2" t="s">
        <v>64</v>
      </c>
      <c r="AD306" s="2"/>
      <c r="AE306" s="3" t="s">
        <v>3534</v>
      </c>
      <c r="AF306" s="3" t="s">
        <v>3535</v>
      </c>
      <c r="AG306" s="2"/>
      <c r="AH306" s="2" t="s">
        <v>113</v>
      </c>
      <c r="AI306" s="3" t="s">
        <v>3536</v>
      </c>
      <c r="AJ306" s="3" t="s">
        <v>3537</v>
      </c>
      <c r="AK306" s="2" t="n">
        <v>638940</v>
      </c>
      <c r="AL306" s="3" t="s">
        <v>3538</v>
      </c>
      <c r="AM306" s="2"/>
      <c r="AN306" s="2"/>
      <c r="AO306" s="3"/>
      <c r="AP306" s="3"/>
      <c r="AQ306" s="2"/>
    </row>
    <row r="307" customFormat="false" ht="23.85" hidden="false" customHeight="false" outlineLevel="0" collapsed="false">
      <c r="A307" s="2" t="n">
        <v>306</v>
      </c>
      <c r="B307" s="2" t="s">
        <v>3539</v>
      </c>
      <c r="C307" s="2" t="s">
        <v>3378</v>
      </c>
      <c r="D307" s="2" t="s">
        <v>3379</v>
      </c>
      <c r="E307" s="2" t="s">
        <v>3540</v>
      </c>
      <c r="F307" s="2" t="s">
        <v>3541</v>
      </c>
      <c r="G307" s="3" t="s">
        <v>3542</v>
      </c>
      <c r="H307" s="2" t="s">
        <v>3543</v>
      </c>
      <c r="I307" s="2" t="s">
        <v>49</v>
      </c>
      <c r="J307" s="3" t="s">
        <v>3544</v>
      </c>
      <c r="K307" s="2" t="s">
        <v>3048</v>
      </c>
      <c r="L307" s="2" t="s">
        <v>3049</v>
      </c>
      <c r="M307" s="2"/>
      <c r="N307" s="2"/>
      <c r="O307" s="2" t="s">
        <v>422</v>
      </c>
      <c r="P307" s="2" t="n">
        <v>37.0734</v>
      </c>
      <c r="Q307" s="2" t="n">
        <v>31.5841</v>
      </c>
      <c r="R307" s="2" t="s">
        <v>54</v>
      </c>
      <c r="S307" s="2" t="n">
        <v>100</v>
      </c>
      <c r="T307" s="2" t="s">
        <v>2260</v>
      </c>
      <c r="U307" s="2" t="s">
        <v>56</v>
      </c>
      <c r="V307" s="2" t="s">
        <v>97</v>
      </c>
      <c r="W307" s="2" t="s">
        <v>140</v>
      </c>
      <c r="X307" s="2" t="s">
        <v>289</v>
      </c>
      <c r="Y307" s="2"/>
      <c r="Z307" s="2" t="s">
        <v>170</v>
      </c>
      <c r="AA307" s="2"/>
      <c r="AB307" s="2" t="s">
        <v>63</v>
      </c>
      <c r="AC307" s="2" t="s">
        <v>64</v>
      </c>
      <c r="AD307" s="2"/>
      <c r="AE307" s="3" t="s">
        <v>3545</v>
      </c>
      <c r="AF307" s="3" t="s">
        <v>3546</v>
      </c>
      <c r="AG307" s="2"/>
      <c r="AH307" s="2" t="s">
        <v>54</v>
      </c>
      <c r="AI307" s="3" t="s">
        <v>3547</v>
      </c>
      <c r="AJ307" s="3" t="s">
        <v>3548</v>
      </c>
      <c r="AK307" s="2" t="n">
        <v>638831</v>
      </c>
      <c r="AL307" s="3" t="s">
        <v>3549</v>
      </c>
      <c r="AM307" s="2"/>
      <c r="AN307" s="2" t="s">
        <v>200</v>
      </c>
      <c r="AO307" s="3"/>
      <c r="AP307" s="3"/>
      <c r="AQ307" s="2"/>
    </row>
    <row r="308" customFormat="false" ht="35.05" hidden="false" customHeight="false" outlineLevel="0" collapsed="false">
      <c r="A308" s="2" t="n">
        <v>307</v>
      </c>
      <c r="B308" s="2" t="s">
        <v>3550</v>
      </c>
      <c r="C308" s="2" t="s">
        <v>3378</v>
      </c>
      <c r="D308" s="2" t="s">
        <v>3379</v>
      </c>
      <c r="E308" s="2" t="s">
        <v>3551</v>
      </c>
      <c r="F308" s="2" t="s">
        <v>3552</v>
      </c>
      <c r="G308" s="3" t="s">
        <v>3553</v>
      </c>
      <c r="H308" s="2" t="s">
        <v>3554</v>
      </c>
      <c r="I308" s="2" t="s">
        <v>49</v>
      </c>
      <c r="J308" s="3" t="s">
        <v>3555</v>
      </c>
      <c r="K308" s="2" t="s">
        <v>3048</v>
      </c>
      <c r="L308" s="2" t="s">
        <v>3049</v>
      </c>
      <c r="M308" s="2"/>
      <c r="N308" s="2"/>
      <c r="O308" s="2" t="s">
        <v>53</v>
      </c>
      <c r="P308" s="2" t="n">
        <v>37.2254</v>
      </c>
      <c r="Q308" s="2" t="n">
        <v>31.1263</v>
      </c>
      <c r="R308" s="2" t="s">
        <v>54</v>
      </c>
      <c r="S308" s="2" t="n">
        <v>-350</v>
      </c>
      <c r="T308" s="2" t="s">
        <v>926</v>
      </c>
      <c r="U308" s="2" t="s">
        <v>56</v>
      </c>
      <c r="V308" s="2" t="s">
        <v>78</v>
      </c>
      <c r="W308" s="2" t="s">
        <v>168</v>
      </c>
      <c r="X308" s="2" t="s">
        <v>289</v>
      </c>
      <c r="Y308" s="2" t="s">
        <v>3556</v>
      </c>
      <c r="Z308" s="2" t="s">
        <v>170</v>
      </c>
      <c r="AA308" s="2"/>
      <c r="AB308" s="2" t="s">
        <v>63</v>
      </c>
      <c r="AC308" s="2" t="s">
        <v>64</v>
      </c>
      <c r="AD308" s="2"/>
      <c r="AE308" s="3" t="s">
        <v>3557</v>
      </c>
      <c r="AF308" s="3" t="s">
        <v>3558</v>
      </c>
      <c r="AG308" s="2"/>
      <c r="AH308" s="2" t="s">
        <v>54</v>
      </c>
      <c r="AI308" s="3" t="s">
        <v>3559</v>
      </c>
      <c r="AJ308" s="3" t="s">
        <v>3560</v>
      </c>
      <c r="AK308" s="2" t="n">
        <v>639100</v>
      </c>
      <c r="AL308" s="3" t="s">
        <v>3561</v>
      </c>
      <c r="AM308" s="2"/>
      <c r="AN308" s="2"/>
      <c r="AO308" s="3"/>
      <c r="AP308" s="3"/>
      <c r="AQ308" s="2"/>
    </row>
    <row r="309" customFormat="false" ht="23.85" hidden="false" customHeight="false" outlineLevel="0" collapsed="false">
      <c r="A309" s="2" t="n">
        <v>308</v>
      </c>
      <c r="B309" s="2" t="s">
        <v>3562</v>
      </c>
      <c r="C309" s="2" t="s">
        <v>3378</v>
      </c>
      <c r="D309" s="2" t="s">
        <v>3379</v>
      </c>
      <c r="E309" s="2" t="s">
        <v>3563</v>
      </c>
      <c r="F309" s="2" t="s">
        <v>3564</v>
      </c>
      <c r="G309" s="3" t="s">
        <v>3565</v>
      </c>
      <c r="H309" s="2"/>
      <c r="I309" s="2" t="s">
        <v>74</v>
      </c>
      <c r="J309" s="3" t="s">
        <v>3566</v>
      </c>
      <c r="K309" s="2" t="s">
        <v>3048</v>
      </c>
      <c r="L309" s="2" t="s">
        <v>3049</v>
      </c>
      <c r="M309" s="2"/>
      <c r="N309" s="2"/>
      <c r="O309" s="2"/>
      <c r="P309" s="2" t="n">
        <v>37.2136</v>
      </c>
      <c r="Q309" s="2" t="n">
        <v>30.9351</v>
      </c>
      <c r="R309" s="2" t="s">
        <v>54</v>
      </c>
      <c r="S309" s="2" t="n">
        <v>-218</v>
      </c>
      <c r="T309" s="2" t="s">
        <v>3567</v>
      </c>
      <c r="U309" s="2" t="s">
        <v>56</v>
      </c>
      <c r="V309" s="2" t="s">
        <v>57</v>
      </c>
      <c r="W309" s="2" t="s">
        <v>195</v>
      </c>
      <c r="X309" s="2" t="s">
        <v>289</v>
      </c>
      <c r="Y309" s="2"/>
      <c r="Z309" s="2" t="s">
        <v>170</v>
      </c>
      <c r="AA309" s="2"/>
      <c r="AB309" s="2" t="s">
        <v>63</v>
      </c>
      <c r="AC309" s="2" t="s">
        <v>64</v>
      </c>
      <c r="AD309" s="2"/>
      <c r="AE309" s="3"/>
      <c r="AF309" s="3" t="s">
        <v>3568</v>
      </c>
      <c r="AG309" s="2"/>
      <c r="AH309" s="2" t="s">
        <v>54</v>
      </c>
      <c r="AI309" s="3" t="s">
        <v>3569</v>
      </c>
      <c r="AJ309" s="3" t="s">
        <v>3570</v>
      </c>
      <c r="AK309" s="2" t="n">
        <v>639046</v>
      </c>
      <c r="AL309" s="3" t="s">
        <v>3571</v>
      </c>
      <c r="AM309" s="2"/>
      <c r="AN309" s="2"/>
      <c r="AO309" s="3"/>
      <c r="AP309" s="3"/>
      <c r="AQ309" s="2"/>
    </row>
    <row r="310" customFormat="false" ht="35.05" hidden="false" customHeight="false" outlineLevel="0" collapsed="false">
      <c r="A310" s="2" t="n">
        <v>309</v>
      </c>
      <c r="B310" s="2" t="s">
        <v>3572</v>
      </c>
      <c r="C310" s="2" t="s">
        <v>3378</v>
      </c>
      <c r="D310" s="2" t="s">
        <v>3379</v>
      </c>
      <c r="E310" s="2" t="s">
        <v>3573</v>
      </c>
      <c r="F310" s="2" t="s">
        <v>3574</v>
      </c>
      <c r="G310" s="3" t="s">
        <v>3575</v>
      </c>
      <c r="H310" s="2"/>
      <c r="I310" s="2" t="s">
        <v>74</v>
      </c>
      <c r="J310" s="3" t="s">
        <v>3576</v>
      </c>
      <c r="K310" s="2" t="s">
        <v>3048</v>
      </c>
      <c r="L310" s="2" t="s">
        <v>3049</v>
      </c>
      <c r="M310" s="2"/>
      <c r="N310" s="2"/>
      <c r="O310" s="2"/>
      <c r="P310" s="2" t="n">
        <v>36.9837</v>
      </c>
      <c r="Q310" s="2" t="n">
        <v>30.4629</v>
      </c>
      <c r="R310" s="2" t="s">
        <v>54</v>
      </c>
      <c r="S310" s="2" t="n">
        <v>-200</v>
      </c>
      <c r="T310" s="2" t="s">
        <v>194</v>
      </c>
      <c r="U310" s="2" t="s">
        <v>56</v>
      </c>
      <c r="V310" s="2" t="s">
        <v>78</v>
      </c>
      <c r="W310" s="2" t="s">
        <v>195</v>
      </c>
      <c r="X310" s="2" t="s">
        <v>289</v>
      </c>
      <c r="Y310" s="2" t="s">
        <v>3577</v>
      </c>
      <c r="Z310" s="2" t="s">
        <v>170</v>
      </c>
      <c r="AA310" s="2"/>
      <c r="AB310" s="2" t="s">
        <v>63</v>
      </c>
      <c r="AC310" s="2" t="s">
        <v>64</v>
      </c>
      <c r="AD310" s="2"/>
      <c r="AE310" s="3" t="s">
        <v>3578</v>
      </c>
      <c r="AF310" s="3" t="s">
        <v>3579</v>
      </c>
      <c r="AG310" s="2"/>
      <c r="AH310" s="2" t="s">
        <v>54</v>
      </c>
      <c r="AI310" s="3" t="s">
        <v>3580</v>
      </c>
      <c r="AJ310" s="3" t="s">
        <v>3581</v>
      </c>
      <c r="AK310" s="2" t="n">
        <v>639139</v>
      </c>
      <c r="AL310" s="3" t="s">
        <v>3582</v>
      </c>
      <c r="AM310" s="2"/>
      <c r="AN310" s="2"/>
      <c r="AO310" s="3"/>
      <c r="AP310" s="3"/>
      <c r="AQ310" s="2"/>
    </row>
    <row r="311" customFormat="false" ht="35.05" hidden="false" customHeight="false" outlineLevel="0" collapsed="false">
      <c r="A311" s="2" t="n">
        <v>310</v>
      </c>
      <c r="B311" s="2" t="s">
        <v>3583</v>
      </c>
      <c r="C311" s="2" t="s">
        <v>3378</v>
      </c>
      <c r="D311" s="2" t="s">
        <v>3389</v>
      </c>
      <c r="E311" s="2" t="s">
        <v>3584</v>
      </c>
      <c r="F311" s="2" t="s">
        <v>3585</v>
      </c>
      <c r="G311" s="3" t="s">
        <v>3586</v>
      </c>
      <c r="H311" s="2"/>
      <c r="I311" s="2" t="s">
        <v>74</v>
      </c>
      <c r="J311" s="3" t="s">
        <v>3587</v>
      </c>
      <c r="K311" s="2" t="s">
        <v>3048</v>
      </c>
      <c r="L311" s="2" t="s">
        <v>3049</v>
      </c>
      <c r="M311" s="2"/>
      <c r="N311" s="2"/>
      <c r="O311" s="2"/>
      <c r="P311" s="2" t="n">
        <v>36.9552</v>
      </c>
      <c r="Q311" s="2" t="n">
        <v>30.5959</v>
      </c>
      <c r="R311" s="2" t="s">
        <v>95</v>
      </c>
      <c r="S311" s="2" t="n">
        <v>431</v>
      </c>
      <c r="T311" s="2" t="s">
        <v>3514</v>
      </c>
      <c r="U311" s="2" t="s">
        <v>56</v>
      </c>
      <c r="V311" s="2" t="s">
        <v>57</v>
      </c>
      <c r="W311" s="2" t="s">
        <v>304</v>
      </c>
      <c r="X311" s="2" t="s">
        <v>141</v>
      </c>
      <c r="Y311" s="2" t="s">
        <v>3588</v>
      </c>
      <c r="Z311" s="2" t="s">
        <v>559</v>
      </c>
      <c r="AA311" s="2"/>
      <c r="AB311" s="2" t="s">
        <v>81</v>
      </c>
      <c r="AC311" s="2"/>
      <c r="AD311" s="2"/>
      <c r="AE311" s="3"/>
      <c r="AF311" s="3" t="s">
        <v>3589</v>
      </c>
      <c r="AG311" s="2"/>
      <c r="AH311" s="2" t="s">
        <v>113</v>
      </c>
      <c r="AI311" s="3" t="s">
        <v>3590</v>
      </c>
      <c r="AJ311" s="3" t="s">
        <v>3591</v>
      </c>
      <c r="AK311" s="2" t="n">
        <v>638833</v>
      </c>
      <c r="AL311" s="3" t="s">
        <v>3592</v>
      </c>
      <c r="AM311" s="2"/>
      <c r="AN311" s="2"/>
      <c r="AO311" s="3" t="s">
        <v>3593</v>
      </c>
      <c r="AP311" s="3" t="s">
        <v>3594</v>
      </c>
      <c r="AQ311" s="2" t="s">
        <v>151</v>
      </c>
    </row>
    <row r="312" customFormat="false" ht="35.05" hidden="false" customHeight="false" outlineLevel="0" collapsed="false">
      <c r="A312" s="2" t="n">
        <v>311</v>
      </c>
      <c r="B312" s="2" t="s">
        <v>3595</v>
      </c>
      <c r="C312" s="2" t="s">
        <v>3378</v>
      </c>
      <c r="D312" s="2" t="s">
        <v>3379</v>
      </c>
      <c r="E312" s="2" t="s">
        <v>3596</v>
      </c>
      <c r="F312" s="2" t="s">
        <v>3088</v>
      </c>
      <c r="G312" s="3" t="s">
        <v>3597</v>
      </c>
      <c r="H312" s="2" t="s">
        <v>3598</v>
      </c>
      <c r="I312" s="2" t="s">
        <v>123</v>
      </c>
      <c r="J312" s="3" t="s">
        <v>3599</v>
      </c>
      <c r="K312" s="2" t="s">
        <v>3048</v>
      </c>
      <c r="L312" s="2" t="s">
        <v>3049</v>
      </c>
      <c r="M312" s="2" t="s">
        <v>3598</v>
      </c>
      <c r="N312" s="2"/>
      <c r="O312" s="2" t="s">
        <v>53</v>
      </c>
      <c r="P312" s="2" t="n">
        <v>37.0809</v>
      </c>
      <c r="Q312" s="2" t="n">
        <v>30.1672</v>
      </c>
      <c r="R312" s="2" t="s">
        <v>54</v>
      </c>
      <c r="S312" s="2" t="n">
        <v>-189</v>
      </c>
      <c r="T312" s="2" t="s">
        <v>2213</v>
      </c>
      <c r="U312" s="2" t="s">
        <v>56</v>
      </c>
      <c r="V312" s="2" t="s">
        <v>57</v>
      </c>
      <c r="W312" s="2" t="s">
        <v>195</v>
      </c>
      <c r="X312" s="2" t="s">
        <v>289</v>
      </c>
      <c r="Y312" s="2"/>
      <c r="Z312" s="2" t="s">
        <v>170</v>
      </c>
      <c r="AA312" s="2"/>
      <c r="AB312" s="2" t="s">
        <v>63</v>
      </c>
      <c r="AC312" s="2" t="s">
        <v>64</v>
      </c>
      <c r="AD312" s="2"/>
      <c r="AE312" s="3"/>
      <c r="AF312" s="3" t="s">
        <v>3600</v>
      </c>
      <c r="AG312" s="2"/>
      <c r="AH312" s="2" t="s">
        <v>54</v>
      </c>
      <c r="AI312" s="3" t="s">
        <v>3601</v>
      </c>
      <c r="AJ312" s="3" t="s">
        <v>3602</v>
      </c>
      <c r="AK312" s="2" t="n">
        <v>638872</v>
      </c>
      <c r="AL312" s="3" t="s">
        <v>3603</v>
      </c>
      <c r="AM312" s="2"/>
      <c r="AN312" s="2"/>
      <c r="AO312" s="3"/>
      <c r="AP312" s="3"/>
      <c r="AQ312" s="2"/>
    </row>
    <row r="313" customFormat="false" ht="35.05" hidden="false" customHeight="false" outlineLevel="0" collapsed="false">
      <c r="A313" s="2" t="n">
        <v>312</v>
      </c>
      <c r="B313" s="2" t="s">
        <v>3604</v>
      </c>
      <c r="C313" s="2" t="s">
        <v>3378</v>
      </c>
      <c r="D313" s="2" t="s">
        <v>3379</v>
      </c>
      <c r="E313" s="2" t="s">
        <v>3605</v>
      </c>
      <c r="F313" s="2" t="s">
        <v>3606</v>
      </c>
      <c r="G313" s="3" t="s">
        <v>3607</v>
      </c>
      <c r="H313" s="2"/>
      <c r="I313" s="2" t="s">
        <v>74</v>
      </c>
      <c r="J313" s="3" t="s">
        <v>3608</v>
      </c>
      <c r="K313" s="2" t="s">
        <v>3048</v>
      </c>
      <c r="L313" s="2" t="s">
        <v>3049</v>
      </c>
      <c r="M313" s="2"/>
      <c r="N313" s="2"/>
      <c r="O313" s="2"/>
      <c r="P313" s="2" t="n">
        <v>37.1809</v>
      </c>
      <c r="Q313" s="2" t="n">
        <v>30.4711</v>
      </c>
      <c r="R313" s="2" t="s">
        <v>54</v>
      </c>
      <c r="S313" s="2" t="n">
        <v>-100</v>
      </c>
      <c r="T313" s="2" t="s">
        <v>2084</v>
      </c>
      <c r="U313" s="2" t="s">
        <v>56</v>
      </c>
      <c r="V313" s="2" t="s">
        <v>57</v>
      </c>
      <c r="W313" s="2" t="s">
        <v>195</v>
      </c>
      <c r="X313" s="2" t="s">
        <v>289</v>
      </c>
      <c r="Y313" s="2"/>
      <c r="Z313" s="2" t="s">
        <v>170</v>
      </c>
      <c r="AA313" s="2"/>
      <c r="AB313" s="2" t="s">
        <v>63</v>
      </c>
      <c r="AC313" s="2" t="s">
        <v>64</v>
      </c>
      <c r="AD313" s="2"/>
      <c r="AE313" s="3"/>
      <c r="AF313" s="3" t="s">
        <v>3609</v>
      </c>
      <c r="AG313" s="2"/>
      <c r="AH313" s="2" t="s">
        <v>54</v>
      </c>
      <c r="AI313" s="3" t="s">
        <v>3610</v>
      </c>
      <c r="AJ313" s="3" t="s">
        <v>3611</v>
      </c>
      <c r="AK313" s="2" t="n">
        <v>638761</v>
      </c>
      <c r="AL313" s="3" t="s">
        <v>3612</v>
      </c>
      <c r="AM313" s="2"/>
      <c r="AN313" s="2"/>
      <c r="AO313" s="3"/>
      <c r="AP313" s="3"/>
      <c r="AQ313" s="2"/>
    </row>
    <row r="314" customFormat="false" ht="23.85" hidden="false" customHeight="false" outlineLevel="0" collapsed="false">
      <c r="A314" s="2" t="n">
        <v>313</v>
      </c>
      <c r="B314" s="2" t="s">
        <v>3613</v>
      </c>
      <c r="C314" s="2" t="s">
        <v>3378</v>
      </c>
      <c r="D314" s="2" t="s">
        <v>3379</v>
      </c>
      <c r="E314" s="2" t="s">
        <v>3614</v>
      </c>
      <c r="F314" s="2" t="s">
        <v>3615</v>
      </c>
      <c r="G314" s="3" t="s">
        <v>3616</v>
      </c>
      <c r="H314" s="2"/>
      <c r="I314" s="2" t="s">
        <v>74</v>
      </c>
      <c r="J314" s="3" t="s">
        <v>3617</v>
      </c>
      <c r="K314" s="2" t="s">
        <v>3048</v>
      </c>
      <c r="L314" s="2" t="s">
        <v>3049</v>
      </c>
      <c r="M314" s="2"/>
      <c r="N314" s="2"/>
      <c r="O314" s="2"/>
      <c r="P314" s="2" t="n">
        <v>37.2394</v>
      </c>
      <c r="Q314" s="2" t="n">
        <v>30.2664</v>
      </c>
      <c r="R314" s="2" t="s">
        <v>95</v>
      </c>
      <c r="S314" s="2" t="n">
        <v>150</v>
      </c>
      <c r="T314" s="2" t="s">
        <v>1507</v>
      </c>
      <c r="U314" s="2" t="s">
        <v>56</v>
      </c>
      <c r="V314" s="2" t="s">
        <v>78</v>
      </c>
      <c r="W314" s="2" t="s">
        <v>140</v>
      </c>
      <c r="X314" s="2" t="s">
        <v>289</v>
      </c>
      <c r="Y314" s="2"/>
      <c r="Z314" s="2" t="s">
        <v>170</v>
      </c>
      <c r="AA314" s="2"/>
      <c r="AB314" s="2" t="s">
        <v>63</v>
      </c>
      <c r="AC314" s="2" t="s">
        <v>64</v>
      </c>
      <c r="AD314" s="2"/>
      <c r="AE314" s="3"/>
      <c r="AF314" s="3" t="s">
        <v>3618</v>
      </c>
      <c r="AG314" s="2"/>
      <c r="AH314" s="2" t="s">
        <v>113</v>
      </c>
      <c r="AI314" s="3" t="s">
        <v>3619</v>
      </c>
      <c r="AJ314" s="3" t="s">
        <v>3620</v>
      </c>
      <c r="AK314" s="2" t="n">
        <v>639029</v>
      </c>
      <c r="AL314" s="3" t="s">
        <v>3621</v>
      </c>
      <c r="AM314" s="2"/>
      <c r="AN314" s="2"/>
      <c r="AO314" s="3"/>
      <c r="AP314" s="3"/>
      <c r="AQ314" s="2"/>
    </row>
    <row r="315" customFormat="false" ht="23.85" hidden="false" customHeight="false" outlineLevel="0" collapsed="false">
      <c r="A315" s="2" t="n">
        <v>314</v>
      </c>
      <c r="B315" s="2" t="s">
        <v>3622</v>
      </c>
      <c r="C315" s="2" t="s">
        <v>3378</v>
      </c>
      <c r="D315" s="2" t="s">
        <v>3379</v>
      </c>
      <c r="E315" s="2" t="s">
        <v>3623</v>
      </c>
      <c r="F315" s="2" t="s">
        <v>3624</v>
      </c>
      <c r="G315" s="3"/>
      <c r="H315" s="2" t="s">
        <v>3625</v>
      </c>
      <c r="I315" s="2" t="s">
        <v>49</v>
      </c>
      <c r="J315" s="3" t="s">
        <v>3626</v>
      </c>
      <c r="K315" s="2" t="s">
        <v>3048</v>
      </c>
      <c r="L315" s="2" t="s">
        <v>3049</v>
      </c>
      <c r="M315" s="2"/>
      <c r="N315" s="2"/>
      <c r="O315" s="2" t="s">
        <v>53</v>
      </c>
      <c r="P315" s="2" t="n">
        <v>37.272</v>
      </c>
      <c r="Q315" s="2" t="n">
        <v>30.2599</v>
      </c>
      <c r="R315" s="2" t="s">
        <v>54</v>
      </c>
      <c r="S315" s="2" t="n">
        <v>150</v>
      </c>
      <c r="T315" s="2" t="s">
        <v>1507</v>
      </c>
      <c r="U315" s="2" t="s">
        <v>56</v>
      </c>
      <c r="V315" s="2" t="s">
        <v>78</v>
      </c>
      <c r="W315" s="2" t="s">
        <v>140</v>
      </c>
      <c r="X315" s="2" t="s">
        <v>289</v>
      </c>
      <c r="Y315" s="2"/>
      <c r="Z315" s="2" t="s">
        <v>170</v>
      </c>
      <c r="AA315" s="2"/>
      <c r="AB315" s="2" t="s">
        <v>63</v>
      </c>
      <c r="AC315" s="2" t="s">
        <v>64</v>
      </c>
      <c r="AD315" s="2"/>
      <c r="AE315" s="3"/>
      <c r="AF315" s="3" t="s">
        <v>3627</v>
      </c>
      <c r="AG315" s="2"/>
      <c r="AH315" s="2" t="s">
        <v>113</v>
      </c>
      <c r="AI315" s="3" t="s">
        <v>3628</v>
      </c>
      <c r="AJ315" s="3" t="s">
        <v>3629</v>
      </c>
      <c r="AK315" s="2" t="n">
        <v>638744</v>
      </c>
      <c r="AL315" s="3" t="s">
        <v>3630</v>
      </c>
      <c r="AM315" s="2"/>
      <c r="AN315" s="2"/>
      <c r="AO315" s="3"/>
      <c r="AP315" s="3"/>
      <c r="AQ315" s="2"/>
    </row>
    <row r="316" customFormat="false" ht="23.85" hidden="false" customHeight="false" outlineLevel="0" collapsed="false">
      <c r="A316" s="2" t="n">
        <v>315</v>
      </c>
      <c r="B316" s="2" t="s">
        <v>3631</v>
      </c>
      <c r="C316" s="2" t="s">
        <v>3378</v>
      </c>
      <c r="D316" s="2" t="s">
        <v>3379</v>
      </c>
      <c r="E316" s="2" t="s">
        <v>3632</v>
      </c>
      <c r="F316" s="2" t="s">
        <v>3633</v>
      </c>
      <c r="G316" s="3" t="s">
        <v>3634</v>
      </c>
      <c r="H316" s="2" t="s">
        <v>3635</v>
      </c>
      <c r="I316" s="2" t="s">
        <v>49</v>
      </c>
      <c r="J316" s="3" t="s">
        <v>3636</v>
      </c>
      <c r="K316" s="2" t="s">
        <v>3048</v>
      </c>
      <c r="L316" s="2" t="s">
        <v>3049</v>
      </c>
      <c r="M316" s="2"/>
      <c r="N316" s="2"/>
      <c r="O316" s="2" t="s">
        <v>53</v>
      </c>
      <c r="P316" s="2" t="n">
        <v>37.302</v>
      </c>
      <c r="Q316" s="2" t="n">
        <v>30.26</v>
      </c>
      <c r="R316" s="2" t="s">
        <v>54</v>
      </c>
      <c r="S316" s="2" t="n">
        <v>150</v>
      </c>
      <c r="T316" s="2" t="s">
        <v>1507</v>
      </c>
      <c r="U316" s="2" t="s">
        <v>56</v>
      </c>
      <c r="V316" s="2" t="s">
        <v>78</v>
      </c>
      <c r="W316" s="2" t="s">
        <v>140</v>
      </c>
      <c r="X316" s="2" t="s">
        <v>289</v>
      </c>
      <c r="Y316" s="2"/>
      <c r="Z316" s="2" t="s">
        <v>170</v>
      </c>
      <c r="AA316" s="2"/>
      <c r="AB316" s="2" t="s">
        <v>63</v>
      </c>
      <c r="AC316" s="2" t="s">
        <v>64</v>
      </c>
      <c r="AD316" s="2"/>
      <c r="AE316" s="3"/>
      <c r="AF316" s="3" t="s">
        <v>3637</v>
      </c>
      <c r="AG316" s="2"/>
      <c r="AH316" s="2" t="s">
        <v>54</v>
      </c>
      <c r="AI316" s="3"/>
      <c r="AJ316" s="3" t="s">
        <v>3638</v>
      </c>
      <c r="AK316" s="2" t="n">
        <v>639066</v>
      </c>
      <c r="AL316" s="3" t="s">
        <v>3639</v>
      </c>
      <c r="AM316" s="2"/>
      <c r="AN316" s="2"/>
      <c r="AO316" s="3"/>
      <c r="AP316" s="3"/>
      <c r="AQ316" s="2"/>
    </row>
    <row r="317" customFormat="false" ht="46.25" hidden="false" customHeight="false" outlineLevel="0" collapsed="false">
      <c r="A317" s="2" t="n">
        <v>316</v>
      </c>
      <c r="B317" s="2" t="s">
        <v>3640</v>
      </c>
      <c r="C317" s="2" t="s">
        <v>3378</v>
      </c>
      <c r="D317" s="2" t="s">
        <v>3379</v>
      </c>
      <c r="E317" s="2" t="s">
        <v>3641</v>
      </c>
      <c r="F317" s="2" t="s">
        <v>3642</v>
      </c>
      <c r="G317" s="3" t="s">
        <v>3643</v>
      </c>
      <c r="H317" s="2"/>
      <c r="I317" s="2" t="s">
        <v>74</v>
      </c>
      <c r="J317" s="3" t="s">
        <v>3644</v>
      </c>
      <c r="K317" s="2" t="s">
        <v>3341</v>
      </c>
      <c r="L317" s="2" t="s">
        <v>3049</v>
      </c>
      <c r="M317" s="2"/>
      <c r="N317" s="2"/>
      <c r="O317" s="2"/>
      <c r="P317" s="2" t="n">
        <v>37.3221</v>
      </c>
      <c r="Q317" s="2" t="n">
        <v>30.3143</v>
      </c>
      <c r="R317" s="2" t="s">
        <v>54</v>
      </c>
      <c r="S317" s="2" t="n">
        <v>-25</v>
      </c>
      <c r="T317" s="2" t="s">
        <v>3645</v>
      </c>
      <c r="U317" s="2" t="s">
        <v>139</v>
      </c>
      <c r="V317" s="2" t="s">
        <v>57</v>
      </c>
      <c r="W317" s="2" t="s">
        <v>140</v>
      </c>
      <c r="X317" s="2" t="s">
        <v>141</v>
      </c>
      <c r="Y317" s="2" t="s">
        <v>3646</v>
      </c>
      <c r="Z317" s="2" t="s">
        <v>143</v>
      </c>
      <c r="AA317" s="2"/>
      <c r="AB317" s="2" t="s">
        <v>63</v>
      </c>
      <c r="AC317" s="2" t="s">
        <v>64</v>
      </c>
      <c r="AD317" s="2"/>
      <c r="AE317" s="3" t="s">
        <v>3647</v>
      </c>
      <c r="AF317" s="3" t="s">
        <v>3648</v>
      </c>
      <c r="AG317" s="2" t="s">
        <v>3649</v>
      </c>
      <c r="AH317" s="2" t="s">
        <v>54</v>
      </c>
      <c r="AI317" s="3" t="s">
        <v>3650</v>
      </c>
      <c r="AJ317" s="3" t="s">
        <v>3651</v>
      </c>
      <c r="AK317" s="2" t="n">
        <v>638812</v>
      </c>
      <c r="AL317" s="3" t="s">
        <v>3652</v>
      </c>
      <c r="AM317" s="2"/>
      <c r="AN317" s="2"/>
      <c r="AO317" s="3"/>
      <c r="AP317" s="3"/>
      <c r="AQ317" s="2"/>
    </row>
    <row r="318" customFormat="false" ht="35.05" hidden="false" customHeight="false" outlineLevel="0" collapsed="false">
      <c r="A318" s="2" t="n">
        <v>317</v>
      </c>
      <c r="B318" s="2" t="s">
        <v>3653</v>
      </c>
      <c r="C318" s="2" t="s">
        <v>3378</v>
      </c>
      <c r="D318" s="2" t="s">
        <v>3379</v>
      </c>
      <c r="E318" s="2" t="s">
        <v>3654</v>
      </c>
      <c r="F318" s="2" t="s">
        <v>3655</v>
      </c>
      <c r="G318" s="3" t="s">
        <v>3656</v>
      </c>
      <c r="H318" s="2"/>
      <c r="I318" s="2" t="s">
        <v>74</v>
      </c>
      <c r="J318" s="3" t="s">
        <v>3657</v>
      </c>
      <c r="K318" s="2" t="s">
        <v>3341</v>
      </c>
      <c r="L318" s="2" t="s">
        <v>3049</v>
      </c>
      <c r="M318" s="2"/>
      <c r="N318" s="2"/>
      <c r="O318" s="2"/>
      <c r="P318" s="2" t="n">
        <v>37.375</v>
      </c>
      <c r="Q318" s="2" t="n">
        <v>30.3217</v>
      </c>
      <c r="R318" s="2" t="s">
        <v>95</v>
      </c>
      <c r="S318" s="2" t="n">
        <v>-319</v>
      </c>
      <c r="T318" s="2" t="s">
        <v>3658</v>
      </c>
      <c r="U318" s="2" t="s">
        <v>56</v>
      </c>
      <c r="V318" s="2" t="s">
        <v>245</v>
      </c>
      <c r="W318" s="2" t="s">
        <v>195</v>
      </c>
      <c r="X318" s="2" t="s">
        <v>246</v>
      </c>
      <c r="Y318" s="2" t="s">
        <v>3659</v>
      </c>
      <c r="Z318" s="2" t="s">
        <v>248</v>
      </c>
      <c r="AA318" s="2"/>
      <c r="AB318" s="2" t="s">
        <v>81</v>
      </c>
      <c r="AC318" s="2"/>
      <c r="AD318" s="2"/>
      <c r="AE318" s="3"/>
      <c r="AF318" s="3" t="s">
        <v>3660</v>
      </c>
      <c r="AG318" s="2"/>
      <c r="AH318" s="2" t="s">
        <v>113</v>
      </c>
      <c r="AI318" s="3" t="s">
        <v>3661</v>
      </c>
      <c r="AJ318" s="3" t="s">
        <v>3662</v>
      </c>
      <c r="AK318" s="2" t="n">
        <v>638946</v>
      </c>
      <c r="AL318" s="3" t="s">
        <v>3663</v>
      </c>
      <c r="AM318" s="2"/>
      <c r="AN318" s="2"/>
      <c r="AO318" s="3" t="s">
        <v>3664</v>
      </c>
      <c r="AP318" s="3" t="s">
        <v>3665</v>
      </c>
      <c r="AQ318" s="2" t="s">
        <v>151</v>
      </c>
    </row>
    <row r="319" customFormat="false" ht="35.05" hidden="false" customHeight="false" outlineLevel="0" collapsed="false">
      <c r="A319" s="2" t="n">
        <v>318</v>
      </c>
      <c r="B319" s="2" t="s">
        <v>3666</v>
      </c>
      <c r="C319" s="2" t="s">
        <v>3378</v>
      </c>
      <c r="D319" s="2" t="s">
        <v>3379</v>
      </c>
      <c r="E319" s="2" t="s">
        <v>3667</v>
      </c>
      <c r="F319" s="2" t="s">
        <v>3668</v>
      </c>
      <c r="G319" s="3" t="s">
        <v>3669</v>
      </c>
      <c r="H319" s="2"/>
      <c r="I319" s="2" t="s">
        <v>74</v>
      </c>
      <c r="J319" s="3" t="s">
        <v>3670</v>
      </c>
      <c r="K319" s="2" t="s">
        <v>3341</v>
      </c>
      <c r="L319" s="2" t="s">
        <v>3049</v>
      </c>
      <c r="M319" s="2"/>
      <c r="N319" s="2"/>
      <c r="O319" s="2"/>
      <c r="P319" s="2" t="n">
        <v>37.2643</v>
      </c>
      <c r="Q319" s="2" t="n">
        <v>30.5007</v>
      </c>
      <c r="R319" s="2" t="s">
        <v>54</v>
      </c>
      <c r="S319" s="2" t="n">
        <v>150</v>
      </c>
      <c r="T319" s="2" t="s">
        <v>1507</v>
      </c>
      <c r="U319" s="2" t="s">
        <v>56</v>
      </c>
      <c r="V319" s="2" t="s">
        <v>78</v>
      </c>
      <c r="W319" s="2" t="s">
        <v>140</v>
      </c>
      <c r="X319" s="2" t="s">
        <v>289</v>
      </c>
      <c r="Y319" s="2"/>
      <c r="Z319" s="2" t="s">
        <v>170</v>
      </c>
      <c r="AA319" s="2"/>
      <c r="AB319" s="2" t="s">
        <v>63</v>
      </c>
      <c r="AC319" s="2" t="s">
        <v>77</v>
      </c>
      <c r="AD319" s="2"/>
      <c r="AE319" s="3" t="s">
        <v>3671</v>
      </c>
      <c r="AF319" s="3" t="s">
        <v>3672</v>
      </c>
      <c r="AG319" s="2"/>
      <c r="AH319" s="2" t="s">
        <v>54</v>
      </c>
      <c r="AI319" s="3"/>
      <c r="AJ319" s="3" t="s">
        <v>3673</v>
      </c>
      <c r="AK319" s="2" t="n">
        <v>639036</v>
      </c>
      <c r="AL319" s="3" t="s">
        <v>3674</v>
      </c>
      <c r="AM319" s="2"/>
      <c r="AN319" s="2"/>
      <c r="AO319" s="3"/>
      <c r="AP319" s="3"/>
      <c r="AQ319" s="2"/>
    </row>
    <row r="320" customFormat="false" ht="23.85" hidden="false" customHeight="false" outlineLevel="0" collapsed="false">
      <c r="A320" s="2" t="n">
        <v>319</v>
      </c>
      <c r="B320" s="2" t="s">
        <v>3675</v>
      </c>
      <c r="C320" s="2" t="s">
        <v>3378</v>
      </c>
      <c r="D320" s="2" t="s">
        <v>3379</v>
      </c>
      <c r="E320" s="2" t="s">
        <v>3676</v>
      </c>
      <c r="F320" s="2" t="s">
        <v>3677</v>
      </c>
      <c r="G320" s="3"/>
      <c r="H320" s="2"/>
      <c r="I320" s="2" t="s">
        <v>74</v>
      </c>
      <c r="J320" s="3" t="s">
        <v>3678</v>
      </c>
      <c r="K320" s="2" t="s">
        <v>3341</v>
      </c>
      <c r="L320" s="2" t="s">
        <v>3049</v>
      </c>
      <c r="M320" s="2"/>
      <c r="N320" s="2"/>
      <c r="O320" s="2"/>
      <c r="P320" s="2" t="n">
        <v>37.2632</v>
      </c>
      <c r="Q320" s="2" t="n">
        <v>30.5887</v>
      </c>
      <c r="R320" s="2" t="s">
        <v>54</v>
      </c>
      <c r="S320" s="2" t="n">
        <v>-200</v>
      </c>
      <c r="T320" s="2" t="s">
        <v>194</v>
      </c>
      <c r="U320" s="2" t="s">
        <v>56</v>
      </c>
      <c r="V320" s="2" t="s">
        <v>78</v>
      </c>
      <c r="W320" s="2" t="s">
        <v>195</v>
      </c>
      <c r="X320" s="2" t="s">
        <v>289</v>
      </c>
      <c r="Y320" s="2"/>
      <c r="Z320" s="2" t="s">
        <v>170</v>
      </c>
      <c r="AA320" s="2"/>
      <c r="AB320" s="2" t="s">
        <v>63</v>
      </c>
      <c r="AC320" s="2" t="s">
        <v>64</v>
      </c>
      <c r="AD320" s="2"/>
      <c r="AE320" s="3"/>
      <c r="AF320" s="3" t="s">
        <v>3679</v>
      </c>
      <c r="AG320" s="2"/>
      <c r="AH320" s="2" t="s">
        <v>113</v>
      </c>
      <c r="AI320" s="3" t="s">
        <v>3680</v>
      </c>
      <c r="AJ320" s="3" t="s">
        <v>3681</v>
      </c>
      <c r="AK320" s="2" t="n">
        <v>639103</v>
      </c>
      <c r="AL320" s="3" t="s">
        <v>3682</v>
      </c>
      <c r="AM320" s="2"/>
      <c r="AN320" s="2"/>
      <c r="AO320" s="3"/>
      <c r="AP320" s="3"/>
      <c r="AQ320" s="2"/>
    </row>
    <row r="321" customFormat="false" ht="57.45" hidden="false" customHeight="false" outlineLevel="0" collapsed="false">
      <c r="A321" s="2" t="n">
        <v>320</v>
      </c>
      <c r="B321" s="2" t="s">
        <v>3683</v>
      </c>
      <c r="C321" s="2" t="s">
        <v>3378</v>
      </c>
      <c r="D321" s="2" t="s">
        <v>3379</v>
      </c>
      <c r="E321" s="2" t="s">
        <v>3684</v>
      </c>
      <c r="F321" s="2" t="s">
        <v>3685</v>
      </c>
      <c r="G321" s="3" t="s">
        <v>3686</v>
      </c>
      <c r="H321" s="2" t="s">
        <v>3687</v>
      </c>
      <c r="I321" s="2" t="s">
        <v>49</v>
      </c>
      <c r="J321" s="3" t="s">
        <v>3688</v>
      </c>
      <c r="K321" s="2" t="s">
        <v>3341</v>
      </c>
      <c r="L321" s="2" t="s">
        <v>3049</v>
      </c>
      <c r="M321" s="2"/>
      <c r="N321" s="2"/>
      <c r="O321" s="2" t="s">
        <v>53</v>
      </c>
      <c r="P321" s="2" t="n">
        <v>37.3075</v>
      </c>
      <c r="Q321" s="2" t="n">
        <v>30.0093</v>
      </c>
      <c r="R321" s="2" t="s">
        <v>54</v>
      </c>
      <c r="S321" s="2" t="n">
        <v>-25</v>
      </c>
      <c r="T321" s="2" t="s">
        <v>3645</v>
      </c>
      <c r="U321" s="2" t="s">
        <v>139</v>
      </c>
      <c r="V321" s="2" t="s">
        <v>57</v>
      </c>
      <c r="W321" s="2" t="s">
        <v>140</v>
      </c>
      <c r="X321" s="2" t="s">
        <v>141</v>
      </c>
      <c r="Y321" s="2" t="s">
        <v>3646</v>
      </c>
      <c r="Z321" s="2" t="s">
        <v>143</v>
      </c>
      <c r="AA321" s="2"/>
      <c r="AB321" s="2" t="s">
        <v>63</v>
      </c>
      <c r="AC321" s="2" t="s">
        <v>64</v>
      </c>
      <c r="AD321" s="2"/>
      <c r="AE321" s="3" t="s">
        <v>3689</v>
      </c>
      <c r="AF321" s="3" t="s">
        <v>3690</v>
      </c>
      <c r="AG321" s="2" t="s">
        <v>3649</v>
      </c>
      <c r="AH321" s="2" t="s">
        <v>54</v>
      </c>
      <c r="AI321" s="3" t="s">
        <v>3691</v>
      </c>
      <c r="AJ321" s="3" t="s">
        <v>3692</v>
      </c>
      <c r="AK321" s="2" t="n">
        <v>639015</v>
      </c>
      <c r="AL321" s="3" t="s">
        <v>3693</v>
      </c>
      <c r="AM321" s="2"/>
      <c r="AN321" s="2"/>
      <c r="AO321" s="3"/>
      <c r="AP321" s="3"/>
      <c r="AQ321" s="2"/>
    </row>
    <row r="322" customFormat="false" ht="23.85" hidden="false" customHeight="false" outlineLevel="0" collapsed="false">
      <c r="A322" s="2" t="n">
        <v>321</v>
      </c>
      <c r="B322" s="2" t="s">
        <v>3694</v>
      </c>
      <c r="C322" s="2" t="s">
        <v>3378</v>
      </c>
      <c r="D322" s="2" t="s">
        <v>3379</v>
      </c>
      <c r="E322" s="2" t="s">
        <v>3695</v>
      </c>
      <c r="F322" s="2" t="s">
        <v>3696</v>
      </c>
      <c r="G322" s="3"/>
      <c r="H322" s="2"/>
      <c r="I322" s="2" t="s">
        <v>74</v>
      </c>
      <c r="J322" s="3" t="s">
        <v>3697</v>
      </c>
      <c r="K322" s="2" t="s">
        <v>3341</v>
      </c>
      <c r="L322" s="2" t="s">
        <v>3049</v>
      </c>
      <c r="M322" s="2"/>
      <c r="N322" s="2"/>
      <c r="O322" s="2"/>
      <c r="P322" s="2" t="n">
        <v>37.4599</v>
      </c>
      <c r="Q322" s="2" t="n">
        <v>30.4088</v>
      </c>
      <c r="R322" s="2" t="s">
        <v>95</v>
      </c>
      <c r="S322" s="2" t="n">
        <v>150</v>
      </c>
      <c r="T322" s="2" t="s">
        <v>1507</v>
      </c>
      <c r="U322" s="2" t="s">
        <v>56</v>
      </c>
      <c r="V322" s="2" t="s">
        <v>78</v>
      </c>
      <c r="W322" s="2" t="s">
        <v>140</v>
      </c>
      <c r="X322" s="2" t="s">
        <v>289</v>
      </c>
      <c r="Y322" s="2"/>
      <c r="Z322" s="2" t="s">
        <v>170</v>
      </c>
      <c r="AA322" s="2"/>
      <c r="AB322" s="2" t="s">
        <v>63</v>
      </c>
      <c r="AC322" s="2" t="s">
        <v>64</v>
      </c>
      <c r="AD322" s="2"/>
      <c r="AE322" s="3"/>
      <c r="AF322" s="3" t="s">
        <v>3698</v>
      </c>
      <c r="AG322" s="2"/>
      <c r="AH322" s="2" t="s">
        <v>113</v>
      </c>
      <c r="AI322" s="3" t="s">
        <v>3699</v>
      </c>
      <c r="AJ322" s="3" t="s">
        <v>3700</v>
      </c>
      <c r="AK322" s="2" t="n">
        <v>638929</v>
      </c>
      <c r="AL322" s="3" t="s">
        <v>3701</v>
      </c>
      <c r="AM322" s="2"/>
      <c r="AN322" s="2"/>
      <c r="AO322" s="3"/>
      <c r="AP322" s="3"/>
      <c r="AQ322" s="2"/>
    </row>
    <row r="323" customFormat="false" ht="23.85" hidden="false" customHeight="false" outlineLevel="0" collapsed="false">
      <c r="A323" s="2" t="n">
        <v>322</v>
      </c>
      <c r="B323" s="2" t="s">
        <v>3702</v>
      </c>
      <c r="C323" s="2" t="s">
        <v>3378</v>
      </c>
      <c r="D323" s="2" t="s">
        <v>3379</v>
      </c>
      <c r="E323" s="2" t="s">
        <v>3703</v>
      </c>
      <c r="F323" s="2" t="s">
        <v>3704</v>
      </c>
      <c r="G323" s="3"/>
      <c r="H323" s="2"/>
      <c r="I323" s="2" t="s">
        <v>74</v>
      </c>
      <c r="J323" s="3" t="s">
        <v>3705</v>
      </c>
      <c r="K323" s="2" t="s">
        <v>3341</v>
      </c>
      <c r="L323" s="2" t="s">
        <v>3049</v>
      </c>
      <c r="M323" s="2"/>
      <c r="N323" s="2"/>
      <c r="O323" s="2"/>
      <c r="P323" s="2" t="n">
        <v>37.437</v>
      </c>
      <c r="Q323" s="2" t="n">
        <v>30.3516</v>
      </c>
      <c r="R323" s="2" t="s">
        <v>95</v>
      </c>
      <c r="S323" s="2" t="n">
        <v>150</v>
      </c>
      <c r="T323" s="2" t="s">
        <v>1507</v>
      </c>
      <c r="U323" s="2" t="s">
        <v>56</v>
      </c>
      <c r="V323" s="2" t="s">
        <v>78</v>
      </c>
      <c r="W323" s="2" t="s">
        <v>140</v>
      </c>
      <c r="X323" s="2" t="s">
        <v>289</v>
      </c>
      <c r="Y323" s="2"/>
      <c r="Z323" s="2" t="s">
        <v>170</v>
      </c>
      <c r="AA323" s="2"/>
      <c r="AB323" s="2" t="s">
        <v>63</v>
      </c>
      <c r="AC323" s="2" t="s">
        <v>64</v>
      </c>
      <c r="AD323" s="2"/>
      <c r="AE323" s="3"/>
      <c r="AF323" s="3" t="s">
        <v>3706</v>
      </c>
      <c r="AG323" s="2"/>
      <c r="AH323" s="2" t="s">
        <v>113</v>
      </c>
      <c r="AI323" s="3" t="s">
        <v>3707</v>
      </c>
      <c r="AJ323" s="3" t="s">
        <v>3708</v>
      </c>
      <c r="AK323" s="2" t="n">
        <v>638928</v>
      </c>
      <c r="AL323" s="3" t="s">
        <v>3709</v>
      </c>
      <c r="AM323" s="2"/>
      <c r="AN323" s="2"/>
      <c r="AO323" s="3"/>
      <c r="AP323" s="3"/>
      <c r="AQ323" s="2"/>
    </row>
    <row r="324" customFormat="false" ht="23.85" hidden="false" customHeight="false" outlineLevel="0" collapsed="false">
      <c r="A324" s="2" t="n">
        <v>323</v>
      </c>
      <c r="B324" s="2" t="s">
        <v>3710</v>
      </c>
      <c r="C324" s="2" t="s">
        <v>3378</v>
      </c>
      <c r="D324" s="2" t="s">
        <v>3379</v>
      </c>
      <c r="E324" s="2" t="s">
        <v>3711</v>
      </c>
      <c r="F324" s="2" t="s">
        <v>3712</v>
      </c>
      <c r="G324" s="3" t="s">
        <v>3713</v>
      </c>
      <c r="H324" s="2"/>
      <c r="I324" s="2" t="s">
        <v>74</v>
      </c>
      <c r="J324" s="3" t="s">
        <v>3714</v>
      </c>
      <c r="K324" s="2" t="s">
        <v>3341</v>
      </c>
      <c r="L324" s="2" t="s">
        <v>3049</v>
      </c>
      <c r="M324" s="2"/>
      <c r="N324" s="2"/>
      <c r="O324" s="2"/>
      <c r="P324" s="2" t="n">
        <v>37.5124</v>
      </c>
      <c r="Q324" s="2" t="n">
        <v>30.6016</v>
      </c>
      <c r="R324" s="2" t="s">
        <v>95</v>
      </c>
      <c r="S324" s="2" t="n">
        <v>-100</v>
      </c>
      <c r="T324" s="2" t="s">
        <v>2084</v>
      </c>
      <c r="U324" s="2" t="s">
        <v>56</v>
      </c>
      <c r="V324" s="2" t="s">
        <v>78</v>
      </c>
      <c r="W324" s="2" t="s">
        <v>195</v>
      </c>
      <c r="X324" s="2" t="s">
        <v>289</v>
      </c>
      <c r="Y324" s="2"/>
      <c r="Z324" s="2" t="s">
        <v>170</v>
      </c>
      <c r="AA324" s="2"/>
      <c r="AB324" s="2" t="s">
        <v>63</v>
      </c>
      <c r="AC324" s="2" t="s">
        <v>64</v>
      </c>
      <c r="AD324" s="2"/>
      <c r="AE324" s="3"/>
      <c r="AF324" s="3" t="s">
        <v>3715</v>
      </c>
      <c r="AG324" s="2"/>
      <c r="AH324" s="2" t="s">
        <v>263</v>
      </c>
      <c r="AI324" s="3" t="s">
        <v>3716</v>
      </c>
      <c r="AJ324" s="3" t="s">
        <v>3717</v>
      </c>
      <c r="AK324" s="2" t="n">
        <v>638913</v>
      </c>
      <c r="AL324" s="3" t="s">
        <v>3718</v>
      </c>
      <c r="AM324" s="2"/>
      <c r="AN324" s="2"/>
      <c r="AO324" s="3"/>
      <c r="AP324" s="3"/>
      <c r="AQ324" s="2"/>
    </row>
    <row r="325" customFormat="false" ht="23.85" hidden="false" customHeight="false" outlineLevel="0" collapsed="false">
      <c r="A325" s="2" t="n">
        <v>324</v>
      </c>
      <c r="B325" s="2" t="s">
        <v>3719</v>
      </c>
      <c r="C325" s="2" t="s">
        <v>3378</v>
      </c>
      <c r="D325" s="2" t="s">
        <v>3379</v>
      </c>
      <c r="E325" s="2" t="s">
        <v>3720</v>
      </c>
      <c r="F325" s="2" t="s">
        <v>3721</v>
      </c>
      <c r="G325" s="3" t="s">
        <v>3722</v>
      </c>
      <c r="H325" s="2"/>
      <c r="I325" s="2" t="s">
        <v>74</v>
      </c>
      <c r="J325" s="3" t="s">
        <v>3723</v>
      </c>
      <c r="K325" s="2" t="s">
        <v>3341</v>
      </c>
      <c r="L325" s="2" t="s">
        <v>3049</v>
      </c>
      <c r="M325" s="2"/>
      <c r="N325" s="2"/>
      <c r="O325" s="2"/>
      <c r="P325" s="2" t="n">
        <v>37.4988</v>
      </c>
      <c r="Q325" s="2" t="n">
        <v>30.689</v>
      </c>
      <c r="R325" s="2" t="s">
        <v>54</v>
      </c>
      <c r="S325" s="2" t="n">
        <v>-100</v>
      </c>
      <c r="T325" s="2" t="s">
        <v>2084</v>
      </c>
      <c r="U325" s="2" t="s">
        <v>56</v>
      </c>
      <c r="V325" s="2" t="s">
        <v>57</v>
      </c>
      <c r="W325" s="2" t="s">
        <v>195</v>
      </c>
      <c r="X325" s="2" t="s">
        <v>289</v>
      </c>
      <c r="Y325" s="2"/>
      <c r="Z325" s="2" t="s">
        <v>170</v>
      </c>
      <c r="AA325" s="2"/>
      <c r="AB325" s="2" t="s">
        <v>63</v>
      </c>
      <c r="AC325" s="2" t="s">
        <v>64</v>
      </c>
      <c r="AD325" s="2"/>
      <c r="AE325" s="3"/>
      <c r="AF325" s="3" t="s">
        <v>3724</v>
      </c>
      <c r="AG325" s="2" t="s">
        <v>3725</v>
      </c>
      <c r="AH325" s="2" t="s">
        <v>54</v>
      </c>
      <c r="AI325" s="3" t="s">
        <v>3726</v>
      </c>
      <c r="AJ325" s="3" t="s">
        <v>3727</v>
      </c>
      <c r="AK325" s="2" t="n">
        <v>638814</v>
      </c>
      <c r="AL325" s="3" t="s">
        <v>3728</v>
      </c>
      <c r="AM325" s="2"/>
      <c r="AN325" s="2"/>
      <c r="AO325" s="3"/>
      <c r="AP325" s="3"/>
      <c r="AQ325" s="2"/>
    </row>
    <row r="326" customFormat="false" ht="35.05" hidden="false" customHeight="false" outlineLevel="0" collapsed="false">
      <c r="A326" s="2" t="n">
        <v>325</v>
      </c>
      <c r="B326" s="2" t="s">
        <v>3729</v>
      </c>
      <c r="C326" s="2" t="s">
        <v>3378</v>
      </c>
      <c r="D326" s="2" t="s">
        <v>3379</v>
      </c>
      <c r="E326" s="2" t="s">
        <v>3730</v>
      </c>
      <c r="F326" s="2" t="s">
        <v>3731</v>
      </c>
      <c r="G326" s="3" t="s">
        <v>3732</v>
      </c>
      <c r="H326" s="2"/>
      <c r="I326" s="2" t="s">
        <v>74</v>
      </c>
      <c r="J326" s="3" t="s">
        <v>3733</v>
      </c>
      <c r="K326" s="2" t="s">
        <v>3341</v>
      </c>
      <c r="L326" s="2" t="s">
        <v>3049</v>
      </c>
      <c r="M326" s="2"/>
      <c r="N326" s="2"/>
      <c r="O326" s="2"/>
      <c r="P326" s="2" t="n">
        <v>37.5053</v>
      </c>
      <c r="Q326" s="2" t="n">
        <v>30.1194</v>
      </c>
      <c r="R326" s="2" t="s">
        <v>95</v>
      </c>
      <c r="S326" s="2" t="n">
        <v>-189</v>
      </c>
      <c r="T326" s="2" t="s">
        <v>2213</v>
      </c>
      <c r="U326" s="2" t="s">
        <v>56</v>
      </c>
      <c r="V326" s="2" t="s">
        <v>57</v>
      </c>
      <c r="W326" s="2" t="s">
        <v>195</v>
      </c>
      <c r="X326" s="2" t="s">
        <v>289</v>
      </c>
      <c r="Y326" s="2"/>
      <c r="Z326" s="2" t="s">
        <v>170</v>
      </c>
      <c r="AA326" s="2"/>
      <c r="AB326" s="2" t="s">
        <v>63</v>
      </c>
      <c r="AC326" s="2" t="s">
        <v>64</v>
      </c>
      <c r="AD326" s="2"/>
      <c r="AE326" s="3"/>
      <c r="AF326" s="3" t="s">
        <v>3734</v>
      </c>
      <c r="AG326" s="2"/>
      <c r="AH326" s="2" t="s">
        <v>263</v>
      </c>
      <c r="AI326" s="3" t="s">
        <v>3735</v>
      </c>
      <c r="AJ326" s="3" t="s">
        <v>3736</v>
      </c>
      <c r="AK326" s="2" t="n">
        <v>638936</v>
      </c>
      <c r="AL326" s="3" t="s">
        <v>3737</v>
      </c>
      <c r="AM326" s="2"/>
      <c r="AN326" s="2"/>
      <c r="AO326" s="3"/>
      <c r="AP326" s="3"/>
      <c r="AQ326" s="2"/>
    </row>
    <row r="327" customFormat="false" ht="23.85" hidden="false" customHeight="false" outlineLevel="0" collapsed="false">
      <c r="A327" s="2" t="n">
        <v>326</v>
      </c>
      <c r="B327" s="2" t="s">
        <v>3738</v>
      </c>
      <c r="C327" s="2" t="s">
        <v>3378</v>
      </c>
      <c r="D327" s="2" t="s">
        <v>3379</v>
      </c>
      <c r="E327" s="2" t="s">
        <v>3739</v>
      </c>
      <c r="F327" s="2" t="s">
        <v>3740</v>
      </c>
      <c r="G327" s="3" t="s">
        <v>3741</v>
      </c>
      <c r="H327" s="2" t="s">
        <v>3742</v>
      </c>
      <c r="I327" s="2" t="s">
        <v>49</v>
      </c>
      <c r="J327" s="3" t="s">
        <v>3743</v>
      </c>
      <c r="K327" s="2" t="s">
        <v>3341</v>
      </c>
      <c r="L327" s="2" t="s">
        <v>3049</v>
      </c>
      <c r="M327" s="2"/>
      <c r="N327" s="2"/>
      <c r="O327" s="2" t="s">
        <v>53</v>
      </c>
      <c r="P327" s="2" t="n">
        <v>37.7157</v>
      </c>
      <c r="Q327" s="2" t="n">
        <v>30.0908</v>
      </c>
      <c r="R327" s="2" t="s">
        <v>95</v>
      </c>
      <c r="S327" s="2" t="n">
        <v>-189</v>
      </c>
      <c r="T327" s="2" t="s">
        <v>2213</v>
      </c>
      <c r="U327" s="2" t="s">
        <v>56</v>
      </c>
      <c r="V327" s="2" t="s">
        <v>57</v>
      </c>
      <c r="W327" s="2" t="s">
        <v>195</v>
      </c>
      <c r="X327" s="2" t="s">
        <v>289</v>
      </c>
      <c r="Y327" s="2"/>
      <c r="Z327" s="2" t="s">
        <v>170</v>
      </c>
      <c r="AA327" s="2"/>
      <c r="AB327" s="2" t="s">
        <v>63</v>
      </c>
      <c r="AC327" s="2" t="s">
        <v>64</v>
      </c>
      <c r="AD327" s="2"/>
      <c r="AE327" s="3"/>
      <c r="AF327" s="3" t="s">
        <v>3744</v>
      </c>
      <c r="AG327" s="2"/>
      <c r="AH327" s="2" t="s">
        <v>113</v>
      </c>
      <c r="AI327" s="3" t="s">
        <v>3745</v>
      </c>
      <c r="AJ327" s="3" t="s">
        <v>3746</v>
      </c>
      <c r="AK327" s="2" t="n">
        <v>638973</v>
      </c>
      <c r="AL327" s="3" t="s">
        <v>3747</v>
      </c>
      <c r="AM327" s="2"/>
      <c r="AN327" s="2"/>
      <c r="AO327" s="3"/>
      <c r="AP327" s="3"/>
      <c r="AQ327" s="2"/>
    </row>
    <row r="328" customFormat="false" ht="57.45" hidden="false" customHeight="false" outlineLevel="0" collapsed="false">
      <c r="A328" s="2" t="n">
        <v>327</v>
      </c>
      <c r="B328" s="2" t="s">
        <v>3748</v>
      </c>
      <c r="C328" s="2" t="s">
        <v>3378</v>
      </c>
      <c r="D328" s="2" t="s">
        <v>3379</v>
      </c>
      <c r="E328" s="2" t="s">
        <v>3749</v>
      </c>
      <c r="F328" s="2" t="s">
        <v>3750</v>
      </c>
      <c r="G328" s="3" t="s">
        <v>3751</v>
      </c>
      <c r="H328" s="2"/>
      <c r="I328" s="2" t="s">
        <v>74</v>
      </c>
      <c r="J328" s="3" t="s">
        <v>3752</v>
      </c>
      <c r="K328" s="2" t="s">
        <v>3341</v>
      </c>
      <c r="L328" s="2" t="s">
        <v>3049</v>
      </c>
      <c r="M328" s="2"/>
      <c r="N328" s="2"/>
      <c r="O328" s="2"/>
      <c r="P328" s="2" t="n">
        <v>37.6729</v>
      </c>
      <c r="Q328" s="2" t="n">
        <v>30.5142</v>
      </c>
      <c r="R328" s="2" t="s">
        <v>54</v>
      </c>
      <c r="S328" s="2" t="n">
        <v>-200</v>
      </c>
      <c r="T328" s="2" t="s">
        <v>194</v>
      </c>
      <c r="U328" s="2" t="s">
        <v>56</v>
      </c>
      <c r="V328" s="2" t="s">
        <v>78</v>
      </c>
      <c r="W328" s="2" t="s">
        <v>195</v>
      </c>
      <c r="X328" s="2" t="s">
        <v>289</v>
      </c>
      <c r="Y328" s="2"/>
      <c r="Z328" s="2" t="s">
        <v>170</v>
      </c>
      <c r="AA328" s="2"/>
      <c r="AB328" s="2" t="s">
        <v>63</v>
      </c>
      <c r="AC328" s="2" t="s">
        <v>452</v>
      </c>
      <c r="AD328" s="2" t="s">
        <v>3753</v>
      </c>
      <c r="AE328" s="3" t="s">
        <v>3754</v>
      </c>
      <c r="AF328" s="3" t="s">
        <v>3755</v>
      </c>
      <c r="AG328" s="2"/>
      <c r="AH328" s="2" t="s">
        <v>54</v>
      </c>
      <c r="AI328" s="3" t="s">
        <v>3756</v>
      </c>
      <c r="AJ328" s="3" t="s">
        <v>3757</v>
      </c>
      <c r="AK328" s="2" t="n">
        <v>639087</v>
      </c>
      <c r="AL328" s="3" t="s">
        <v>3758</v>
      </c>
      <c r="AM328" s="2"/>
      <c r="AN328" s="2"/>
      <c r="AO328" s="3"/>
      <c r="AP328" s="3"/>
      <c r="AQ328" s="2"/>
    </row>
    <row r="329" customFormat="false" ht="35.05" hidden="false" customHeight="false" outlineLevel="0" collapsed="false">
      <c r="A329" s="2" t="n">
        <v>328</v>
      </c>
      <c r="B329" s="2" t="s">
        <v>3759</v>
      </c>
      <c r="C329" s="2" t="s">
        <v>3378</v>
      </c>
      <c r="D329" s="2" t="s">
        <v>3379</v>
      </c>
      <c r="E329" s="2" t="s">
        <v>3760</v>
      </c>
      <c r="F329" s="2" t="s">
        <v>3761</v>
      </c>
      <c r="G329" s="3" t="s">
        <v>3762</v>
      </c>
      <c r="H329" s="2"/>
      <c r="I329" s="2" t="s">
        <v>74</v>
      </c>
      <c r="J329" s="3" t="s">
        <v>3763</v>
      </c>
      <c r="K329" s="2" t="s">
        <v>3764</v>
      </c>
      <c r="L329" s="2" t="s">
        <v>3049</v>
      </c>
      <c r="M329" s="2"/>
      <c r="N329" s="2"/>
      <c r="O329" s="2"/>
      <c r="P329" s="2" t="n">
        <v>37.5775</v>
      </c>
      <c r="Q329" s="2" t="n">
        <v>30.984</v>
      </c>
      <c r="R329" s="2" t="s">
        <v>54</v>
      </c>
      <c r="S329" s="2" t="n">
        <v>-200</v>
      </c>
      <c r="T329" s="2" t="s">
        <v>194</v>
      </c>
      <c r="U329" s="2" t="s">
        <v>56</v>
      </c>
      <c r="V329" s="2" t="s">
        <v>78</v>
      </c>
      <c r="W329" s="2" t="s">
        <v>195</v>
      </c>
      <c r="X329" s="2" t="s">
        <v>289</v>
      </c>
      <c r="Y329" s="2"/>
      <c r="Z329" s="2" t="s">
        <v>170</v>
      </c>
      <c r="AA329" s="2"/>
      <c r="AB329" s="2" t="s">
        <v>63</v>
      </c>
      <c r="AC329" s="2" t="s">
        <v>64</v>
      </c>
      <c r="AD329" s="2"/>
      <c r="AE329" s="3"/>
      <c r="AF329" s="3" t="s">
        <v>3765</v>
      </c>
      <c r="AG329" s="2"/>
      <c r="AH329" s="2" t="s">
        <v>54</v>
      </c>
      <c r="AI329" s="3"/>
      <c r="AJ329" s="3" t="s">
        <v>3766</v>
      </c>
      <c r="AK329" s="2" t="n">
        <v>638733</v>
      </c>
      <c r="AL329" s="3" t="s">
        <v>3767</v>
      </c>
      <c r="AM329" s="2"/>
      <c r="AN329" s="2"/>
      <c r="AO329" s="3"/>
      <c r="AP329" s="3"/>
      <c r="AQ329" s="2"/>
    </row>
    <row r="330" customFormat="false" ht="23.85" hidden="false" customHeight="false" outlineLevel="0" collapsed="false">
      <c r="A330" s="2" t="n">
        <v>329</v>
      </c>
      <c r="B330" s="2" t="s">
        <v>3768</v>
      </c>
      <c r="C330" s="2" t="s">
        <v>3378</v>
      </c>
      <c r="D330" s="2" t="s">
        <v>3379</v>
      </c>
      <c r="E330" s="2" t="s">
        <v>3769</v>
      </c>
      <c r="F330" s="2" t="s">
        <v>3770</v>
      </c>
      <c r="G330" s="3" t="s">
        <v>3771</v>
      </c>
      <c r="H330" s="2"/>
      <c r="I330" s="2" t="s">
        <v>74</v>
      </c>
      <c r="J330" s="3" t="s">
        <v>3772</v>
      </c>
      <c r="K330" s="2" t="s">
        <v>3764</v>
      </c>
      <c r="L330" s="2" t="s">
        <v>3049</v>
      </c>
      <c r="M330" s="2"/>
      <c r="N330" s="2"/>
      <c r="O330" s="2"/>
      <c r="P330" s="2" t="n">
        <v>37.7004</v>
      </c>
      <c r="Q330" s="2" t="n">
        <v>31.4013</v>
      </c>
      <c r="R330" s="2" t="s">
        <v>95</v>
      </c>
      <c r="S330" s="2" t="n">
        <v>-100</v>
      </c>
      <c r="T330" s="2" t="s">
        <v>2084</v>
      </c>
      <c r="U330" s="2" t="s">
        <v>56</v>
      </c>
      <c r="V330" s="2" t="s">
        <v>57</v>
      </c>
      <c r="W330" s="2" t="s">
        <v>195</v>
      </c>
      <c r="X330" s="2" t="s">
        <v>289</v>
      </c>
      <c r="Y330" s="2"/>
      <c r="Z330" s="2" t="s">
        <v>170</v>
      </c>
      <c r="AA330" s="2"/>
      <c r="AB330" s="2" t="s">
        <v>63</v>
      </c>
      <c r="AC330" s="2" t="s">
        <v>64</v>
      </c>
      <c r="AD330" s="2"/>
      <c r="AE330" s="3"/>
      <c r="AF330" s="3" t="s">
        <v>3773</v>
      </c>
      <c r="AG330" s="2"/>
      <c r="AH330" s="2" t="s">
        <v>113</v>
      </c>
      <c r="AI330" s="3" t="s">
        <v>3774</v>
      </c>
      <c r="AJ330" s="3" t="s">
        <v>3775</v>
      </c>
      <c r="AK330" s="2" t="n">
        <v>639146</v>
      </c>
      <c r="AL330" s="3" t="s">
        <v>3776</v>
      </c>
      <c r="AM330" s="2"/>
      <c r="AN330" s="2"/>
      <c r="AO330" s="3"/>
      <c r="AP330" s="3"/>
      <c r="AQ330" s="2"/>
    </row>
    <row r="331" customFormat="false" ht="23.85" hidden="false" customHeight="false" outlineLevel="0" collapsed="false">
      <c r="A331" s="2" t="n">
        <v>330</v>
      </c>
      <c r="B331" s="2" t="s">
        <v>3777</v>
      </c>
      <c r="C331" s="2" t="s">
        <v>3378</v>
      </c>
      <c r="D331" s="2" t="s">
        <v>3379</v>
      </c>
      <c r="E331" s="2" t="s">
        <v>3778</v>
      </c>
      <c r="F331" s="2" t="s">
        <v>3779</v>
      </c>
      <c r="G331" s="3" t="s">
        <v>3780</v>
      </c>
      <c r="H331" s="2"/>
      <c r="I331" s="2" t="s">
        <v>74</v>
      </c>
      <c r="J331" s="3" t="s">
        <v>3781</v>
      </c>
      <c r="K331" s="2" t="s">
        <v>3764</v>
      </c>
      <c r="L331" s="2" t="s">
        <v>3049</v>
      </c>
      <c r="M331" s="2"/>
      <c r="N331" s="2"/>
      <c r="O331" s="2"/>
      <c r="P331" s="2" t="n">
        <v>37.8003</v>
      </c>
      <c r="Q331" s="2" t="n">
        <v>31.0612</v>
      </c>
      <c r="R331" s="2" t="s">
        <v>95</v>
      </c>
      <c r="S331" s="2" t="n">
        <v>-100</v>
      </c>
      <c r="T331" s="2" t="s">
        <v>2084</v>
      </c>
      <c r="U331" s="2" t="s">
        <v>56</v>
      </c>
      <c r="V331" s="2" t="s">
        <v>57</v>
      </c>
      <c r="W331" s="2" t="s">
        <v>195</v>
      </c>
      <c r="X331" s="2" t="s">
        <v>289</v>
      </c>
      <c r="Y331" s="2"/>
      <c r="Z331" s="2" t="s">
        <v>170</v>
      </c>
      <c r="AA331" s="2"/>
      <c r="AB331" s="2" t="s">
        <v>63</v>
      </c>
      <c r="AC331" s="2" t="s">
        <v>64</v>
      </c>
      <c r="AD331" s="2"/>
      <c r="AE331" s="3"/>
      <c r="AF331" s="3" t="s">
        <v>3782</v>
      </c>
      <c r="AG331" s="2"/>
      <c r="AH331" s="2" t="s">
        <v>54</v>
      </c>
      <c r="AI331" s="3"/>
      <c r="AJ331" s="3" t="s">
        <v>3783</v>
      </c>
      <c r="AK331" s="2" t="n">
        <v>639144</v>
      </c>
      <c r="AL331" s="3" t="s">
        <v>3784</v>
      </c>
      <c r="AM331" s="2"/>
      <c r="AN331" s="2"/>
      <c r="AO331" s="3"/>
      <c r="AP331" s="3"/>
      <c r="AQ331" s="2"/>
    </row>
    <row r="332" customFormat="false" ht="23.85" hidden="false" customHeight="false" outlineLevel="0" collapsed="false">
      <c r="A332" s="2" t="n">
        <v>331</v>
      </c>
      <c r="B332" s="2" t="s">
        <v>3785</v>
      </c>
      <c r="C332" s="2" t="s">
        <v>3378</v>
      </c>
      <c r="D332" s="2" t="s">
        <v>3379</v>
      </c>
      <c r="E332" s="2" t="s">
        <v>3786</v>
      </c>
      <c r="F332" s="2" t="s">
        <v>3787</v>
      </c>
      <c r="G332" s="3" t="s">
        <v>3788</v>
      </c>
      <c r="H332" s="2"/>
      <c r="I332" s="2" t="s">
        <v>74</v>
      </c>
      <c r="J332" s="3" t="s">
        <v>3789</v>
      </c>
      <c r="K332" s="2" t="s">
        <v>3764</v>
      </c>
      <c r="L332" s="2" t="s">
        <v>3049</v>
      </c>
      <c r="M332" s="2"/>
      <c r="N332" s="2"/>
      <c r="O332" s="2"/>
      <c r="P332" s="2" t="n">
        <v>37.7778</v>
      </c>
      <c r="Q332" s="2" t="n">
        <v>30.9649</v>
      </c>
      <c r="R332" s="2" t="s">
        <v>95</v>
      </c>
      <c r="S332" s="2" t="n">
        <v>527</v>
      </c>
      <c r="T332" s="2" t="s">
        <v>330</v>
      </c>
      <c r="U332" s="2" t="s">
        <v>56</v>
      </c>
      <c r="V332" s="2" t="s">
        <v>78</v>
      </c>
      <c r="W332" s="2" t="s">
        <v>304</v>
      </c>
      <c r="X332" s="2" t="s">
        <v>289</v>
      </c>
      <c r="Y332" s="2"/>
      <c r="Z332" s="2" t="s">
        <v>170</v>
      </c>
      <c r="AA332" s="2"/>
      <c r="AB332" s="2" t="s">
        <v>63</v>
      </c>
      <c r="AC332" s="2" t="s">
        <v>64</v>
      </c>
      <c r="AD332" s="2"/>
      <c r="AE332" s="3"/>
      <c r="AF332" s="3" t="s">
        <v>3790</v>
      </c>
      <c r="AG332" s="2"/>
      <c r="AH332" s="2" t="s">
        <v>113</v>
      </c>
      <c r="AI332" s="3" t="s">
        <v>3791</v>
      </c>
      <c r="AJ332" s="3" t="s">
        <v>3792</v>
      </c>
      <c r="AK332" s="2" t="n">
        <v>638983</v>
      </c>
      <c r="AL332" s="3" t="s">
        <v>3793</v>
      </c>
      <c r="AM332" s="2"/>
      <c r="AN332" s="2"/>
      <c r="AO332" s="3"/>
      <c r="AP332" s="3"/>
      <c r="AQ332" s="2"/>
    </row>
    <row r="333" customFormat="false" ht="46.25" hidden="false" customHeight="false" outlineLevel="0" collapsed="false">
      <c r="A333" s="2" t="n">
        <v>332</v>
      </c>
      <c r="B333" s="2" t="s">
        <v>3794</v>
      </c>
      <c r="C333" s="2" t="s">
        <v>3378</v>
      </c>
      <c r="D333" s="2" t="s">
        <v>3379</v>
      </c>
      <c r="E333" s="2" t="s">
        <v>3795</v>
      </c>
      <c r="F333" s="2" t="s">
        <v>1460</v>
      </c>
      <c r="G333" s="3"/>
      <c r="H333" s="2"/>
      <c r="I333" s="2" t="s">
        <v>74</v>
      </c>
      <c r="J333" s="3" t="s">
        <v>3796</v>
      </c>
      <c r="K333" s="2" t="s">
        <v>3764</v>
      </c>
      <c r="L333" s="2" t="s">
        <v>3049</v>
      </c>
      <c r="M333" s="2"/>
      <c r="N333" s="2"/>
      <c r="O333" s="2"/>
      <c r="P333" s="2" t="n">
        <v>37.8575</v>
      </c>
      <c r="Q333" s="2" t="n">
        <v>30.3394</v>
      </c>
      <c r="R333" s="2" t="s">
        <v>95</v>
      </c>
      <c r="S333" s="2" t="n">
        <v>150</v>
      </c>
      <c r="T333" s="2" t="s">
        <v>1507</v>
      </c>
      <c r="U333" s="2" t="s">
        <v>56</v>
      </c>
      <c r="V333" s="2" t="s">
        <v>78</v>
      </c>
      <c r="W333" s="2" t="s">
        <v>140</v>
      </c>
      <c r="X333" s="2" t="s">
        <v>289</v>
      </c>
      <c r="Y333" s="2"/>
      <c r="Z333" s="2" t="s">
        <v>170</v>
      </c>
      <c r="AA333" s="2"/>
      <c r="AB333" s="2" t="s">
        <v>63</v>
      </c>
      <c r="AC333" s="2" t="s">
        <v>64</v>
      </c>
      <c r="AD333" s="2"/>
      <c r="AE333" s="3"/>
      <c r="AF333" s="3" t="s">
        <v>3797</v>
      </c>
      <c r="AG333" s="2"/>
      <c r="AH333" s="2" t="s">
        <v>113</v>
      </c>
      <c r="AI333" s="3" t="s">
        <v>3798</v>
      </c>
      <c r="AJ333" s="3" t="s">
        <v>3799</v>
      </c>
      <c r="AK333" s="2" t="n">
        <v>638790</v>
      </c>
      <c r="AL333" s="3" t="s">
        <v>3800</v>
      </c>
      <c r="AM333" s="2"/>
      <c r="AN333" s="2"/>
      <c r="AO333" s="3"/>
      <c r="AP333" s="3"/>
      <c r="AQ333" s="2"/>
    </row>
    <row r="334" customFormat="false" ht="124.6" hidden="false" customHeight="false" outlineLevel="0" collapsed="false">
      <c r="A334" s="2" t="n">
        <v>333</v>
      </c>
      <c r="B334" s="2" t="s">
        <v>3801</v>
      </c>
      <c r="C334" s="2" t="s">
        <v>3378</v>
      </c>
      <c r="D334" s="2" t="s">
        <v>3379</v>
      </c>
      <c r="E334" s="2" t="s">
        <v>3802</v>
      </c>
      <c r="F334" s="2" t="s">
        <v>3803</v>
      </c>
      <c r="G334" s="3" t="s">
        <v>3804</v>
      </c>
      <c r="H334" s="2" t="s">
        <v>3805</v>
      </c>
      <c r="I334" s="2" t="s">
        <v>49</v>
      </c>
      <c r="J334" s="3" t="s">
        <v>3806</v>
      </c>
      <c r="K334" s="2" t="s">
        <v>3764</v>
      </c>
      <c r="L334" s="2" t="s">
        <v>3049</v>
      </c>
      <c r="M334" s="2"/>
      <c r="N334" s="2"/>
      <c r="O334" s="2" t="s">
        <v>53</v>
      </c>
      <c r="P334" s="2" t="n">
        <v>37.8998</v>
      </c>
      <c r="Q334" s="2" t="n">
        <v>30.6175</v>
      </c>
      <c r="R334" s="2" t="s">
        <v>54</v>
      </c>
      <c r="S334" s="2" t="n">
        <v>-280</v>
      </c>
      <c r="T334" s="2" t="s">
        <v>2166</v>
      </c>
      <c r="U334" s="2" t="s">
        <v>139</v>
      </c>
      <c r="V334" s="2" t="s">
        <v>97</v>
      </c>
      <c r="W334" s="2" t="s">
        <v>195</v>
      </c>
      <c r="X334" s="2" t="s">
        <v>246</v>
      </c>
      <c r="Y334" s="2" t="s">
        <v>3807</v>
      </c>
      <c r="Z334" s="2" t="s">
        <v>2168</v>
      </c>
      <c r="AA334" s="2"/>
      <c r="AB334" s="2" t="s">
        <v>63</v>
      </c>
      <c r="AC334" s="2" t="s">
        <v>77</v>
      </c>
      <c r="AD334" s="2"/>
      <c r="AE334" s="3"/>
      <c r="AF334" s="3" t="s">
        <v>3808</v>
      </c>
      <c r="AG334" s="2"/>
      <c r="AH334" s="2" t="s">
        <v>54</v>
      </c>
      <c r="AI334" s="3" t="s">
        <v>3809</v>
      </c>
      <c r="AJ334" s="3" t="s">
        <v>3810</v>
      </c>
      <c r="AK334" s="2" t="n">
        <v>639098</v>
      </c>
      <c r="AL334" s="3" t="s">
        <v>3811</v>
      </c>
      <c r="AM334" s="2"/>
      <c r="AN334" s="2"/>
      <c r="AO334" s="3" t="s">
        <v>3812</v>
      </c>
      <c r="AP334" s="3" t="s">
        <v>3813</v>
      </c>
      <c r="AQ334" s="2" t="s">
        <v>89</v>
      </c>
    </row>
    <row r="335" customFormat="false" ht="23.85" hidden="false" customHeight="false" outlineLevel="0" collapsed="false">
      <c r="A335" s="2" t="n">
        <v>334</v>
      </c>
      <c r="B335" s="2" t="s">
        <v>3814</v>
      </c>
      <c r="C335" s="2" t="s">
        <v>3378</v>
      </c>
      <c r="D335" s="2" t="s">
        <v>3379</v>
      </c>
      <c r="E335" s="2" t="s">
        <v>3815</v>
      </c>
      <c r="F335" s="2" t="s">
        <v>3816</v>
      </c>
      <c r="G335" s="3" t="s">
        <v>3817</v>
      </c>
      <c r="H335" s="2"/>
      <c r="I335" s="2" t="s">
        <v>74</v>
      </c>
      <c r="J335" s="3" t="s">
        <v>3818</v>
      </c>
      <c r="K335" s="2" t="s">
        <v>3764</v>
      </c>
      <c r="L335" s="2" t="s">
        <v>3049</v>
      </c>
      <c r="M335" s="2"/>
      <c r="N335" s="2"/>
      <c r="O335" s="2"/>
      <c r="P335" s="2" t="n">
        <v>37.8528</v>
      </c>
      <c r="Q335" s="2" t="n">
        <v>30.8274</v>
      </c>
      <c r="R335" s="2" t="s">
        <v>54</v>
      </c>
      <c r="S335" s="2" t="n">
        <v>150</v>
      </c>
      <c r="T335" s="2" t="s">
        <v>1507</v>
      </c>
      <c r="U335" s="2" t="s">
        <v>56</v>
      </c>
      <c r="V335" s="2" t="s">
        <v>78</v>
      </c>
      <c r="W335" s="2" t="s">
        <v>140</v>
      </c>
      <c r="X335" s="2" t="s">
        <v>289</v>
      </c>
      <c r="Y335" s="2"/>
      <c r="Z335" s="2" t="s">
        <v>170</v>
      </c>
      <c r="AA335" s="2"/>
      <c r="AB335" s="2" t="s">
        <v>63</v>
      </c>
      <c r="AC335" s="2" t="s">
        <v>64</v>
      </c>
      <c r="AD335" s="2"/>
      <c r="AE335" s="3"/>
      <c r="AF335" s="3" t="s">
        <v>3819</v>
      </c>
      <c r="AG335" s="2"/>
      <c r="AH335" s="2" t="s">
        <v>54</v>
      </c>
      <c r="AI335" s="3"/>
      <c r="AJ335" s="3" t="s">
        <v>3820</v>
      </c>
      <c r="AK335" s="2" t="n">
        <v>639072</v>
      </c>
      <c r="AL335" s="3" t="s">
        <v>3821</v>
      </c>
      <c r="AM335" s="2"/>
      <c r="AN335" s="2"/>
      <c r="AO335" s="3"/>
      <c r="AP335" s="3"/>
      <c r="AQ335" s="2"/>
    </row>
    <row r="336" customFormat="false" ht="23.85" hidden="false" customHeight="false" outlineLevel="0" collapsed="false">
      <c r="A336" s="2" t="n">
        <v>335</v>
      </c>
      <c r="B336" s="2" t="s">
        <v>3822</v>
      </c>
      <c r="C336" s="2" t="s">
        <v>3378</v>
      </c>
      <c r="D336" s="2" t="s">
        <v>3379</v>
      </c>
      <c r="E336" s="2" t="s">
        <v>3823</v>
      </c>
      <c r="F336" s="2" t="s">
        <v>3824</v>
      </c>
      <c r="G336" s="3"/>
      <c r="H336" s="2"/>
      <c r="I336" s="2" t="s">
        <v>74</v>
      </c>
      <c r="J336" s="3" t="s">
        <v>3825</v>
      </c>
      <c r="K336" s="2" t="s">
        <v>3764</v>
      </c>
      <c r="L336" s="2" t="s">
        <v>3049</v>
      </c>
      <c r="M336" s="2"/>
      <c r="N336" s="2"/>
      <c r="O336" s="2"/>
      <c r="P336" s="2" t="n">
        <v>37.8659</v>
      </c>
      <c r="Q336" s="2" t="n">
        <v>30.7213</v>
      </c>
      <c r="R336" s="2" t="s">
        <v>95</v>
      </c>
      <c r="S336" s="2" t="n">
        <v>527</v>
      </c>
      <c r="T336" s="2" t="s">
        <v>330</v>
      </c>
      <c r="U336" s="2" t="s">
        <v>56</v>
      </c>
      <c r="V336" s="2" t="s">
        <v>78</v>
      </c>
      <c r="W336" s="2" t="s">
        <v>304</v>
      </c>
      <c r="X336" s="2" t="s">
        <v>289</v>
      </c>
      <c r="Y336" s="2"/>
      <c r="Z336" s="2" t="s">
        <v>170</v>
      </c>
      <c r="AA336" s="2"/>
      <c r="AB336" s="2" t="s">
        <v>63</v>
      </c>
      <c r="AC336" s="2" t="s">
        <v>64</v>
      </c>
      <c r="AD336" s="2"/>
      <c r="AE336" s="3"/>
      <c r="AF336" s="3" t="s">
        <v>3826</v>
      </c>
      <c r="AG336" s="2"/>
      <c r="AH336" s="2" t="s">
        <v>113</v>
      </c>
      <c r="AI336" s="3" t="s">
        <v>3827</v>
      </c>
      <c r="AJ336" s="3" t="s">
        <v>3828</v>
      </c>
      <c r="AK336" s="2" t="n">
        <v>638791</v>
      </c>
      <c r="AL336" s="3" t="s">
        <v>3829</v>
      </c>
      <c r="AM336" s="2"/>
      <c r="AN336" s="2"/>
      <c r="AO336" s="3"/>
      <c r="AP336" s="3"/>
      <c r="AQ336" s="2"/>
    </row>
    <row r="337" customFormat="false" ht="23.85" hidden="false" customHeight="false" outlineLevel="0" collapsed="false">
      <c r="A337" s="2" t="n">
        <v>336</v>
      </c>
      <c r="B337" s="2" t="s">
        <v>3830</v>
      </c>
      <c r="C337" s="2" t="s">
        <v>3378</v>
      </c>
      <c r="D337" s="2" t="s">
        <v>3379</v>
      </c>
      <c r="E337" s="2" t="s">
        <v>3831</v>
      </c>
      <c r="F337" s="2" t="s">
        <v>3832</v>
      </c>
      <c r="G337" s="3" t="s">
        <v>3833</v>
      </c>
      <c r="H337" s="2" t="s">
        <v>1461</v>
      </c>
      <c r="I337" s="2" t="s">
        <v>123</v>
      </c>
      <c r="J337" s="3" t="s">
        <v>3834</v>
      </c>
      <c r="K337" s="2" t="s">
        <v>3764</v>
      </c>
      <c r="L337" s="2" t="s">
        <v>3049</v>
      </c>
      <c r="M337" s="2" t="s">
        <v>1461</v>
      </c>
      <c r="N337" s="2"/>
      <c r="O337" s="2" t="s">
        <v>422</v>
      </c>
      <c r="P337" s="2" t="n">
        <v>37.9559</v>
      </c>
      <c r="Q337" s="2" t="n">
        <v>30.5129</v>
      </c>
      <c r="R337" s="2" t="s">
        <v>54</v>
      </c>
      <c r="S337" s="2" t="n">
        <v>150</v>
      </c>
      <c r="T337" s="2" t="s">
        <v>1507</v>
      </c>
      <c r="U337" s="2" t="s">
        <v>56</v>
      </c>
      <c r="V337" s="2" t="s">
        <v>78</v>
      </c>
      <c r="W337" s="2" t="s">
        <v>140</v>
      </c>
      <c r="X337" s="2" t="s">
        <v>289</v>
      </c>
      <c r="Y337" s="2"/>
      <c r="Z337" s="2" t="s">
        <v>170</v>
      </c>
      <c r="AA337" s="2"/>
      <c r="AB337" s="2" t="s">
        <v>63</v>
      </c>
      <c r="AC337" s="2" t="s">
        <v>64</v>
      </c>
      <c r="AD337" s="2"/>
      <c r="AE337" s="3"/>
      <c r="AF337" s="3" t="s">
        <v>3835</v>
      </c>
      <c r="AG337" s="2"/>
      <c r="AH337" s="2" t="s">
        <v>54</v>
      </c>
      <c r="AI337" s="3" t="s">
        <v>3836</v>
      </c>
      <c r="AJ337" s="3" t="s">
        <v>3837</v>
      </c>
      <c r="AK337" s="2" t="n">
        <v>638813</v>
      </c>
      <c r="AL337" s="3" t="s">
        <v>3838</v>
      </c>
      <c r="AM337" s="2"/>
      <c r="AN337" s="2" t="s">
        <v>200</v>
      </c>
      <c r="AO337" s="3"/>
      <c r="AP337" s="3"/>
      <c r="AQ337" s="2"/>
    </row>
    <row r="338" customFormat="false" ht="46.25" hidden="false" customHeight="false" outlineLevel="0" collapsed="false">
      <c r="A338" s="2" t="n">
        <v>337</v>
      </c>
      <c r="B338" s="2" t="s">
        <v>3839</v>
      </c>
      <c r="C338" s="2" t="s">
        <v>3378</v>
      </c>
      <c r="D338" s="2" t="s">
        <v>3379</v>
      </c>
      <c r="E338" s="2" t="s">
        <v>3840</v>
      </c>
      <c r="F338" s="2" t="s">
        <v>3841</v>
      </c>
      <c r="G338" s="3" t="s">
        <v>3842</v>
      </c>
      <c r="H338" s="2" t="s">
        <v>3843</v>
      </c>
      <c r="I338" s="2" t="s">
        <v>49</v>
      </c>
      <c r="J338" s="3" t="s">
        <v>3844</v>
      </c>
      <c r="K338" s="2" t="s">
        <v>3764</v>
      </c>
      <c r="L338" s="2" t="s">
        <v>3049</v>
      </c>
      <c r="M338" s="2"/>
      <c r="N338" s="2"/>
      <c r="O338" s="2" t="s">
        <v>422</v>
      </c>
      <c r="P338" s="2" t="n">
        <v>38.0149</v>
      </c>
      <c r="Q338" s="2" t="n">
        <v>30.7879</v>
      </c>
      <c r="R338" s="2" t="s">
        <v>54</v>
      </c>
      <c r="S338" s="2" t="n">
        <v>-25</v>
      </c>
      <c r="T338" s="2" t="s">
        <v>3645</v>
      </c>
      <c r="U338" s="2" t="s">
        <v>139</v>
      </c>
      <c r="V338" s="2" t="s">
        <v>57</v>
      </c>
      <c r="W338" s="2" t="s">
        <v>140</v>
      </c>
      <c r="X338" s="2" t="s">
        <v>141</v>
      </c>
      <c r="Y338" s="2" t="s">
        <v>3646</v>
      </c>
      <c r="Z338" s="2" t="s">
        <v>143</v>
      </c>
      <c r="AA338" s="2"/>
      <c r="AB338" s="2" t="s">
        <v>63</v>
      </c>
      <c r="AC338" s="2" t="s">
        <v>64</v>
      </c>
      <c r="AD338" s="2"/>
      <c r="AE338" s="3" t="s">
        <v>3845</v>
      </c>
      <c r="AF338" s="3" t="s">
        <v>3846</v>
      </c>
      <c r="AG338" s="2" t="s">
        <v>3725</v>
      </c>
      <c r="AH338" s="2" t="s">
        <v>54</v>
      </c>
      <c r="AI338" s="3" t="s">
        <v>3847</v>
      </c>
      <c r="AJ338" s="3" t="s">
        <v>3848</v>
      </c>
      <c r="AK338" s="2" t="n">
        <v>639039</v>
      </c>
      <c r="AL338" s="3" t="s">
        <v>3849</v>
      </c>
      <c r="AM338" s="2"/>
      <c r="AN338" s="2" t="s">
        <v>200</v>
      </c>
      <c r="AO338" s="3"/>
      <c r="AP338" s="3"/>
      <c r="AQ338" s="2"/>
    </row>
    <row r="339" customFormat="false" ht="23.85" hidden="false" customHeight="false" outlineLevel="0" collapsed="false">
      <c r="A339" s="2" t="n">
        <v>338</v>
      </c>
      <c r="B339" s="2" t="s">
        <v>3850</v>
      </c>
      <c r="C339" s="2" t="s">
        <v>3378</v>
      </c>
      <c r="D339" s="2" t="s">
        <v>3379</v>
      </c>
      <c r="E339" s="2" t="s">
        <v>3851</v>
      </c>
      <c r="F339" s="2" t="s">
        <v>3852</v>
      </c>
      <c r="G339" s="3"/>
      <c r="H339" s="2"/>
      <c r="I339" s="2" t="s">
        <v>74</v>
      </c>
      <c r="J339" s="3" t="s">
        <v>3853</v>
      </c>
      <c r="K339" s="2" t="s">
        <v>3764</v>
      </c>
      <c r="L339" s="2" t="s">
        <v>3049</v>
      </c>
      <c r="M339" s="2"/>
      <c r="N339" s="2"/>
      <c r="O339" s="2"/>
      <c r="P339" s="2" t="n">
        <v>37.9908</v>
      </c>
      <c r="Q339" s="2" t="n">
        <v>31.2851</v>
      </c>
      <c r="R339" s="2" t="s">
        <v>95</v>
      </c>
      <c r="S339" s="2" t="n">
        <v>-100</v>
      </c>
      <c r="T339" s="2" t="s">
        <v>2084</v>
      </c>
      <c r="U339" s="2" t="s">
        <v>56</v>
      </c>
      <c r="V339" s="2" t="s">
        <v>57</v>
      </c>
      <c r="W339" s="2" t="s">
        <v>195</v>
      </c>
      <c r="X339" s="2" t="s">
        <v>289</v>
      </c>
      <c r="Y339" s="2"/>
      <c r="Z339" s="2" t="s">
        <v>170</v>
      </c>
      <c r="AA339" s="2"/>
      <c r="AB339" s="2" t="s">
        <v>63</v>
      </c>
      <c r="AC339" s="2" t="s">
        <v>64</v>
      </c>
      <c r="AD339" s="2"/>
      <c r="AE339" s="3"/>
      <c r="AF339" s="3" t="s">
        <v>3854</v>
      </c>
      <c r="AG339" s="2"/>
      <c r="AH339" s="2" t="s">
        <v>113</v>
      </c>
      <c r="AI339" s="3" t="s">
        <v>3855</v>
      </c>
      <c r="AJ339" s="3" t="s">
        <v>3856</v>
      </c>
      <c r="AK339" s="2" t="n">
        <v>638742</v>
      </c>
      <c r="AL339" s="3" t="s">
        <v>3857</v>
      </c>
      <c r="AM339" s="2"/>
      <c r="AN339" s="2"/>
      <c r="AO339" s="3"/>
      <c r="AP339" s="3"/>
      <c r="AQ339" s="2"/>
    </row>
    <row r="340" customFormat="false" ht="35.05" hidden="false" customHeight="false" outlineLevel="0" collapsed="false">
      <c r="A340" s="2" t="n">
        <v>339</v>
      </c>
      <c r="B340" s="2" t="s">
        <v>3858</v>
      </c>
      <c r="C340" s="2" t="s">
        <v>3378</v>
      </c>
      <c r="D340" s="2" t="s">
        <v>3379</v>
      </c>
      <c r="E340" s="2" t="s">
        <v>3859</v>
      </c>
      <c r="F340" s="2" t="s">
        <v>2723</v>
      </c>
      <c r="G340" s="3"/>
      <c r="H340" s="2"/>
      <c r="I340" s="2" t="s">
        <v>74</v>
      </c>
      <c r="J340" s="3" t="s">
        <v>3860</v>
      </c>
      <c r="K340" s="2" t="s">
        <v>3764</v>
      </c>
      <c r="L340" s="2" t="s">
        <v>3049</v>
      </c>
      <c r="M340" s="2"/>
      <c r="N340" s="2"/>
      <c r="O340" s="2"/>
      <c r="P340" s="2" t="n">
        <v>37.9976</v>
      </c>
      <c r="Q340" s="2" t="n">
        <v>31.4109</v>
      </c>
      <c r="R340" s="2" t="s">
        <v>95</v>
      </c>
      <c r="S340" s="2" t="n">
        <v>50</v>
      </c>
      <c r="T340" s="2" t="s">
        <v>2879</v>
      </c>
      <c r="U340" s="2" t="s">
        <v>56</v>
      </c>
      <c r="V340" s="2" t="s">
        <v>97</v>
      </c>
      <c r="W340" s="2" t="s">
        <v>140</v>
      </c>
      <c r="X340" s="2" t="s">
        <v>169</v>
      </c>
      <c r="Y340" s="2" t="s">
        <v>81</v>
      </c>
      <c r="Z340" s="2" t="s">
        <v>170</v>
      </c>
      <c r="AA340" s="2"/>
      <c r="AB340" s="2" t="s">
        <v>81</v>
      </c>
      <c r="AC340" s="2"/>
      <c r="AD340" s="2"/>
      <c r="AE340" s="3"/>
      <c r="AF340" s="3" t="s">
        <v>3861</v>
      </c>
      <c r="AG340" s="2"/>
      <c r="AH340" s="2" t="s">
        <v>54</v>
      </c>
      <c r="AI340" s="3" t="s">
        <v>3862</v>
      </c>
      <c r="AJ340" s="3" t="s">
        <v>3863</v>
      </c>
      <c r="AK340" s="2" t="n">
        <v>639008</v>
      </c>
      <c r="AL340" s="3" t="s">
        <v>3864</v>
      </c>
      <c r="AM340" s="2"/>
      <c r="AN340" s="2"/>
      <c r="AO340" s="3" t="s">
        <v>3865</v>
      </c>
      <c r="AP340" s="3" t="s">
        <v>3866</v>
      </c>
      <c r="AQ340" s="2" t="s">
        <v>151</v>
      </c>
    </row>
    <row r="341" customFormat="false" ht="35.05" hidden="false" customHeight="false" outlineLevel="0" collapsed="false">
      <c r="A341" s="2" t="n">
        <v>340</v>
      </c>
      <c r="B341" s="2" t="s">
        <v>3867</v>
      </c>
      <c r="C341" s="2" t="s">
        <v>3378</v>
      </c>
      <c r="D341" s="2" t="s">
        <v>3379</v>
      </c>
      <c r="E341" s="2" t="s">
        <v>3868</v>
      </c>
      <c r="F341" s="2" t="s">
        <v>3869</v>
      </c>
      <c r="G341" s="3"/>
      <c r="H341" s="2" t="s">
        <v>3870</v>
      </c>
      <c r="I341" s="2" t="s">
        <v>49</v>
      </c>
      <c r="J341" s="3" t="s">
        <v>3871</v>
      </c>
      <c r="K341" s="2" t="s">
        <v>3764</v>
      </c>
      <c r="L341" s="2" t="s">
        <v>3049</v>
      </c>
      <c r="M341" s="2"/>
      <c r="N341" s="2"/>
      <c r="O341" s="2" t="s">
        <v>53</v>
      </c>
      <c r="P341" s="2" t="n">
        <v>38.1044</v>
      </c>
      <c r="Q341" s="2" t="n">
        <v>30.607</v>
      </c>
      <c r="R341" s="2" t="s">
        <v>54</v>
      </c>
      <c r="S341" s="2" t="n">
        <v>300</v>
      </c>
      <c r="T341" s="2" t="s">
        <v>3872</v>
      </c>
      <c r="U341" s="2" t="s">
        <v>139</v>
      </c>
      <c r="V341" s="2" t="s">
        <v>97</v>
      </c>
      <c r="W341" s="2" t="s">
        <v>140</v>
      </c>
      <c r="X341" s="2" t="s">
        <v>141</v>
      </c>
      <c r="Y341" s="2" t="s">
        <v>3873</v>
      </c>
      <c r="Z341" s="2" t="s">
        <v>143</v>
      </c>
      <c r="AA341" s="2"/>
      <c r="AB341" s="2" t="s">
        <v>63</v>
      </c>
      <c r="AC341" s="2" t="s">
        <v>64</v>
      </c>
      <c r="AD341" s="2"/>
      <c r="AE341" s="3" t="s">
        <v>3874</v>
      </c>
      <c r="AF341" s="3" t="s">
        <v>3875</v>
      </c>
      <c r="AG341" s="2"/>
      <c r="AH341" s="2" t="s">
        <v>54</v>
      </c>
      <c r="AI341" s="3" t="s">
        <v>3876</v>
      </c>
      <c r="AJ341" s="3" t="s">
        <v>3877</v>
      </c>
      <c r="AK341" s="2" t="n">
        <v>609563</v>
      </c>
      <c r="AL341" s="3" t="s">
        <v>3878</v>
      </c>
      <c r="AM341" s="2"/>
      <c r="AN341" s="2"/>
      <c r="AO341" s="3"/>
      <c r="AP341" s="3"/>
      <c r="AQ341" s="2"/>
    </row>
    <row r="342" customFormat="false" ht="35.05" hidden="false" customHeight="false" outlineLevel="0" collapsed="false">
      <c r="A342" s="2" t="n">
        <v>341</v>
      </c>
      <c r="B342" s="2" t="s">
        <v>3879</v>
      </c>
      <c r="C342" s="2" t="s">
        <v>3378</v>
      </c>
      <c r="D342" s="2" t="s">
        <v>3379</v>
      </c>
      <c r="E342" s="2" t="s">
        <v>3880</v>
      </c>
      <c r="F342" s="2" t="s">
        <v>2928</v>
      </c>
      <c r="G342" s="3" t="s">
        <v>3881</v>
      </c>
      <c r="H342" s="2" t="s">
        <v>3882</v>
      </c>
      <c r="I342" s="2" t="s">
        <v>123</v>
      </c>
      <c r="J342" s="3" t="s">
        <v>3883</v>
      </c>
      <c r="K342" s="2" t="s">
        <v>3764</v>
      </c>
      <c r="L342" s="2" t="s">
        <v>3049</v>
      </c>
      <c r="M342" s="2" t="s">
        <v>3882</v>
      </c>
      <c r="N342" s="2"/>
      <c r="O342" s="2" t="s">
        <v>53</v>
      </c>
      <c r="P342" s="2" t="n">
        <v>38.0757</v>
      </c>
      <c r="Q342" s="2" t="n">
        <v>30.4638</v>
      </c>
      <c r="R342" s="2" t="s">
        <v>54</v>
      </c>
      <c r="S342" s="2" t="n">
        <v>-250</v>
      </c>
      <c r="T342" s="2" t="s">
        <v>2189</v>
      </c>
      <c r="U342" s="2" t="s">
        <v>139</v>
      </c>
      <c r="V342" s="2" t="s">
        <v>78</v>
      </c>
      <c r="W342" s="2" t="s">
        <v>195</v>
      </c>
      <c r="X342" s="2" t="s">
        <v>246</v>
      </c>
      <c r="Y342" s="2" t="s">
        <v>3884</v>
      </c>
      <c r="Z342" s="2" t="s">
        <v>2168</v>
      </c>
      <c r="AA342" s="2"/>
      <c r="AB342" s="2" t="s">
        <v>63</v>
      </c>
      <c r="AC342" s="2" t="s">
        <v>64</v>
      </c>
      <c r="AD342" s="2"/>
      <c r="AE342" s="3" t="s">
        <v>3885</v>
      </c>
      <c r="AF342" s="3" t="s">
        <v>3886</v>
      </c>
      <c r="AG342" s="2"/>
      <c r="AH342" s="2" t="s">
        <v>54</v>
      </c>
      <c r="AI342" s="3" t="s">
        <v>3887</v>
      </c>
      <c r="AJ342" s="3" t="s">
        <v>3888</v>
      </c>
      <c r="AK342" s="2" t="n">
        <v>638758</v>
      </c>
      <c r="AL342" s="3" t="s">
        <v>3889</v>
      </c>
      <c r="AM342" s="2"/>
      <c r="AN342" s="2"/>
      <c r="AO342" s="3"/>
      <c r="AP342" s="3"/>
      <c r="AQ342" s="2"/>
    </row>
    <row r="343" customFormat="false" ht="35.05" hidden="false" customHeight="false" outlineLevel="0" collapsed="false">
      <c r="A343" s="2" t="n">
        <v>342</v>
      </c>
      <c r="B343" s="2" t="s">
        <v>3890</v>
      </c>
      <c r="C343" s="2" t="s">
        <v>3378</v>
      </c>
      <c r="D343" s="2" t="s">
        <v>3379</v>
      </c>
      <c r="E343" s="2" t="s">
        <v>3891</v>
      </c>
      <c r="F343" s="2" t="s">
        <v>109</v>
      </c>
      <c r="G343" s="3" t="s">
        <v>3892</v>
      </c>
      <c r="H343" s="2"/>
      <c r="I343" s="2" t="s">
        <v>74</v>
      </c>
      <c r="J343" s="3" t="s">
        <v>3893</v>
      </c>
      <c r="K343" s="2" t="s">
        <v>3764</v>
      </c>
      <c r="L343" s="2" t="s">
        <v>3049</v>
      </c>
      <c r="M343" s="2"/>
      <c r="N343" s="2"/>
      <c r="O343" s="2"/>
      <c r="P343" s="2" t="n">
        <v>38.26</v>
      </c>
      <c r="Q343" s="2" t="n">
        <v>30.886</v>
      </c>
      <c r="R343" s="2" t="s">
        <v>95</v>
      </c>
      <c r="S343" s="2" t="n">
        <v>325</v>
      </c>
      <c r="T343" s="2" t="s">
        <v>3894</v>
      </c>
      <c r="U343" s="2" t="s">
        <v>56</v>
      </c>
      <c r="V343" s="2" t="s">
        <v>245</v>
      </c>
      <c r="W343" s="2" t="s">
        <v>140</v>
      </c>
      <c r="X343" s="2" t="s">
        <v>169</v>
      </c>
      <c r="Y343" s="2"/>
      <c r="Z343" s="2" t="s">
        <v>170</v>
      </c>
      <c r="AA343" s="2"/>
      <c r="AB343" s="2" t="s">
        <v>81</v>
      </c>
      <c r="AC343" s="2"/>
      <c r="AD343" s="2"/>
      <c r="AE343" s="3"/>
      <c r="AF343" s="3" t="s">
        <v>3895</v>
      </c>
      <c r="AG343" s="2"/>
      <c r="AH343" s="2" t="s">
        <v>113</v>
      </c>
      <c r="AI343" s="3" t="s">
        <v>3896</v>
      </c>
      <c r="AJ343" s="3" t="s">
        <v>3897</v>
      </c>
      <c r="AK343" s="2"/>
      <c r="AL343" s="3" t="s">
        <v>3898</v>
      </c>
      <c r="AM343" s="2"/>
      <c r="AN343" s="2"/>
      <c r="AO343" s="3" t="s">
        <v>3899</v>
      </c>
      <c r="AP343" s="3" t="s">
        <v>3900</v>
      </c>
      <c r="AQ343" s="2" t="s">
        <v>151</v>
      </c>
    </row>
    <row r="344" customFormat="false" ht="124.6" hidden="false" customHeight="false" outlineLevel="0" collapsed="false">
      <c r="A344" s="2" t="n">
        <v>343</v>
      </c>
      <c r="B344" s="2" t="s">
        <v>3901</v>
      </c>
      <c r="C344" s="2" t="s">
        <v>3378</v>
      </c>
      <c r="D344" s="2" t="s">
        <v>3379</v>
      </c>
      <c r="E344" s="2" t="s">
        <v>3902</v>
      </c>
      <c r="F344" s="2" t="s">
        <v>3903</v>
      </c>
      <c r="G344" s="3" t="s">
        <v>3904</v>
      </c>
      <c r="H344" s="2" t="s">
        <v>3905</v>
      </c>
      <c r="I344" s="2" t="s">
        <v>123</v>
      </c>
      <c r="J344" s="3" t="s">
        <v>3906</v>
      </c>
      <c r="K344" s="2" t="s">
        <v>3764</v>
      </c>
      <c r="L344" s="2" t="s">
        <v>3049</v>
      </c>
      <c r="M344" s="2" t="s">
        <v>3905</v>
      </c>
      <c r="N344" s="2"/>
      <c r="O344" s="2" t="s">
        <v>53</v>
      </c>
      <c r="P344" s="2" t="n">
        <v>38.3054</v>
      </c>
      <c r="Q344" s="2" t="n">
        <v>31.1899</v>
      </c>
      <c r="R344" s="2" t="s">
        <v>54</v>
      </c>
      <c r="S344" s="2" t="n">
        <v>-270</v>
      </c>
      <c r="T344" s="2" t="s">
        <v>2847</v>
      </c>
      <c r="U344" s="2" t="s">
        <v>139</v>
      </c>
      <c r="V344" s="2" t="s">
        <v>97</v>
      </c>
      <c r="W344" s="2" t="s">
        <v>195</v>
      </c>
      <c r="X344" s="2" t="s">
        <v>246</v>
      </c>
      <c r="Y344" s="2" t="s">
        <v>3907</v>
      </c>
      <c r="Z344" s="2" t="s">
        <v>2168</v>
      </c>
      <c r="AA344" s="2"/>
      <c r="AB344" s="2" t="s">
        <v>81</v>
      </c>
      <c r="AC344" s="2"/>
      <c r="AD344" s="2"/>
      <c r="AE344" s="3" t="s">
        <v>3908</v>
      </c>
      <c r="AF344" s="3" t="s">
        <v>3909</v>
      </c>
      <c r="AG344" s="2" t="s">
        <v>3725</v>
      </c>
      <c r="AH344" s="2" t="s">
        <v>54</v>
      </c>
      <c r="AI344" s="3" t="s">
        <v>3910</v>
      </c>
      <c r="AJ344" s="3" t="s">
        <v>3911</v>
      </c>
      <c r="AK344" s="2" t="n">
        <v>609307</v>
      </c>
      <c r="AL344" s="3" t="s">
        <v>3912</v>
      </c>
      <c r="AM344" s="2"/>
      <c r="AN344" s="2"/>
      <c r="AO344" s="3" t="s">
        <v>3913</v>
      </c>
      <c r="AP344" s="3" t="s">
        <v>3914</v>
      </c>
      <c r="AQ344" s="2" t="s">
        <v>89</v>
      </c>
    </row>
    <row r="345" customFormat="false" ht="35.05" hidden="false" customHeight="false" outlineLevel="0" collapsed="false">
      <c r="A345" s="2" t="n">
        <v>344</v>
      </c>
      <c r="B345" s="2" t="s">
        <v>3915</v>
      </c>
      <c r="C345" s="2" t="s">
        <v>3378</v>
      </c>
      <c r="D345" s="2" t="s">
        <v>3389</v>
      </c>
      <c r="E345" s="2" t="s">
        <v>3916</v>
      </c>
      <c r="F345" s="2" t="s">
        <v>3917</v>
      </c>
      <c r="G345" s="3" t="s">
        <v>3918</v>
      </c>
      <c r="H345" s="2"/>
      <c r="I345" s="2" t="s">
        <v>74</v>
      </c>
      <c r="J345" s="3" t="s">
        <v>3919</v>
      </c>
      <c r="K345" s="2" t="s">
        <v>3048</v>
      </c>
      <c r="L345" s="2" t="s">
        <v>3049</v>
      </c>
      <c r="M345" s="2"/>
      <c r="N345" s="2"/>
      <c r="O345" s="2"/>
      <c r="P345" s="2" t="n">
        <v>36.8496</v>
      </c>
      <c r="Q345" s="2" t="n">
        <v>31.9598</v>
      </c>
      <c r="R345" s="2" t="s">
        <v>95</v>
      </c>
      <c r="S345" s="2" t="n">
        <v>150</v>
      </c>
      <c r="T345" s="2" t="s">
        <v>1507</v>
      </c>
      <c r="U345" s="2" t="s">
        <v>56</v>
      </c>
      <c r="V345" s="2" t="s">
        <v>78</v>
      </c>
      <c r="W345" s="2" t="s">
        <v>140</v>
      </c>
      <c r="X345" s="2" t="s">
        <v>289</v>
      </c>
      <c r="Y345" s="2"/>
      <c r="Z345" s="2" t="s">
        <v>170</v>
      </c>
      <c r="AA345" s="2"/>
      <c r="AB345" s="2" t="s">
        <v>63</v>
      </c>
      <c r="AC345" s="2" t="s">
        <v>64</v>
      </c>
      <c r="AD345" s="2"/>
      <c r="AE345" s="3" t="s">
        <v>3920</v>
      </c>
      <c r="AF345" s="3" t="s">
        <v>3921</v>
      </c>
      <c r="AG345" s="2"/>
      <c r="AH345" s="2" t="s">
        <v>113</v>
      </c>
      <c r="AI345" s="3" t="s">
        <v>3922</v>
      </c>
      <c r="AJ345" s="3" t="s">
        <v>3923</v>
      </c>
      <c r="AK345" s="2" t="n">
        <v>638904</v>
      </c>
      <c r="AL345" s="3" t="s">
        <v>3924</v>
      </c>
      <c r="AM345" s="2"/>
      <c r="AN345" s="2"/>
      <c r="AO345" s="3"/>
      <c r="AP345" s="3"/>
      <c r="AQ345" s="2"/>
    </row>
    <row r="346" customFormat="false" ht="23.85" hidden="false" customHeight="false" outlineLevel="0" collapsed="false">
      <c r="A346" s="2" t="n">
        <v>345</v>
      </c>
      <c r="B346" s="2" t="s">
        <v>3925</v>
      </c>
      <c r="C346" s="2" t="s">
        <v>3378</v>
      </c>
      <c r="D346" s="2" t="s">
        <v>3379</v>
      </c>
      <c r="E346" s="2" t="s">
        <v>3926</v>
      </c>
      <c r="F346" s="2" t="s">
        <v>3927</v>
      </c>
      <c r="G346" s="3" t="s">
        <v>3928</v>
      </c>
      <c r="H346" s="2"/>
      <c r="I346" s="2" t="s">
        <v>74</v>
      </c>
      <c r="J346" s="3" t="s">
        <v>3929</v>
      </c>
      <c r="K346" s="2" t="s">
        <v>3930</v>
      </c>
      <c r="L346" s="2" t="s">
        <v>3931</v>
      </c>
      <c r="M346" s="2"/>
      <c r="N346" s="2"/>
      <c r="O346" s="2"/>
      <c r="P346" s="2" t="n">
        <v>37.5186</v>
      </c>
      <c r="Q346" s="2" t="n">
        <v>31.7386</v>
      </c>
      <c r="R346" s="2" t="s">
        <v>54</v>
      </c>
      <c r="S346" s="2" t="n">
        <v>-100</v>
      </c>
      <c r="T346" s="2" t="s">
        <v>2084</v>
      </c>
      <c r="U346" s="2" t="s">
        <v>56</v>
      </c>
      <c r="V346" s="2" t="s">
        <v>57</v>
      </c>
      <c r="W346" s="2" t="s">
        <v>195</v>
      </c>
      <c r="X346" s="2" t="s">
        <v>289</v>
      </c>
      <c r="Y346" s="2"/>
      <c r="Z346" s="2" t="s">
        <v>170</v>
      </c>
      <c r="AA346" s="2"/>
      <c r="AB346" s="2" t="s">
        <v>63</v>
      </c>
      <c r="AC346" s="2" t="s">
        <v>64</v>
      </c>
      <c r="AD346" s="2"/>
      <c r="AE346" s="3"/>
      <c r="AF346" s="3" t="s">
        <v>3932</v>
      </c>
      <c r="AG346" s="2"/>
      <c r="AH346" s="2" t="s">
        <v>54</v>
      </c>
      <c r="AI346" s="3" t="s">
        <v>3933</v>
      </c>
      <c r="AJ346" s="3" t="s">
        <v>3934</v>
      </c>
      <c r="AK346" s="2" t="n">
        <v>638741</v>
      </c>
      <c r="AL346" s="3" t="s">
        <v>3935</v>
      </c>
      <c r="AM346" s="2"/>
      <c r="AN346" s="2"/>
      <c r="AO346" s="3"/>
      <c r="AP346" s="3"/>
      <c r="AQ346" s="2"/>
    </row>
    <row r="347" customFormat="false" ht="23.85" hidden="false" customHeight="false" outlineLevel="0" collapsed="false">
      <c r="A347" s="2" t="n">
        <v>346</v>
      </c>
      <c r="B347" s="2" t="s">
        <v>3936</v>
      </c>
      <c r="C347" s="2" t="s">
        <v>3378</v>
      </c>
      <c r="D347" s="2" t="s">
        <v>3379</v>
      </c>
      <c r="E347" s="2" t="s">
        <v>3937</v>
      </c>
      <c r="F347" s="2" t="s">
        <v>3938</v>
      </c>
      <c r="G347" s="3" t="s">
        <v>3939</v>
      </c>
      <c r="H347" s="2"/>
      <c r="I347" s="2" t="s">
        <v>74</v>
      </c>
      <c r="J347" s="3" t="s">
        <v>3940</v>
      </c>
      <c r="K347" s="2" t="s">
        <v>3930</v>
      </c>
      <c r="L347" s="2" t="s">
        <v>3931</v>
      </c>
      <c r="M347" s="2"/>
      <c r="N347" s="2"/>
      <c r="O347" s="2"/>
      <c r="P347" s="2" t="n">
        <v>37.9042</v>
      </c>
      <c r="Q347" s="2" t="n">
        <v>31.9234</v>
      </c>
      <c r="R347" s="2" t="s">
        <v>95</v>
      </c>
      <c r="S347" s="2" t="n">
        <v>25</v>
      </c>
      <c r="T347" s="2" t="s">
        <v>3941</v>
      </c>
      <c r="U347" s="2" t="s">
        <v>56</v>
      </c>
      <c r="V347" s="2" t="s">
        <v>97</v>
      </c>
      <c r="W347" s="2" t="s">
        <v>140</v>
      </c>
      <c r="X347" s="2" t="s">
        <v>289</v>
      </c>
      <c r="Y347" s="2"/>
      <c r="Z347" s="2" t="s">
        <v>170</v>
      </c>
      <c r="AA347" s="2"/>
      <c r="AB347" s="2" t="s">
        <v>63</v>
      </c>
      <c r="AC347" s="2" t="s">
        <v>64</v>
      </c>
      <c r="AD347" s="2"/>
      <c r="AE347" s="3"/>
      <c r="AF347" s="3" t="s">
        <v>3942</v>
      </c>
      <c r="AG347" s="2"/>
      <c r="AH347" s="2" t="s">
        <v>113</v>
      </c>
      <c r="AI347" s="3" t="s">
        <v>3943</v>
      </c>
      <c r="AJ347" s="3" t="s">
        <v>3944</v>
      </c>
      <c r="AK347" s="2" t="n">
        <v>639038</v>
      </c>
      <c r="AL347" s="3" t="s">
        <v>3945</v>
      </c>
      <c r="AM347" s="2"/>
      <c r="AN347" s="2"/>
      <c r="AO347" s="3"/>
      <c r="AP347" s="3"/>
      <c r="AQ347" s="2"/>
    </row>
    <row r="348" customFormat="false" ht="57.45" hidden="false" customHeight="false" outlineLevel="0" collapsed="false">
      <c r="A348" s="2" t="n">
        <v>347</v>
      </c>
      <c r="B348" s="2" t="s">
        <v>3946</v>
      </c>
      <c r="C348" s="2" t="s">
        <v>3947</v>
      </c>
      <c r="D348" s="2" t="s">
        <v>3948</v>
      </c>
      <c r="E348" s="2" t="s">
        <v>3949</v>
      </c>
      <c r="F348" s="2" t="s">
        <v>3950</v>
      </c>
      <c r="G348" s="3" t="s">
        <v>3951</v>
      </c>
      <c r="H348" s="2" t="s">
        <v>3952</v>
      </c>
      <c r="I348" s="2" t="s">
        <v>123</v>
      </c>
      <c r="J348" s="3" t="s">
        <v>3953</v>
      </c>
      <c r="K348" s="2" t="s">
        <v>3048</v>
      </c>
      <c r="L348" s="2" t="s">
        <v>3049</v>
      </c>
      <c r="M348" s="2" t="s">
        <v>3952</v>
      </c>
      <c r="N348" s="2"/>
      <c r="O348" s="2" t="s">
        <v>53</v>
      </c>
      <c r="P348" s="2" t="n">
        <v>36.5336</v>
      </c>
      <c r="Q348" s="2" t="n">
        <v>31.9937</v>
      </c>
      <c r="R348" s="2" t="s">
        <v>54</v>
      </c>
      <c r="S348" s="2" t="n">
        <v>-197</v>
      </c>
      <c r="T348" s="2" t="s">
        <v>3954</v>
      </c>
      <c r="U348" s="2" t="s">
        <v>56</v>
      </c>
      <c r="V348" s="2" t="s">
        <v>78</v>
      </c>
      <c r="W348" s="2" t="s">
        <v>195</v>
      </c>
      <c r="X348" s="2" t="s">
        <v>169</v>
      </c>
      <c r="Y348" s="2" t="s">
        <v>3955</v>
      </c>
      <c r="Z348" s="2" t="s">
        <v>170</v>
      </c>
      <c r="AA348" s="2"/>
      <c r="AB348" s="2" t="s">
        <v>81</v>
      </c>
      <c r="AC348" s="2"/>
      <c r="AD348" s="2"/>
      <c r="AE348" s="3"/>
      <c r="AF348" s="3" t="s">
        <v>3956</v>
      </c>
      <c r="AG348" s="2"/>
      <c r="AH348" s="2" t="s">
        <v>54</v>
      </c>
      <c r="AI348" s="3" t="s">
        <v>3957</v>
      </c>
      <c r="AJ348" s="3" t="s">
        <v>3958</v>
      </c>
      <c r="AK348" s="2" t="n">
        <v>638933</v>
      </c>
      <c r="AL348" s="3" t="s">
        <v>3959</v>
      </c>
      <c r="AM348" s="2"/>
      <c r="AN348" s="2"/>
      <c r="AO348" s="3" t="s">
        <v>3960</v>
      </c>
      <c r="AP348" s="3" t="s">
        <v>3961</v>
      </c>
      <c r="AQ348" s="2" t="s">
        <v>89</v>
      </c>
    </row>
    <row r="349" customFormat="false" ht="46.25" hidden="false" customHeight="false" outlineLevel="0" collapsed="false">
      <c r="A349" s="2" t="n">
        <v>348</v>
      </c>
      <c r="B349" s="2" t="s">
        <v>3962</v>
      </c>
      <c r="C349" s="2" t="s">
        <v>3947</v>
      </c>
      <c r="D349" s="2" t="s">
        <v>3948</v>
      </c>
      <c r="E349" s="2" t="s">
        <v>3963</v>
      </c>
      <c r="F349" s="2" t="s">
        <v>3964</v>
      </c>
      <c r="G349" s="3"/>
      <c r="H349" s="2"/>
      <c r="I349" s="2" t="s">
        <v>74</v>
      </c>
      <c r="J349" s="3" t="s">
        <v>3965</v>
      </c>
      <c r="K349" s="2" t="s">
        <v>3048</v>
      </c>
      <c r="L349" s="2" t="s">
        <v>3049</v>
      </c>
      <c r="M349" s="2"/>
      <c r="N349" s="2"/>
      <c r="O349" s="2"/>
      <c r="P349" s="2" t="n">
        <v>36.5784</v>
      </c>
      <c r="Q349" s="2" t="n">
        <v>31.9396</v>
      </c>
      <c r="R349" s="2" t="s">
        <v>54</v>
      </c>
      <c r="S349" s="2" t="n">
        <v>50</v>
      </c>
      <c r="T349" s="2" t="s">
        <v>2879</v>
      </c>
      <c r="U349" s="2" t="s">
        <v>56</v>
      </c>
      <c r="V349" s="2" t="s">
        <v>78</v>
      </c>
      <c r="W349" s="2" t="s">
        <v>140</v>
      </c>
      <c r="X349" s="2" t="s">
        <v>169</v>
      </c>
      <c r="Y349" s="2" t="s">
        <v>3955</v>
      </c>
      <c r="Z349" s="2" t="s">
        <v>170</v>
      </c>
      <c r="AA349" s="2"/>
      <c r="AB349" s="2" t="s">
        <v>81</v>
      </c>
      <c r="AC349" s="2"/>
      <c r="AD349" s="2"/>
      <c r="AE349" s="3"/>
      <c r="AF349" s="3" t="s">
        <v>3966</v>
      </c>
      <c r="AG349" s="2"/>
      <c r="AH349" s="2" t="s">
        <v>113</v>
      </c>
      <c r="AI349" s="3" t="s">
        <v>3967</v>
      </c>
      <c r="AJ349" s="3" t="s">
        <v>3968</v>
      </c>
      <c r="AK349" s="2" t="n">
        <v>638853</v>
      </c>
      <c r="AL349" s="3" t="s">
        <v>3969</v>
      </c>
      <c r="AM349" s="2"/>
      <c r="AN349" s="2"/>
      <c r="AO349" s="3" t="s">
        <v>3970</v>
      </c>
      <c r="AP349" s="3" t="s">
        <v>3971</v>
      </c>
      <c r="AQ349" s="2" t="s">
        <v>89</v>
      </c>
    </row>
    <row r="350" customFormat="false" ht="23.85" hidden="false" customHeight="false" outlineLevel="0" collapsed="false">
      <c r="A350" s="2" t="n">
        <v>349</v>
      </c>
      <c r="B350" s="2" t="s">
        <v>3972</v>
      </c>
      <c r="C350" s="2" t="s">
        <v>3947</v>
      </c>
      <c r="D350" s="2" t="s">
        <v>3948</v>
      </c>
      <c r="E350" s="2" t="s">
        <v>3973</v>
      </c>
      <c r="F350" s="2" t="s">
        <v>3974</v>
      </c>
      <c r="G350" s="3" t="s">
        <v>3975</v>
      </c>
      <c r="H350" s="2"/>
      <c r="I350" s="2" t="s">
        <v>74</v>
      </c>
      <c r="J350" s="3" t="s">
        <v>3976</v>
      </c>
      <c r="K350" s="2" t="s">
        <v>3048</v>
      </c>
      <c r="L350" s="2" t="s">
        <v>3049</v>
      </c>
      <c r="M350" s="2"/>
      <c r="N350" s="2"/>
      <c r="O350" s="2"/>
      <c r="P350" s="2" t="n">
        <v>36.7324</v>
      </c>
      <c r="Q350" s="2" t="n">
        <v>31.9581</v>
      </c>
      <c r="R350" s="2" t="s">
        <v>54</v>
      </c>
      <c r="S350" s="2" t="n">
        <v>150</v>
      </c>
      <c r="T350" s="2" t="s">
        <v>1507</v>
      </c>
      <c r="U350" s="2" t="s">
        <v>56</v>
      </c>
      <c r="V350" s="2" t="s">
        <v>78</v>
      </c>
      <c r="W350" s="2" t="s">
        <v>140</v>
      </c>
      <c r="X350" s="2" t="s">
        <v>289</v>
      </c>
      <c r="Y350" s="2"/>
      <c r="Z350" s="2" t="s">
        <v>170</v>
      </c>
      <c r="AA350" s="2"/>
      <c r="AB350" s="2" t="s">
        <v>63</v>
      </c>
      <c r="AC350" s="2" t="s">
        <v>64</v>
      </c>
      <c r="AD350" s="2"/>
      <c r="AE350" s="3" t="s">
        <v>3977</v>
      </c>
      <c r="AF350" s="3" t="s">
        <v>3978</v>
      </c>
      <c r="AG350" s="2"/>
      <c r="AH350" s="2" t="s">
        <v>54</v>
      </c>
      <c r="AI350" s="3" t="s">
        <v>3979</v>
      </c>
      <c r="AJ350" s="3" t="s">
        <v>3980</v>
      </c>
      <c r="AK350" s="2" t="n">
        <v>638931</v>
      </c>
      <c r="AL350" s="3" t="s">
        <v>3981</v>
      </c>
      <c r="AM350" s="2"/>
      <c r="AN350" s="2"/>
      <c r="AO350" s="3"/>
      <c r="AP350" s="3"/>
      <c r="AQ350" s="2"/>
    </row>
    <row r="351" customFormat="false" ht="68.65" hidden="false" customHeight="false" outlineLevel="0" collapsed="false">
      <c r="A351" s="2" t="n">
        <v>350</v>
      </c>
      <c r="B351" s="2" t="s">
        <v>3982</v>
      </c>
      <c r="C351" s="2" t="s">
        <v>3947</v>
      </c>
      <c r="D351" s="2" t="s">
        <v>3948</v>
      </c>
      <c r="E351" s="2" t="s">
        <v>3983</v>
      </c>
      <c r="F351" s="2" t="s">
        <v>3984</v>
      </c>
      <c r="G351" s="3"/>
      <c r="H351" s="2"/>
      <c r="I351" s="2" t="s">
        <v>74</v>
      </c>
      <c r="J351" s="3" t="s">
        <v>3985</v>
      </c>
      <c r="K351" s="2" t="s">
        <v>3048</v>
      </c>
      <c r="L351" s="2" t="s">
        <v>3049</v>
      </c>
      <c r="M351" s="2"/>
      <c r="N351" s="2"/>
      <c r="O351" s="2"/>
      <c r="P351" s="2" t="n">
        <v>36.5105</v>
      </c>
      <c r="Q351" s="2" t="n">
        <v>32.1655</v>
      </c>
      <c r="R351" s="2" t="s">
        <v>54</v>
      </c>
      <c r="S351" s="2" t="n">
        <v>1</v>
      </c>
      <c r="T351" s="2" t="s">
        <v>2384</v>
      </c>
      <c r="U351" s="2" t="s">
        <v>56</v>
      </c>
      <c r="V351" s="2" t="s">
        <v>78</v>
      </c>
      <c r="W351" s="2" t="s">
        <v>140</v>
      </c>
      <c r="X351" s="2" t="s">
        <v>169</v>
      </c>
      <c r="Y351" s="2" t="s">
        <v>3955</v>
      </c>
      <c r="Z351" s="2" t="s">
        <v>170</v>
      </c>
      <c r="AA351" s="2"/>
      <c r="AB351" s="2" t="s">
        <v>63</v>
      </c>
      <c r="AC351" s="2" t="s">
        <v>77</v>
      </c>
      <c r="AD351" s="2"/>
      <c r="AE351" s="3"/>
      <c r="AF351" s="3" t="s">
        <v>3986</v>
      </c>
      <c r="AG351" s="2"/>
      <c r="AH351" s="2" t="s">
        <v>113</v>
      </c>
      <c r="AI351" s="3" t="s">
        <v>3987</v>
      </c>
      <c r="AJ351" s="3" t="s">
        <v>3988</v>
      </c>
      <c r="AK351" s="2" t="n">
        <v>648685</v>
      </c>
      <c r="AL351" s="3" t="s">
        <v>3989</v>
      </c>
      <c r="AM351" s="2"/>
      <c r="AN351" s="2"/>
      <c r="AO351" s="3" t="s">
        <v>3990</v>
      </c>
      <c r="AP351" s="3" t="s">
        <v>3991</v>
      </c>
      <c r="AQ351" s="2" t="s">
        <v>151</v>
      </c>
    </row>
    <row r="352" customFormat="false" ht="23.85" hidden="false" customHeight="false" outlineLevel="0" collapsed="false">
      <c r="A352" s="2" t="n">
        <v>351</v>
      </c>
      <c r="B352" s="2" t="s">
        <v>3992</v>
      </c>
      <c r="C352" s="2" t="s">
        <v>3947</v>
      </c>
      <c r="D352" s="2" t="s">
        <v>3948</v>
      </c>
      <c r="E352" s="2" t="s">
        <v>3993</v>
      </c>
      <c r="F352" s="2" t="s">
        <v>3994</v>
      </c>
      <c r="G352" s="3" t="s">
        <v>3995</v>
      </c>
      <c r="H352" s="2"/>
      <c r="I352" s="2" t="s">
        <v>74</v>
      </c>
      <c r="J352" s="3" t="s">
        <v>3996</v>
      </c>
      <c r="K352" s="2" t="s">
        <v>3048</v>
      </c>
      <c r="L352" s="2" t="s">
        <v>3049</v>
      </c>
      <c r="M352" s="2"/>
      <c r="N352" s="2"/>
      <c r="O352" s="2"/>
      <c r="P352" s="2" t="n">
        <v>36.446</v>
      </c>
      <c r="Q352" s="2" t="n">
        <v>32.1477</v>
      </c>
      <c r="R352" s="2" t="s">
        <v>54</v>
      </c>
      <c r="S352" s="2" t="n">
        <v>-48</v>
      </c>
      <c r="T352" s="2" t="s">
        <v>3997</v>
      </c>
      <c r="U352" s="2" t="s">
        <v>56</v>
      </c>
      <c r="V352" s="2" t="s">
        <v>78</v>
      </c>
      <c r="W352" s="2" t="s">
        <v>195</v>
      </c>
      <c r="X352" s="2" t="s">
        <v>289</v>
      </c>
      <c r="Y352" s="2"/>
      <c r="Z352" s="2" t="s">
        <v>170</v>
      </c>
      <c r="AA352" s="2"/>
      <c r="AB352" s="2" t="s">
        <v>63</v>
      </c>
      <c r="AC352" s="2" t="s">
        <v>64</v>
      </c>
      <c r="AD352" s="2"/>
      <c r="AE352" s="3" t="s">
        <v>3998</v>
      </c>
      <c r="AF352" s="3" t="s">
        <v>3999</v>
      </c>
      <c r="AG352" s="2"/>
      <c r="AH352" s="2" t="s">
        <v>54</v>
      </c>
      <c r="AI352" s="3" t="s">
        <v>4000</v>
      </c>
      <c r="AJ352" s="3" t="s">
        <v>4001</v>
      </c>
      <c r="AK352" s="2" t="n">
        <v>648783</v>
      </c>
      <c r="AL352" s="3" t="s">
        <v>4002</v>
      </c>
      <c r="AM352" s="2"/>
      <c r="AN352" s="2"/>
      <c r="AO352" s="3"/>
      <c r="AP352" s="3"/>
      <c r="AQ352" s="2"/>
    </row>
    <row r="353" customFormat="false" ht="46.25" hidden="false" customHeight="false" outlineLevel="0" collapsed="false">
      <c r="A353" s="2" t="n">
        <v>352</v>
      </c>
      <c r="B353" s="2" t="s">
        <v>4003</v>
      </c>
      <c r="C353" s="2" t="s">
        <v>3947</v>
      </c>
      <c r="D353" s="2" t="s">
        <v>3948</v>
      </c>
      <c r="E353" s="2" t="s">
        <v>4004</v>
      </c>
      <c r="F353" s="2" t="s">
        <v>4005</v>
      </c>
      <c r="G353" s="3"/>
      <c r="H353" s="2"/>
      <c r="I353" s="2" t="s">
        <v>74</v>
      </c>
      <c r="J353" s="3" t="s">
        <v>4006</v>
      </c>
      <c r="K353" s="2" t="s">
        <v>3048</v>
      </c>
      <c r="L353" s="2" t="s">
        <v>3049</v>
      </c>
      <c r="M353" s="2"/>
      <c r="N353" s="2"/>
      <c r="O353" s="2"/>
      <c r="P353" s="2" t="n">
        <v>36.32</v>
      </c>
      <c r="Q353" s="2" t="n">
        <v>32.2368</v>
      </c>
      <c r="R353" s="2" t="s">
        <v>54</v>
      </c>
      <c r="S353" s="2" t="n">
        <v>52</v>
      </c>
      <c r="T353" s="2" t="s">
        <v>4007</v>
      </c>
      <c r="U353" s="2" t="s">
        <v>139</v>
      </c>
      <c r="V353" s="2" t="s">
        <v>97</v>
      </c>
      <c r="W353" s="2" t="s">
        <v>140</v>
      </c>
      <c r="X353" s="2" t="s">
        <v>246</v>
      </c>
      <c r="Y353" s="2" t="s">
        <v>4008</v>
      </c>
      <c r="Z353" s="2" t="s">
        <v>4009</v>
      </c>
      <c r="AA353" s="2"/>
      <c r="AB353" s="2" t="s">
        <v>81</v>
      </c>
      <c r="AC353" s="2"/>
      <c r="AD353" s="2"/>
      <c r="AE353" s="3"/>
      <c r="AF353" s="3" t="s">
        <v>4010</v>
      </c>
      <c r="AG353" s="2"/>
      <c r="AH353" s="2" t="s">
        <v>54</v>
      </c>
      <c r="AI353" s="3" t="s">
        <v>4011</v>
      </c>
      <c r="AJ353" s="3" t="s">
        <v>4012</v>
      </c>
      <c r="AK353" s="2" t="n">
        <v>648650</v>
      </c>
      <c r="AL353" s="3" t="s">
        <v>4013</v>
      </c>
      <c r="AM353" s="2"/>
      <c r="AN353" s="2"/>
      <c r="AO353" s="3" t="s">
        <v>4014</v>
      </c>
      <c r="AP353" s="3" t="s">
        <v>4015</v>
      </c>
      <c r="AQ353" s="2" t="s">
        <v>89</v>
      </c>
    </row>
    <row r="354" customFormat="false" ht="46.25" hidden="false" customHeight="false" outlineLevel="0" collapsed="false">
      <c r="A354" s="2" t="n">
        <v>353</v>
      </c>
      <c r="B354" s="2" t="s">
        <v>4016</v>
      </c>
      <c r="C354" s="2" t="s">
        <v>3947</v>
      </c>
      <c r="D354" s="2" t="s">
        <v>3948</v>
      </c>
      <c r="E354" s="2" t="s">
        <v>4017</v>
      </c>
      <c r="F354" s="2" t="s">
        <v>4018</v>
      </c>
      <c r="G354" s="3" t="s">
        <v>4019</v>
      </c>
      <c r="H354" s="2"/>
      <c r="I354" s="2" t="s">
        <v>74</v>
      </c>
      <c r="J354" s="3" t="s">
        <v>4020</v>
      </c>
      <c r="K354" s="2" t="s">
        <v>3048</v>
      </c>
      <c r="L354" s="2" t="s">
        <v>3049</v>
      </c>
      <c r="M354" s="2"/>
      <c r="N354" s="2"/>
      <c r="O354" s="2"/>
      <c r="P354" s="2" t="n">
        <v>36.2585</v>
      </c>
      <c r="Q354" s="2" t="n">
        <v>32.2827</v>
      </c>
      <c r="R354" s="2" t="s">
        <v>54</v>
      </c>
      <c r="S354" s="2" t="n">
        <v>-340</v>
      </c>
      <c r="T354" s="2" t="s">
        <v>2765</v>
      </c>
      <c r="U354" s="2" t="s">
        <v>56</v>
      </c>
      <c r="V354" s="2" t="s">
        <v>78</v>
      </c>
      <c r="W354" s="2" t="s">
        <v>168</v>
      </c>
      <c r="X354" s="2" t="s">
        <v>169</v>
      </c>
      <c r="Y354" s="2" t="s">
        <v>3955</v>
      </c>
      <c r="Z354" s="2" t="s">
        <v>170</v>
      </c>
      <c r="AA354" s="2"/>
      <c r="AB354" s="2" t="s">
        <v>63</v>
      </c>
      <c r="AC354" s="2" t="s">
        <v>64</v>
      </c>
      <c r="AD354" s="2" t="s">
        <v>4021</v>
      </c>
      <c r="AE354" s="3" t="s">
        <v>4022</v>
      </c>
      <c r="AF354" s="3" t="s">
        <v>4023</v>
      </c>
      <c r="AG354" s="2"/>
      <c r="AH354" s="2" t="s">
        <v>54</v>
      </c>
      <c r="AI354" s="3" t="s">
        <v>4024</v>
      </c>
      <c r="AJ354" s="3" t="s">
        <v>4025</v>
      </c>
      <c r="AK354" s="2" t="n">
        <v>648772</v>
      </c>
      <c r="AL354" s="3" t="s">
        <v>4026</v>
      </c>
      <c r="AM354" s="2"/>
      <c r="AN354" s="2"/>
      <c r="AO354" s="3"/>
      <c r="AP354" s="3"/>
      <c r="AQ354" s="2"/>
    </row>
    <row r="355" customFormat="false" ht="35.05" hidden="false" customHeight="false" outlineLevel="0" collapsed="false">
      <c r="A355" s="2" t="n">
        <v>354</v>
      </c>
      <c r="B355" s="2" t="s">
        <v>4027</v>
      </c>
      <c r="C355" s="2" t="s">
        <v>3947</v>
      </c>
      <c r="D355" s="2" t="s">
        <v>3948</v>
      </c>
      <c r="E355" s="2" t="s">
        <v>4028</v>
      </c>
      <c r="F355" s="2" t="s">
        <v>4029</v>
      </c>
      <c r="G355" s="3" t="s">
        <v>4030</v>
      </c>
      <c r="H355" s="2"/>
      <c r="I355" s="2" t="s">
        <v>74</v>
      </c>
      <c r="J355" s="3" t="s">
        <v>4031</v>
      </c>
      <c r="K355" s="2" t="s">
        <v>3048</v>
      </c>
      <c r="L355" s="2" t="s">
        <v>3049</v>
      </c>
      <c r="M355" s="2"/>
      <c r="N355" s="2"/>
      <c r="O355" s="2"/>
      <c r="P355" s="2" t="n">
        <v>36.2276</v>
      </c>
      <c r="Q355" s="2" t="n">
        <v>32.3369</v>
      </c>
      <c r="R355" s="2" t="s">
        <v>54</v>
      </c>
      <c r="S355" s="2" t="n">
        <v>100</v>
      </c>
      <c r="T355" s="2" t="s">
        <v>2260</v>
      </c>
      <c r="U355" s="2" t="s">
        <v>56</v>
      </c>
      <c r="V355" s="2" t="s">
        <v>78</v>
      </c>
      <c r="W355" s="2" t="s">
        <v>140</v>
      </c>
      <c r="X355" s="2" t="s">
        <v>169</v>
      </c>
      <c r="Y355" s="2" t="s">
        <v>3955</v>
      </c>
      <c r="Z355" s="2" t="s">
        <v>170</v>
      </c>
      <c r="AA355" s="2"/>
      <c r="AB355" s="2" t="s">
        <v>81</v>
      </c>
      <c r="AC355" s="2"/>
      <c r="AD355" s="2"/>
      <c r="AE355" s="3"/>
      <c r="AF355" s="3" t="s">
        <v>4032</v>
      </c>
      <c r="AG355" s="2"/>
      <c r="AH355" s="2" t="s">
        <v>113</v>
      </c>
      <c r="AI355" s="3" t="s">
        <v>4033</v>
      </c>
      <c r="AJ355" s="3" t="s">
        <v>4034</v>
      </c>
      <c r="AK355" s="2" t="n">
        <v>648665</v>
      </c>
      <c r="AL355" s="3" t="s">
        <v>4035</v>
      </c>
      <c r="AM355" s="2"/>
      <c r="AN355" s="2"/>
      <c r="AO355" s="3" t="s">
        <v>4036</v>
      </c>
      <c r="AP355" s="3" t="s">
        <v>4037</v>
      </c>
      <c r="AQ355" s="2" t="s">
        <v>89</v>
      </c>
    </row>
    <row r="356" customFormat="false" ht="57.45" hidden="false" customHeight="false" outlineLevel="0" collapsed="false">
      <c r="A356" s="2" t="n">
        <v>355</v>
      </c>
      <c r="B356" s="2" t="s">
        <v>4038</v>
      </c>
      <c r="C356" s="2" t="s">
        <v>3947</v>
      </c>
      <c r="D356" s="2" t="s">
        <v>3948</v>
      </c>
      <c r="E356" s="2" t="s">
        <v>4039</v>
      </c>
      <c r="F356" s="2" t="s">
        <v>4040</v>
      </c>
      <c r="G356" s="3" t="s">
        <v>4041</v>
      </c>
      <c r="H356" s="2"/>
      <c r="I356" s="2" t="s">
        <v>74</v>
      </c>
      <c r="J356" s="3" t="s">
        <v>4042</v>
      </c>
      <c r="K356" s="2" t="s">
        <v>3048</v>
      </c>
      <c r="L356" s="2" t="s">
        <v>3049</v>
      </c>
      <c r="M356" s="2"/>
      <c r="N356" s="2"/>
      <c r="O356" s="2"/>
      <c r="P356" s="2" t="n">
        <v>36.2284</v>
      </c>
      <c r="Q356" s="2" t="n">
        <v>32.4554</v>
      </c>
      <c r="R356" s="2" t="s">
        <v>54</v>
      </c>
      <c r="S356" s="2" t="n">
        <v>150</v>
      </c>
      <c r="T356" s="2" t="s">
        <v>1507</v>
      </c>
      <c r="U356" s="2" t="s">
        <v>56</v>
      </c>
      <c r="V356" s="2" t="s">
        <v>78</v>
      </c>
      <c r="W356" s="2" t="s">
        <v>140</v>
      </c>
      <c r="X356" s="2" t="s">
        <v>289</v>
      </c>
      <c r="Y356" s="2"/>
      <c r="Z356" s="2" t="s">
        <v>170</v>
      </c>
      <c r="AA356" s="2"/>
      <c r="AB356" s="2" t="s">
        <v>63</v>
      </c>
      <c r="AC356" s="2" t="s">
        <v>64</v>
      </c>
      <c r="AD356" s="2"/>
      <c r="AE356" s="3" t="s">
        <v>3920</v>
      </c>
      <c r="AF356" s="3" t="s">
        <v>4043</v>
      </c>
      <c r="AG356" s="2"/>
      <c r="AH356" s="2" t="s">
        <v>113</v>
      </c>
      <c r="AI356" s="3" t="s">
        <v>4044</v>
      </c>
      <c r="AJ356" s="3" t="s">
        <v>4045</v>
      </c>
      <c r="AK356" s="2" t="n">
        <v>648690</v>
      </c>
      <c r="AL356" s="3" t="s">
        <v>4046</v>
      </c>
      <c r="AM356" s="2"/>
      <c r="AN356" s="2"/>
      <c r="AO356" s="3"/>
      <c r="AP356" s="3"/>
      <c r="AQ356" s="2"/>
    </row>
    <row r="357" customFormat="false" ht="68.65" hidden="false" customHeight="false" outlineLevel="0" collapsed="false">
      <c r="A357" s="2" t="n">
        <v>356</v>
      </c>
      <c r="B357" s="2" t="s">
        <v>4047</v>
      </c>
      <c r="C357" s="2" t="s">
        <v>3947</v>
      </c>
      <c r="D357" s="2" t="s">
        <v>3948</v>
      </c>
      <c r="E357" s="2" t="s">
        <v>4048</v>
      </c>
      <c r="F357" s="2" t="s">
        <v>4049</v>
      </c>
      <c r="G357" s="3" t="s">
        <v>4050</v>
      </c>
      <c r="H357" s="2"/>
      <c r="I357" s="2" t="s">
        <v>74</v>
      </c>
      <c r="J357" s="3" t="s">
        <v>4051</v>
      </c>
      <c r="K357" s="2" t="s">
        <v>3048</v>
      </c>
      <c r="L357" s="2" t="s">
        <v>3049</v>
      </c>
      <c r="M357" s="2"/>
      <c r="N357" s="2"/>
      <c r="O357" s="2"/>
      <c r="P357" s="2" t="n">
        <v>36.1533</v>
      </c>
      <c r="Q357" s="2" t="n">
        <v>32.4291</v>
      </c>
      <c r="R357" s="2" t="s">
        <v>54</v>
      </c>
      <c r="S357" s="2" t="n">
        <v>50</v>
      </c>
      <c r="T357" s="2" t="s">
        <v>2879</v>
      </c>
      <c r="U357" s="2" t="s">
        <v>139</v>
      </c>
      <c r="V357" s="2" t="s">
        <v>97</v>
      </c>
      <c r="W357" s="2" t="s">
        <v>140</v>
      </c>
      <c r="X357" s="2" t="s">
        <v>246</v>
      </c>
      <c r="Y357" s="2" t="s">
        <v>4008</v>
      </c>
      <c r="Z357" s="2" t="s">
        <v>4009</v>
      </c>
      <c r="AA357" s="2"/>
      <c r="AB357" s="2" t="s">
        <v>81</v>
      </c>
      <c r="AC357" s="2"/>
      <c r="AD357" s="2"/>
      <c r="AE357" s="3"/>
      <c r="AF357" s="3" t="s">
        <v>4052</v>
      </c>
      <c r="AG357" s="2"/>
      <c r="AH357" s="2" t="s">
        <v>54</v>
      </c>
      <c r="AI357" s="3" t="s">
        <v>4053</v>
      </c>
      <c r="AJ357" s="3" t="s">
        <v>4054</v>
      </c>
      <c r="AK357" s="2" t="n">
        <v>648560</v>
      </c>
      <c r="AL357" s="3" t="s">
        <v>4055</v>
      </c>
      <c r="AM357" s="2"/>
      <c r="AN357" s="2"/>
      <c r="AO357" s="3" t="s">
        <v>4056</v>
      </c>
      <c r="AP357" s="3" t="s">
        <v>4057</v>
      </c>
      <c r="AQ357" s="2" t="s">
        <v>89</v>
      </c>
    </row>
    <row r="358" customFormat="false" ht="23.85" hidden="false" customHeight="false" outlineLevel="0" collapsed="false">
      <c r="A358" s="2" t="n">
        <v>357</v>
      </c>
      <c r="B358" s="2" t="s">
        <v>4058</v>
      </c>
      <c r="C358" s="2" t="s">
        <v>3947</v>
      </c>
      <c r="D358" s="2" t="s">
        <v>3948</v>
      </c>
      <c r="E358" s="2" t="s">
        <v>4059</v>
      </c>
      <c r="F358" s="2" t="s">
        <v>4060</v>
      </c>
      <c r="G358" s="3" t="s">
        <v>4061</v>
      </c>
      <c r="H358" s="2"/>
      <c r="I358" s="2" t="s">
        <v>74</v>
      </c>
      <c r="J358" s="3" t="s">
        <v>4062</v>
      </c>
      <c r="K358" s="2" t="s">
        <v>3048</v>
      </c>
      <c r="L358" s="2" t="s">
        <v>3049</v>
      </c>
      <c r="M358" s="2"/>
      <c r="N358" s="2"/>
      <c r="O358" s="2"/>
      <c r="P358" s="2" t="n">
        <v>36.164</v>
      </c>
      <c r="Q358" s="2" t="n">
        <v>32.3876</v>
      </c>
      <c r="R358" s="2" t="s">
        <v>95</v>
      </c>
      <c r="S358" s="2" t="n">
        <v>550</v>
      </c>
      <c r="T358" s="2" t="s">
        <v>4063</v>
      </c>
      <c r="U358" s="2" t="s">
        <v>56</v>
      </c>
      <c r="V358" s="2" t="s">
        <v>97</v>
      </c>
      <c r="W358" s="2" t="s">
        <v>304</v>
      </c>
      <c r="X358" s="2" t="s">
        <v>169</v>
      </c>
      <c r="Y358" s="2" t="s">
        <v>3955</v>
      </c>
      <c r="Z358" s="2" t="s">
        <v>170</v>
      </c>
      <c r="AA358" s="2"/>
      <c r="AB358" s="2" t="s">
        <v>81</v>
      </c>
      <c r="AC358" s="2"/>
      <c r="AD358" s="2"/>
      <c r="AE358" s="3"/>
      <c r="AF358" s="3" t="s">
        <v>4064</v>
      </c>
      <c r="AG358" s="2"/>
      <c r="AH358" s="2" t="s">
        <v>263</v>
      </c>
      <c r="AI358" s="3" t="s">
        <v>4065</v>
      </c>
      <c r="AJ358" s="3" t="s">
        <v>4066</v>
      </c>
      <c r="AK358" s="2" t="n">
        <v>648720</v>
      </c>
      <c r="AL358" s="3" t="s">
        <v>4067</v>
      </c>
      <c r="AM358" s="2"/>
      <c r="AN358" s="2"/>
      <c r="AO358" s="3" t="s">
        <v>4068</v>
      </c>
      <c r="AP358" s="3" t="s">
        <v>4069</v>
      </c>
      <c r="AQ358" s="2" t="s">
        <v>89</v>
      </c>
    </row>
    <row r="359" customFormat="false" ht="35.05" hidden="false" customHeight="false" outlineLevel="0" collapsed="false">
      <c r="A359" s="2" t="n">
        <v>358</v>
      </c>
      <c r="B359" s="2" t="s">
        <v>4070</v>
      </c>
      <c r="C359" s="2" t="s">
        <v>3947</v>
      </c>
      <c r="D359" s="2" t="s">
        <v>3948</v>
      </c>
      <c r="E359" s="2" t="s">
        <v>4071</v>
      </c>
      <c r="F359" s="2" t="s">
        <v>4072</v>
      </c>
      <c r="G359" s="3" t="s">
        <v>4073</v>
      </c>
      <c r="H359" s="2"/>
      <c r="I359" s="2" t="s">
        <v>74</v>
      </c>
      <c r="J359" s="3" t="s">
        <v>4074</v>
      </c>
      <c r="K359" s="2" t="s">
        <v>3048</v>
      </c>
      <c r="L359" s="2" t="s">
        <v>3049</v>
      </c>
      <c r="M359" s="2"/>
      <c r="N359" s="2"/>
      <c r="O359" s="2"/>
      <c r="P359" s="2" t="n">
        <v>36.19</v>
      </c>
      <c r="Q359" s="2" t="n">
        <v>32.4104</v>
      </c>
      <c r="R359" s="2" t="s">
        <v>95</v>
      </c>
      <c r="S359" s="2" t="n">
        <v>50</v>
      </c>
      <c r="T359" s="2" t="s">
        <v>2879</v>
      </c>
      <c r="U359" s="2" t="s">
        <v>139</v>
      </c>
      <c r="V359" s="2" t="s">
        <v>97</v>
      </c>
      <c r="W359" s="2" t="s">
        <v>140</v>
      </c>
      <c r="X359" s="2" t="s">
        <v>141</v>
      </c>
      <c r="Y359" s="2" t="s">
        <v>4075</v>
      </c>
      <c r="Z359" s="2" t="s">
        <v>143</v>
      </c>
      <c r="AA359" s="2"/>
      <c r="AB359" s="2" t="s">
        <v>81</v>
      </c>
      <c r="AC359" s="2"/>
      <c r="AD359" s="2"/>
      <c r="AE359" s="3"/>
      <c r="AF359" s="3" t="s">
        <v>4076</v>
      </c>
      <c r="AG359" s="2"/>
      <c r="AH359" s="2" t="s">
        <v>263</v>
      </c>
      <c r="AI359" s="3" t="s">
        <v>4077</v>
      </c>
      <c r="AJ359" s="3" t="s">
        <v>4078</v>
      </c>
      <c r="AK359" s="2" t="n">
        <v>648657</v>
      </c>
      <c r="AL359" s="3" t="s">
        <v>4079</v>
      </c>
      <c r="AM359" s="2"/>
      <c r="AN359" s="2"/>
      <c r="AO359" s="3" t="s">
        <v>4080</v>
      </c>
      <c r="AP359" s="3" t="s">
        <v>4081</v>
      </c>
      <c r="AQ359" s="2" t="s">
        <v>89</v>
      </c>
    </row>
    <row r="360" customFormat="false" ht="35.05" hidden="false" customHeight="false" outlineLevel="0" collapsed="false">
      <c r="A360" s="2" t="n">
        <v>359</v>
      </c>
      <c r="B360" s="2" t="s">
        <v>4082</v>
      </c>
      <c r="C360" s="2" t="s">
        <v>3947</v>
      </c>
      <c r="D360" s="2" t="s">
        <v>3948</v>
      </c>
      <c r="E360" s="2" t="s">
        <v>4083</v>
      </c>
      <c r="F360" s="2" t="s">
        <v>4084</v>
      </c>
      <c r="G360" s="3" t="s">
        <v>4085</v>
      </c>
      <c r="H360" s="2"/>
      <c r="I360" s="2" t="s">
        <v>74</v>
      </c>
      <c r="J360" s="3" t="s">
        <v>4086</v>
      </c>
      <c r="K360" s="2" t="s">
        <v>4087</v>
      </c>
      <c r="L360" s="2" t="s">
        <v>3049</v>
      </c>
      <c r="M360" s="2"/>
      <c r="N360" s="2"/>
      <c r="O360" s="2"/>
      <c r="P360" s="2" t="n">
        <v>36.1066</v>
      </c>
      <c r="Q360" s="2" t="n">
        <v>32.5661</v>
      </c>
      <c r="R360" s="2" t="s">
        <v>54</v>
      </c>
      <c r="S360" s="2" t="n">
        <v>-340</v>
      </c>
      <c r="T360" s="2" t="s">
        <v>2765</v>
      </c>
      <c r="U360" s="2" t="s">
        <v>56</v>
      </c>
      <c r="V360" s="2" t="s">
        <v>78</v>
      </c>
      <c r="W360" s="2" t="s">
        <v>168</v>
      </c>
      <c r="X360" s="2" t="s">
        <v>169</v>
      </c>
      <c r="Y360" s="2" t="s">
        <v>3955</v>
      </c>
      <c r="Z360" s="2" t="s">
        <v>170</v>
      </c>
      <c r="AA360" s="2"/>
      <c r="AB360" s="2" t="s">
        <v>81</v>
      </c>
      <c r="AC360" s="2"/>
      <c r="AD360" s="2"/>
      <c r="AE360" s="3"/>
      <c r="AF360" s="3" t="s">
        <v>4088</v>
      </c>
      <c r="AG360" s="2"/>
      <c r="AH360" s="2" t="s">
        <v>113</v>
      </c>
      <c r="AI360" s="3" t="s">
        <v>4089</v>
      </c>
      <c r="AJ360" s="3" t="s">
        <v>4090</v>
      </c>
      <c r="AK360" s="2" t="n">
        <v>648597</v>
      </c>
      <c r="AL360" s="3" t="s">
        <v>4091</v>
      </c>
      <c r="AM360" s="2"/>
      <c r="AN360" s="2"/>
      <c r="AO360" s="3" t="s">
        <v>4092</v>
      </c>
      <c r="AP360" s="3" t="s">
        <v>4093</v>
      </c>
      <c r="AQ360" s="2" t="s">
        <v>89</v>
      </c>
    </row>
    <row r="361" customFormat="false" ht="57.45" hidden="false" customHeight="false" outlineLevel="0" collapsed="false">
      <c r="A361" s="2" t="n">
        <v>360</v>
      </c>
      <c r="B361" s="2" t="s">
        <v>4094</v>
      </c>
      <c r="C361" s="2" t="s">
        <v>3947</v>
      </c>
      <c r="D361" s="2" t="s">
        <v>3948</v>
      </c>
      <c r="E361" s="2" t="s">
        <v>4095</v>
      </c>
      <c r="F361" s="2" t="s">
        <v>4096</v>
      </c>
      <c r="G361" s="3" t="s">
        <v>4097</v>
      </c>
      <c r="H361" s="2"/>
      <c r="I361" s="2" t="s">
        <v>74</v>
      </c>
      <c r="J361" s="3" t="s">
        <v>4098</v>
      </c>
      <c r="K361" s="2" t="s">
        <v>4087</v>
      </c>
      <c r="L361" s="2" t="s">
        <v>3049</v>
      </c>
      <c r="M361" s="2"/>
      <c r="N361" s="2"/>
      <c r="O361" s="2"/>
      <c r="P361" s="2" t="n">
        <v>36.0243</v>
      </c>
      <c r="Q361" s="2" t="n">
        <v>32.8033</v>
      </c>
      <c r="R361" s="2" t="s">
        <v>54</v>
      </c>
      <c r="S361" s="2" t="n">
        <v>-340</v>
      </c>
      <c r="T361" s="2" t="s">
        <v>2765</v>
      </c>
      <c r="U361" s="2" t="s">
        <v>56</v>
      </c>
      <c r="V361" s="2" t="s">
        <v>78</v>
      </c>
      <c r="W361" s="2" t="s">
        <v>168</v>
      </c>
      <c r="X361" s="2" t="s">
        <v>169</v>
      </c>
      <c r="Y361" s="2" t="s">
        <v>3955</v>
      </c>
      <c r="Z361" s="2" t="s">
        <v>170</v>
      </c>
      <c r="AA361" s="2"/>
      <c r="AB361" s="2" t="s">
        <v>81</v>
      </c>
      <c r="AC361" s="2"/>
      <c r="AD361" s="2"/>
      <c r="AE361" s="3"/>
      <c r="AF361" s="3" t="s">
        <v>4099</v>
      </c>
      <c r="AG361" s="2"/>
      <c r="AH361" s="2" t="s">
        <v>54</v>
      </c>
      <c r="AI361" s="3" t="s">
        <v>4100</v>
      </c>
      <c r="AJ361" s="3" t="s">
        <v>4101</v>
      </c>
      <c r="AK361" s="2" t="n">
        <v>648557</v>
      </c>
      <c r="AL361" s="3" t="s">
        <v>4102</v>
      </c>
      <c r="AM361" s="2"/>
      <c r="AN361" s="2"/>
      <c r="AO361" s="3" t="s">
        <v>4103</v>
      </c>
      <c r="AP361" s="3" t="s">
        <v>4104</v>
      </c>
      <c r="AQ361" s="2" t="s">
        <v>89</v>
      </c>
    </row>
    <row r="362" customFormat="false" ht="35.05" hidden="false" customHeight="false" outlineLevel="0" collapsed="false">
      <c r="A362" s="2" t="n">
        <v>361</v>
      </c>
      <c r="B362" s="2" t="s">
        <v>4105</v>
      </c>
      <c r="C362" s="2" t="s">
        <v>3947</v>
      </c>
      <c r="D362" s="2" t="s">
        <v>3948</v>
      </c>
      <c r="E362" s="2" t="s">
        <v>4106</v>
      </c>
      <c r="F362" s="2" t="s">
        <v>4107</v>
      </c>
      <c r="G362" s="3" t="s">
        <v>4108</v>
      </c>
      <c r="H362" s="2"/>
      <c r="I362" s="2" t="s">
        <v>93</v>
      </c>
      <c r="J362" s="3" t="s">
        <v>4109</v>
      </c>
      <c r="K362" s="2" t="s">
        <v>4087</v>
      </c>
      <c r="L362" s="2" t="s">
        <v>3049</v>
      </c>
      <c r="M362" s="2"/>
      <c r="N362" s="2"/>
      <c r="O362" s="2"/>
      <c r="P362" s="2" t="n">
        <v>36.0994</v>
      </c>
      <c r="Q362" s="2" t="n">
        <v>32.81</v>
      </c>
      <c r="R362" s="2" t="s">
        <v>95</v>
      </c>
      <c r="S362" s="2" t="n">
        <v>80</v>
      </c>
      <c r="T362" s="2" t="s">
        <v>2353</v>
      </c>
      <c r="U362" s="2" t="s">
        <v>139</v>
      </c>
      <c r="V362" s="2" t="s">
        <v>97</v>
      </c>
      <c r="W362" s="2" t="s">
        <v>140</v>
      </c>
      <c r="X362" s="2" t="s">
        <v>141</v>
      </c>
      <c r="Y362" s="2" t="s">
        <v>4110</v>
      </c>
      <c r="Z362" s="2" t="s">
        <v>143</v>
      </c>
      <c r="AA362" s="2"/>
      <c r="AB362" s="2" t="s">
        <v>81</v>
      </c>
      <c r="AC362" s="2"/>
      <c r="AD362" s="2"/>
      <c r="AE362" s="3"/>
      <c r="AF362" s="3" t="s">
        <v>4111</v>
      </c>
      <c r="AG362" s="2"/>
      <c r="AH362" s="2" t="s">
        <v>113</v>
      </c>
      <c r="AI362" s="3" t="s">
        <v>4112</v>
      </c>
      <c r="AJ362" s="3" t="s">
        <v>4113</v>
      </c>
      <c r="AK362" s="2" t="n">
        <v>648796</v>
      </c>
      <c r="AL362" s="3" t="s">
        <v>4114</v>
      </c>
      <c r="AM362" s="2"/>
      <c r="AN362" s="2"/>
      <c r="AO362" s="3" t="s">
        <v>1435</v>
      </c>
      <c r="AP362" s="3" t="s">
        <v>4115</v>
      </c>
      <c r="AQ362" s="2" t="s">
        <v>106</v>
      </c>
    </row>
    <row r="363" customFormat="false" ht="91" hidden="false" customHeight="false" outlineLevel="0" collapsed="false">
      <c r="A363" s="2" t="n">
        <v>362</v>
      </c>
      <c r="B363" s="2" t="s">
        <v>4116</v>
      </c>
      <c r="C363" s="2" t="s">
        <v>3947</v>
      </c>
      <c r="D363" s="2" t="s">
        <v>3948</v>
      </c>
      <c r="E363" s="2" t="s">
        <v>4117</v>
      </c>
      <c r="F363" s="2" t="s">
        <v>4118</v>
      </c>
      <c r="G363" s="3" t="s">
        <v>4119</v>
      </c>
      <c r="H363" s="2"/>
      <c r="I363" s="2" t="s">
        <v>74</v>
      </c>
      <c r="J363" s="3" t="s">
        <v>4120</v>
      </c>
      <c r="K363" s="2" t="s">
        <v>4087</v>
      </c>
      <c r="L363" s="2" t="s">
        <v>3049</v>
      </c>
      <c r="M363" s="2"/>
      <c r="N363" s="2"/>
      <c r="O363" s="2"/>
      <c r="P363" s="2" t="n">
        <v>36.1008</v>
      </c>
      <c r="Q363" s="2" t="n">
        <v>32.9766</v>
      </c>
      <c r="R363" s="2" t="s">
        <v>54</v>
      </c>
      <c r="S363" s="2" t="n">
        <v>-500</v>
      </c>
      <c r="T363" s="2" t="s">
        <v>55</v>
      </c>
      <c r="U363" s="2" t="s">
        <v>77</v>
      </c>
      <c r="V363" s="2" t="s">
        <v>78</v>
      </c>
      <c r="W363" s="2" t="s">
        <v>58</v>
      </c>
      <c r="X363" s="2" t="s">
        <v>59</v>
      </c>
      <c r="Y363" s="2" t="s">
        <v>4121</v>
      </c>
      <c r="Z363" s="2" t="s">
        <v>61</v>
      </c>
      <c r="AA363" s="2" t="s">
        <v>371</v>
      </c>
      <c r="AB363" s="2" t="s">
        <v>81</v>
      </c>
      <c r="AC363" s="2"/>
      <c r="AD363" s="2"/>
      <c r="AE363" s="3"/>
      <c r="AF363" s="3" t="s">
        <v>4122</v>
      </c>
      <c r="AG363" s="2"/>
      <c r="AH363" s="2" t="s">
        <v>54</v>
      </c>
      <c r="AI363" s="3" t="s">
        <v>4123</v>
      </c>
      <c r="AJ363" s="3" t="s">
        <v>4124</v>
      </c>
      <c r="AK363" s="2" t="n">
        <v>648717</v>
      </c>
      <c r="AL363" s="3" t="s">
        <v>4125</v>
      </c>
      <c r="AM363" s="2"/>
      <c r="AN363" s="2"/>
      <c r="AO363" s="3" t="s">
        <v>4126</v>
      </c>
      <c r="AP363" s="3" t="s">
        <v>4127</v>
      </c>
      <c r="AQ363" s="2" t="s">
        <v>89</v>
      </c>
    </row>
    <row r="364" customFormat="false" ht="68.65" hidden="false" customHeight="false" outlineLevel="0" collapsed="false">
      <c r="A364" s="2" t="n">
        <v>363</v>
      </c>
      <c r="B364" s="2" t="s">
        <v>4128</v>
      </c>
      <c r="C364" s="2" t="s">
        <v>3947</v>
      </c>
      <c r="D364" s="2" t="s">
        <v>3948</v>
      </c>
      <c r="E364" s="2" t="s">
        <v>4129</v>
      </c>
      <c r="F364" s="2" t="s">
        <v>4130</v>
      </c>
      <c r="G364" s="3"/>
      <c r="H364" s="2"/>
      <c r="I364" s="2" t="s">
        <v>74</v>
      </c>
      <c r="J364" s="3" t="s">
        <v>4131</v>
      </c>
      <c r="K364" s="2" t="s">
        <v>4087</v>
      </c>
      <c r="L364" s="2" t="s">
        <v>3049</v>
      </c>
      <c r="M364" s="2"/>
      <c r="N364" s="2"/>
      <c r="O364" s="2"/>
      <c r="P364" s="2" t="n">
        <v>36.0947</v>
      </c>
      <c r="Q364" s="2" t="n">
        <v>33.0312</v>
      </c>
      <c r="R364" s="2" t="s">
        <v>95</v>
      </c>
      <c r="S364" s="2" t="n">
        <v>-265</v>
      </c>
      <c r="T364" s="2" t="s">
        <v>4132</v>
      </c>
      <c r="U364" s="2" t="s">
        <v>139</v>
      </c>
      <c r="V364" s="2" t="s">
        <v>57</v>
      </c>
      <c r="W364" s="2" t="s">
        <v>195</v>
      </c>
      <c r="X364" s="2" t="s">
        <v>246</v>
      </c>
      <c r="Y364" s="2" t="s">
        <v>4133</v>
      </c>
      <c r="Z364" s="2" t="s">
        <v>3502</v>
      </c>
      <c r="AA364" s="2" t="s">
        <v>4134</v>
      </c>
      <c r="AB364" s="2" t="s">
        <v>81</v>
      </c>
      <c r="AC364" s="2"/>
      <c r="AD364" s="2"/>
      <c r="AE364" s="3"/>
      <c r="AF364" s="3" t="s">
        <v>4135</v>
      </c>
      <c r="AG364" s="2"/>
      <c r="AH364" s="2" t="s">
        <v>54</v>
      </c>
      <c r="AI364" s="3" t="s">
        <v>4136</v>
      </c>
      <c r="AJ364" s="3" t="s">
        <v>4137</v>
      </c>
      <c r="AK364" s="2" t="n">
        <v>648571</v>
      </c>
      <c r="AL364" s="3" t="s">
        <v>4138</v>
      </c>
      <c r="AM364" s="2"/>
      <c r="AN364" s="2"/>
      <c r="AO364" s="3" t="s">
        <v>4139</v>
      </c>
      <c r="AP364" s="3" t="s">
        <v>4140</v>
      </c>
      <c r="AQ364" s="2" t="s">
        <v>89</v>
      </c>
    </row>
    <row r="365" customFormat="false" ht="35.05" hidden="false" customHeight="false" outlineLevel="0" collapsed="false">
      <c r="A365" s="2" t="n">
        <v>364</v>
      </c>
      <c r="B365" s="2" t="s">
        <v>4141</v>
      </c>
      <c r="C365" s="2" t="s">
        <v>3947</v>
      </c>
      <c r="D365" s="2" t="s">
        <v>3948</v>
      </c>
      <c r="E365" s="2" t="s">
        <v>4142</v>
      </c>
      <c r="F365" s="2" t="s">
        <v>4143</v>
      </c>
      <c r="G365" s="3" t="s">
        <v>4144</v>
      </c>
      <c r="H365" s="2"/>
      <c r="I365" s="2" t="s">
        <v>74</v>
      </c>
      <c r="J365" s="3" t="s">
        <v>4145</v>
      </c>
      <c r="K365" s="2" t="s">
        <v>4087</v>
      </c>
      <c r="L365" s="2" t="s">
        <v>3049</v>
      </c>
      <c r="M365" s="2"/>
      <c r="N365" s="2"/>
      <c r="O365" s="2"/>
      <c r="P365" s="2" t="n">
        <v>36.1061</v>
      </c>
      <c r="Q365" s="2" t="n">
        <v>33.0238</v>
      </c>
      <c r="R365" s="2" t="s">
        <v>95</v>
      </c>
      <c r="S365" s="2" t="n">
        <v>550</v>
      </c>
      <c r="T365" s="2" t="s">
        <v>4063</v>
      </c>
      <c r="U365" s="2" t="s">
        <v>56</v>
      </c>
      <c r="V365" s="2" t="s">
        <v>97</v>
      </c>
      <c r="W365" s="2" t="s">
        <v>304</v>
      </c>
      <c r="X365" s="2" t="s">
        <v>169</v>
      </c>
      <c r="Y365" s="2" t="s">
        <v>3955</v>
      </c>
      <c r="Z365" s="2" t="s">
        <v>170</v>
      </c>
      <c r="AA365" s="2"/>
      <c r="AB365" s="2" t="s">
        <v>81</v>
      </c>
      <c r="AC365" s="2"/>
      <c r="AD365" s="2"/>
      <c r="AE365" s="3"/>
      <c r="AF365" s="3" t="s">
        <v>4076</v>
      </c>
      <c r="AG365" s="2"/>
      <c r="AH365" s="2" t="s">
        <v>263</v>
      </c>
      <c r="AI365" s="3" t="s">
        <v>4146</v>
      </c>
      <c r="AJ365" s="3" t="s">
        <v>4147</v>
      </c>
      <c r="AK365" s="2" t="n">
        <v>648784</v>
      </c>
      <c r="AL365" s="3" t="s">
        <v>4148</v>
      </c>
      <c r="AM365" s="2"/>
      <c r="AN365" s="2"/>
      <c r="AO365" s="3" t="s">
        <v>4149</v>
      </c>
      <c r="AP365" s="3" t="s">
        <v>4150</v>
      </c>
      <c r="AQ365" s="2" t="s">
        <v>106</v>
      </c>
    </row>
    <row r="366" customFormat="false" ht="46.25" hidden="false" customHeight="false" outlineLevel="0" collapsed="false">
      <c r="A366" s="2" t="n">
        <v>365</v>
      </c>
      <c r="B366" s="2" t="s">
        <v>4151</v>
      </c>
      <c r="C366" s="2" t="s">
        <v>3947</v>
      </c>
      <c r="D366" s="2" t="s">
        <v>3948</v>
      </c>
      <c r="E366" s="2" t="s">
        <v>4152</v>
      </c>
      <c r="F366" s="2" t="s">
        <v>4153</v>
      </c>
      <c r="G366" s="3" t="s">
        <v>4154</v>
      </c>
      <c r="H366" s="2" t="s">
        <v>4155</v>
      </c>
      <c r="I366" s="2" t="s">
        <v>123</v>
      </c>
      <c r="J366" s="3" t="s">
        <v>4156</v>
      </c>
      <c r="K366" s="2" t="s">
        <v>4087</v>
      </c>
      <c r="L366" s="2" t="s">
        <v>3049</v>
      </c>
      <c r="M366" s="2" t="s">
        <v>4155</v>
      </c>
      <c r="N366" s="2"/>
      <c r="O366" s="2" t="s">
        <v>53</v>
      </c>
      <c r="P366" s="2" t="n">
        <v>36.1443</v>
      </c>
      <c r="Q366" s="2" t="n">
        <v>33.3237</v>
      </c>
      <c r="R366" s="2" t="s">
        <v>54</v>
      </c>
      <c r="S366" s="2" t="n">
        <v>-700</v>
      </c>
      <c r="T366" s="2" t="s">
        <v>900</v>
      </c>
      <c r="U366" s="2" t="s">
        <v>77</v>
      </c>
      <c r="V366" s="2" t="s">
        <v>78</v>
      </c>
      <c r="W366" s="2" t="s">
        <v>58</v>
      </c>
      <c r="X366" s="2" t="s">
        <v>59</v>
      </c>
      <c r="Y366" s="2" t="s">
        <v>4157</v>
      </c>
      <c r="Z366" s="2" t="s">
        <v>61</v>
      </c>
      <c r="AA366" s="2" t="s">
        <v>371</v>
      </c>
      <c r="AB366" s="2" t="s">
        <v>81</v>
      </c>
      <c r="AC366" s="2"/>
      <c r="AD366" s="2"/>
      <c r="AE366" s="3" t="s">
        <v>4158</v>
      </c>
      <c r="AF366" s="3" t="s">
        <v>4159</v>
      </c>
      <c r="AG366" s="2"/>
      <c r="AH366" s="2" t="s">
        <v>54</v>
      </c>
      <c r="AI366" s="3" t="s">
        <v>4160</v>
      </c>
      <c r="AJ366" s="3" t="s">
        <v>4161</v>
      </c>
      <c r="AK366" s="2" t="n">
        <v>648596</v>
      </c>
      <c r="AL366" s="3" t="s">
        <v>4162</v>
      </c>
      <c r="AM366" s="2"/>
      <c r="AN366" s="2"/>
      <c r="AO366" s="3" t="s">
        <v>4163</v>
      </c>
      <c r="AP366" s="3" t="s">
        <v>4164</v>
      </c>
      <c r="AQ366" s="2" t="s">
        <v>151</v>
      </c>
    </row>
    <row r="367" customFormat="false" ht="35.05" hidden="false" customHeight="false" outlineLevel="0" collapsed="false">
      <c r="A367" s="2" t="n">
        <v>366</v>
      </c>
      <c r="B367" s="2" t="s">
        <v>4165</v>
      </c>
      <c r="C367" s="2" t="s">
        <v>3947</v>
      </c>
      <c r="D367" s="2" t="s">
        <v>3948</v>
      </c>
      <c r="E367" s="2" t="s">
        <v>4166</v>
      </c>
      <c r="F367" s="2" t="s">
        <v>257</v>
      </c>
      <c r="G367" s="3" t="s">
        <v>4167</v>
      </c>
      <c r="H367" s="2"/>
      <c r="I367" s="2" t="s">
        <v>74</v>
      </c>
      <c r="J367" s="3" t="s">
        <v>4168</v>
      </c>
      <c r="K367" s="2" t="s">
        <v>4087</v>
      </c>
      <c r="L367" s="2" t="s">
        <v>3049</v>
      </c>
      <c r="M367" s="2"/>
      <c r="N367" s="2"/>
      <c r="O367" s="2"/>
      <c r="P367" s="2" t="n">
        <v>36.158</v>
      </c>
      <c r="Q367" s="2" t="n">
        <v>33.6859</v>
      </c>
      <c r="R367" s="2" t="s">
        <v>54</v>
      </c>
      <c r="S367" s="2" t="n">
        <v>-315</v>
      </c>
      <c r="T367" s="2" t="s">
        <v>765</v>
      </c>
      <c r="U367" s="2" t="s">
        <v>56</v>
      </c>
      <c r="V367" s="2" t="s">
        <v>78</v>
      </c>
      <c r="W367" s="2" t="s">
        <v>195</v>
      </c>
      <c r="X367" s="2" t="s">
        <v>169</v>
      </c>
      <c r="Y367" s="2" t="s">
        <v>3955</v>
      </c>
      <c r="Z367" s="2" t="s">
        <v>170</v>
      </c>
      <c r="AA367" s="2"/>
      <c r="AB367" s="2" t="s">
        <v>81</v>
      </c>
      <c r="AC367" s="2"/>
      <c r="AD367" s="2"/>
      <c r="AE367" s="3"/>
      <c r="AF367" s="3" t="s">
        <v>4169</v>
      </c>
      <c r="AG367" s="2"/>
      <c r="AH367" s="2" t="s">
        <v>263</v>
      </c>
      <c r="AI367" s="3" t="s">
        <v>4170</v>
      </c>
      <c r="AJ367" s="3" t="s">
        <v>4171</v>
      </c>
      <c r="AK367" s="2" t="n">
        <v>648565</v>
      </c>
      <c r="AL367" s="3" t="s">
        <v>4172</v>
      </c>
      <c r="AM367" s="2"/>
      <c r="AN367" s="2"/>
      <c r="AO367" s="3" t="s">
        <v>4173</v>
      </c>
      <c r="AP367" s="3" t="s">
        <v>4174</v>
      </c>
      <c r="AQ367" s="2" t="s">
        <v>151</v>
      </c>
    </row>
    <row r="368" customFormat="false" ht="35.05" hidden="false" customHeight="false" outlineLevel="0" collapsed="false">
      <c r="A368" s="2" t="n">
        <v>367</v>
      </c>
      <c r="B368" s="2" t="s">
        <v>4175</v>
      </c>
      <c r="C368" s="2" t="s">
        <v>3947</v>
      </c>
      <c r="D368" s="2" t="s">
        <v>3948</v>
      </c>
      <c r="E368" s="2" t="s">
        <v>4176</v>
      </c>
      <c r="F368" s="2" t="s">
        <v>4177</v>
      </c>
      <c r="G368" s="3" t="s">
        <v>4178</v>
      </c>
      <c r="H368" s="2" t="s">
        <v>4179</v>
      </c>
      <c r="I368" s="2" t="s">
        <v>123</v>
      </c>
      <c r="J368" s="3" t="s">
        <v>4180</v>
      </c>
      <c r="K368" s="2" t="s">
        <v>4087</v>
      </c>
      <c r="L368" s="2" t="s">
        <v>3049</v>
      </c>
      <c r="M368" s="2"/>
      <c r="N368" s="2"/>
      <c r="O368" s="2" t="s">
        <v>53</v>
      </c>
      <c r="P368" s="2" t="n">
        <v>36.3204</v>
      </c>
      <c r="Q368" s="2" t="n">
        <v>33.8806</v>
      </c>
      <c r="R368" s="2" t="s">
        <v>95</v>
      </c>
      <c r="S368" s="2" t="n">
        <v>-340</v>
      </c>
      <c r="T368" s="2" t="s">
        <v>2765</v>
      </c>
      <c r="U368" s="2" t="s">
        <v>56</v>
      </c>
      <c r="V368" s="2" t="s">
        <v>78</v>
      </c>
      <c r="W368" s="2" t="s">
        <v>168</v>
      </c>
      <c r="X368" s="2" t="s">
        <v>59</v>
      </c>
      <c r="Y368" s="2" t="s">
        <v>409</v>
      </c>
      <c r="Z368" s="2" t="s">
        <v>61</v>
      </c>
      <c r="AA368" s="2" t="s">
        <v>81</v>
      </c>
      <c r="AB368" s="2" t="s">
        <v>81</v>
      </c>
      <c r="AC368" s="2"/>
      <c r="AD368" s="2"/>
      <c r="AE368" s="3"/>
      <c r="AF368" s="3" t="s">
        <v>4181</v>
      </c>
      <c r="AG368" s="2"/>
      <c r="AH368" s="2" t="s">
        <v>113</v>
      </c>
      <c r="AI368" s="3" t="s">
        <v>4182</v>
      </c>
      <c r="AJ368" s="3" t="s">
        <v>4183</v>
      </c>
      <c r="AK368" s="2" t="n">
        <v>648643</v>
      </c>
      <c r="AL368" s="3" t="s">
        <v>4184</v>
      </c>
      <c r="AM368" s="2"/>
      <c r="AN368" s="2"/>
      <c r="AO368" s="3" t="s">
        <v>4185</v>
      </c>
      <c r="AP368" s="3" t="s">
        <v>4183</v>
      </c>
      <c r="AQ368" s="2" t="s">
        <v>151</v>
      </c>
    </row>
    <row r="369" customFormat="false" ht="46.25" hidden="false" customHeight="false" outlineLevel="0" collapsed="false">
      <c r="A369" s="2" t="n">
        <v>368</v>
      </c>
      <c r="B369" s="2" t="s">
        <v>4186</v>
      </c>
      <c r="C369" s="2" t="s">
        <v>3947</v>
      </c>
      <c r="D369" s="2" t="s">
        <v>3948</v>
      </c>
      <c r="E369" s="2" t="s">
        <v>4187</v>
      </c>
      <c r="F369" s="2" t="s">
        <v>4188</v>
      </c>
      <c r="G369" s="3" t="s">
        <v>4189</v>
      </c>
      <c r="H369" s="2" t="s">
        <v>4190</v>
      </c>
      <c r="I369" s="2" t="s">
        <v>123</v>
      </c>
      <c r="J369" s="3" t="s">
        <v>4191</v>
      </c>
      <c r="K369" s="2" t="s">
        <v>4087</v>
      </c>
      <c r="L369" s="2" t="s">
        <v>3049</v>
      </c>
      <c r="M369" s="2" t="s">
        <v>4190</v>
      </c>
      <c r="N369" s="2"/>
      <c r="O369" s="2" t="s">
        <v>5</v>
      </c>
      <c r="P369" s="2" t="n">
        <v>36.3793</v>
      </c>
      <c r="Q369" s="2" t="n">
        <v>33.9215</v>
      </c>
      <c r="R369" s="2" t="s">
        <v>54</v>
      </c>
      <c r="S369" s="2" t="n">
        <v>-290</v>
      </c>
      <c r="T369" s="2" t="s">
        <v>4192</v>
      </c>
      <c r="U369" s="2" t="s">
        <v>139</v>
      </c>
      <c r="V369" s="2" t="s">
        <v>57</v>
      </c>
      <c r="W369" s="2" t="s">
        <v>195</v>
      </c>
      <c r="X369" s="2" t="s">
        <v>246</v>
      </c>
      <c r="Y369" s="2" t="s">
        <v>2238</v>
      </c>
      <c r="Z369" s="2" t="s">
        <v>2168</v>
      </c>
      <c r="AA369" s="2"/>
      <c r="AB369" s="2" t="s">
        <v>63</v>
      </c>
      <c r="AC369" s="2" t="s">
        <v>64</v>
      </c>
      <c r="AD369" s="2" t="s">
        <v>4193</v>
      </c>
      <c r="AE369" s="3" t="s">
        <v>4194</v>
      </c>
      <c r="AF369" s="3" t="s">
        <v>4195</v>
      </c>
      <c r="AG369" s="2"/>
      <c r="AH369" s="2" t="s">
        <v>54</v>
      </c>
      <c r="AI369" s="3" t="s">
        <v>4196</v>
      </c>
      <c r="AJ369" s="3" t="s">
        <v>4197</v>
      </c>
      <c r="AK369" s="2" t="n">
        <v>648771</v>
      </c>
      <c r="AL369" s="3" t="s">
        <v>4198</v>
      </c>
      <c r="AM369" s="2"/>
      <c r="AN369" s="2" t="s">
        <v>200</v>
      </c>
      <c r="AO369" s="3"/>
      <c r="AP369" s="3"/>
      <c r="AQ369" s="2"/>
    </row>
    <row r="370" customFormat="false" ht="57.45" hidden="false" customHeight="false" outlineLevel="0" collapsed="false">
      <c r="A370" s="2" t="n">
        <v>369</v>
      </c>
      <c r="B370" s="2" t="s">
        <v>4199</v>
      </c>
      <c r="C370" s="2" t="s">
        <v>3947</v>
      </c>
      <c r="D370" s="2" t="s">
        <v>3948</v>
      </c>
      <c r="E370" s="2" t="s">
        <v>4200</v>
      </c>
      <c r="F370" s="2" t="s">
        <v>4201</v>
      </c>
      <c r="G370" s="3" t="s">
        <v>4202</v>
      </c>
      <c r="H370" s="2" t="s">
        <v>4203</v>
      </c>
      <c r="I370" s="2" t="s">
        <v>123</v>
      </c>
      <c r="J370" s="3" t="s">
        <v>4204</v>
      </c>
      <c r="K370" s="2" t="s">
        <v>4087</v>
      </c>
      <c r="L370" s="2" t="s">
        <v>3049</v>
      </c>
      <c r="M370" s="2"/>
      <c r="N370" s="2"/>
      <c r="O370" s="2" t="s">
        <v>53</v>
      </c>
      <c r="P370" s="2" t="n">
        <v>36.4653</v>
      </c>
      <c r="Q370" s="2" t="n">
        <v>34.1542</v>
      </c>
      <c r="R370" s="2" t="s">
        <v>54</v>
      </c>
      <c r="S370" s="2" t="n">
        <v>-197</v>
      </c>
      <c r="T370" s="2" t="s">
        <v>3954</v>
      </c>
      <c r="U370" s="2" t="s">
        <v>56</v>
      </c>
      <c r="V370" s="2" t="s">
        <v>78</v>
      </c>
      <c r="W370" s="2" t="s">
        <v>195</v>
      </c>
      <c r="X370" s="2" t="s">
        <v>169</v>
      </c>
      <c r="Y370" s="2" t="s">
        <v>3955</v>
      </c>
      <c r="Z370" s="2" t="s">
        <v>170</v>
      </c>
      <c r="AA370" s="2"/>
      <c r="AB370" s="2" t="s">
        <v>81</v>
      </c>
      <c r="AC370" s="2"/>
      <c r="AD370" s="2"/>
      <c r="AE370" s="3"/>
      <c r="AF370" s="3" t="s">
        <v>4205</v>
      </c>
      <c r="AG370" s="2"/>
      <c r="AH370" s="2" t="s">
        <v>54</v>
      </c>
      <c r="AI370" s="3" t="s">
        <v>4206</v>
      </c>
      <c r="AJ370" s="3" t="s">
        <v>4207</v>
      </c>
      <c r="AK370" s="2" t="n">
        <v>648612</v>
      </c>
      <c r="AL370" s="3" t="s">
        <v>4208</v>
      </c>
      <c r="AM370" s="2"/>
      <c r="AN370" s="2"/>
      <c r="AO370" s="3" t="s">
        <v>4209</v>
      </c>
      <c r="AP370" s="3" t="s">
        <v>4210</v>
      </c>
      <c r="AQ370" s="2" t="s">
        <v>151</v>
      </c>
    </row>
    <row r="371" customFormat="false" ht="57.45" hidden="false" customHeight="false" outlineLevel="0" collapsed="false">
      <c r="A371" s="2" t="n">
        <v>370</v>
      </c>
      <c r="B371" s="2" t="s">
        <v>4211</v>
      </c>
      <c r="C371" s="2" t="s">
        <v>3947</v>
      </c>
      <c r="D371" s="2" t="s">
        <v>3948</v>
      </c>
      <c r="E371" s="2" t="s">
        <v>4212</v>
      </c>
      <c r="F371" s="2" t="s">
        <v>4213</v>
      </c>
      <c r="G371" s="3" t="s">
        <v>4214</v>
      </c>
      <c r="H371" s="2" t="s">
        <v>4215</v>
      </c>
      <c r="I371" s="2" t="s">
        <v>49</v>
      </c>
      <c r="J371" s="3" t="s">
        <v>4216</v>
      </c>
      <c r="K371" s="2" t="s">
        <v>4087</v>
      </c>
      <c r="L371" s="2" t="s">
        <v>3049</v>
      </c>
      <c r="M371" s="2"/>
      <c r="N371" s="2"/>
      <c r="O371" s="2" t="s">
        <v>53</v>
      </c>
      <c r="P371" s="2" t="n">
        <v>36.4822</v>
      </c>
      <c r="Q371" s="2" t="n">
        <v>34.1744</v>
      </c>
      <c r="R371" s="2" t="s">
        <v>54</v>
      </c>
      <c r="S371" s="2" t="n">
        <v>-150</v>
      </c>
      <c r="T371" s="2" t="s">
        <v>2075</v>
      </c>
      <c r="U371" s="2" t="s">
        <v>77</v>
      </c>
      <c r="V371" s="2" t="s">
        <v>78</v>
      </c>
      <c r="W371" s="2" t="s">
        <v>195</v>
      </c>
      <c r="X371" s="2" t="s">
        <v>169</v>
      </c>
      <c r="Y371" s="2" t="s">
        <v>4217</v>
      </c>
      <c r="Z371" s="2" t="s">
        <v>170</v>
      </c>
      <c r="AA371" s="2"/>
      <c r="AB371" s="2" t="s">
        <v>695</v>
      </c>
      <c r="AC371" s="2" t="s">
        <v>696</v>
      </c>
      <c r="AD371" s="2"/>
      <c r="AE371" s="3"/>
      <c r="AF371" s="3" t="s">
        <v>4218</v>
      </c>
      <c r="AG371" s="2"/>
      <c r="AH371" s="2" t="s">
        <v>54</v>
      </c>
      <c r="AI371" s="3" t="s">
        <v>4219</v>
      </c>
      <c r="AJ371" s="3" t="s">
        <v>4220</v>
      </c>
      <c r="AK371" s="2" t="n">
        <v>648628</v>
      </c>
      <c r="AL371" s="3" t="s">
        <v>4221</v>
      </c>
      <c r="AM371" s="2"/>
      <c r="AN371" s="2"/>
      <c r="AO371" s="3" t="s">
        <v>4222</v>
      </c>
      <c r="AP371" s="3" t="s">
        <v>4223</v>
      </c>
      <c r="AQ371" s="2" t="s">
        <v>151</v>
      </c>
    </row>
    <row r="372" customFormat="false" ht="46.25" hidden="false" customHeight="false" outlineLevel="0" collapsed="false">
      <c r="A372" s="2" t="n">
        <v>371</v>
      </c>
      <c r="B372" s="2" t="s">
        <v>4224</v>
      </c>
      <c r="C372" s="2" t="s">
        <v>3947</v>
      </c>
      <c r="D372" s="2" t="s">
        <v>3948</v>
      </c>
      <c r="E372" s="2" t="s">
        <v>4225</v>
      </c>
      <c r="F372" s="2" t="s">
        <v>4226</v>
      </c>
      <c r="G372" s="3" t="s">
        <v>4227</v>
      </c>
      <c r="H372" s="2"/>
      <c r="I372" s="2" t="s">
        <v>74</v>
      </c>
      <c r="J372" s="3" t="s">
        <v>4228</v>
      </c>
      <c r="K372" s="2" t="s">
        <v>4087</v>
      </c>
      <c r="L372" s="2" t="s">
        <v>3049</v>
      </c>
      <c r="M372" s="2"/>
      <c r="N372" s="2"/>
      <c r="O372" s="2"/>
      <c r="P372" s="2" t="n">
        <v>36.5255</v>
      </c>
      <c r="Q372" s="2" t="n">
        <v>34.1787</v>
      </c>
      <c r="R372" s="2" t="s">
        <v>54</v>
      </c>
      <c r="S372" s="2" t="n">
        <v>425</v>
      </c>
      <c r="T372" s="2" t="s">
        <v>4229</v>
      </c>
      <c r="U372" s="2" t="s">
        <v>56</v>
      </c>
      <c r="V372" s="2" t="s">
        <v>97</v>
      </c>
      <c r="W372" s="2" t="s">
        <v>304</v>
      </c>
      <c r="X372" s="2" t="s">
        <v>141</v>
      </c>
      <c r="Y372" s="2" t="s">
        <v>4230</v>
      </c>
      <c r="Z372" s="2" t="s">
        <v>559</v>
      </c>
      <c r="AA372" s="2"/>
      <c r="AB372" s="2" t="s">
        <v>81</v>
      </c>
      <c r="AC372" s="2"/>
      <c r="AD372" s="2"/>
      <c r="AE372" s="3"/>
      <c r="AF372" s="3" t="s">
        <v>4231</v>
      </c>
      <c r="AG372" s="2"/>
      <c r="AH372" s="2" t="s">
        <v>263</v>
      </c>
      <c r="AI372" s="3" t="s">
        <v>4232</v>
      </c>
      <c r="AJ372" s="3" t="s">
        <v>4233</v>
      </c>
      <c r="AK372" s="2" t="n">
        <v>648663</v>
      </c>
      <c r="AL372" s="3" t="s">
        <v>4234</v>
      </c>
      <c r="AM372" s="2"/>
      <c r="AN372" s="2"/>
      <c r="AO372" s="3" t="s">
        <v>4235</v>
      </c>
      <c r="AP372" s="3" t="s">
        <v>4236</v>
      </c>
      <c r="AQ372" s="2" t="s">
        <v>151</v>
      </c>
    </row>
    <row r="373" customFormat="false" ht="57.45" hidden="false" customHeight="false" outlineLevel="0" collapsed="false">
      <c r="A373" s="2" t="n">
        <v>372</v>
      </c>
      <c r="B373" s="2" t="s">
        <v>4237</v>
      </c>
      <c r="C373" s="2" t="s">
        <v>3947</v>
      </c>
      <c r="D373" s="2" t="s">
        <v>3948</v>
      </c>
      <c r="E373" s="2" t="s">
        <v>4238</v>
      </c>
      <c r="F373" s="2" t="s">
        <v>4239</v>
      </c>
      <c r="G373" s="3" t="s">
        <v>4240</v>
      </c>
      <c r="H373" s="2" t="s">
        <v>4087</v>
      </c>
      <c r="I373" s="2" t="s">
        <v>123</v>
      </c>
      <c r="J373" s="3" t="s">
        <v>4241</v>
      </c>
      <c r="K373" s="2" t="s">
        <v>4087</v>
      </c>
      <c r="L373" s="2" t="s">
        <v>3049</v>
      </c>
      <c r="M373" s="2" t="s">
        <v>4242</v>
      </c>
      <c r="N373" s="2" t="s">
        <v>63</v>
      </c>
      <c r="O373" s="2" t="s">
        <v>53</v>
      </c>
      <c r="P373" s="2" t="n">
        <v>36.7401</v>
      </c>
      <c r="Q373" s="2" t="n">
        <v>34.5392</v>
      </c>
      <c r="R373" s="2" t="s">
        <v>54</v>
      </c>
      <c r="S373" s="2" t="n">
        <v>-700</v>
      </c>
      <c r="T373" s="2" t="s">
        <v>900</v>
      </c>
      <c r="U373" s="2" t="s">
        <v>77</v>
      </c>
      <c r="V373" s="2" t="s">
        <v>78</v>
      </c>
      <c r="W373" s="2" t="s">
        <v>58</v>
      </c>
      <c r="X373" s="2" t="s">
        <v>59</v>
      </c>
      <c r="Y373" s="2" t="s">
        <v>4243</v>
      </c>
      <c r="Z373" s="2" t="s">
        <v>61</v>
      </c>
      <c r="AA373" s="2" t="s">
        <v>3309</v>
      </c>
      <c r="AB373" s="2" t="s">
        <v>63</v>
      </c>
      <c r="AC373" s="2" t="s">
        <v>77</v>
      </c>
      <c r="AD373" s="2"/>
      <c r="AE373" s="3" t="s">
        <v>4244</v>
      </c>
      <c r="AF373" s="3" t="s">
        <v>4245</v>
      </c>
      <c r="AG373" s="2"/>
      <c r="AH373" s="2" t="s">
        <v>54</v>
      </c>
      <c r="AI373" s="3" t="s">
        <v>4246</v>
      </c>
      <c r="AJ373" s="3" t="s">
        <v>4247</v>
      </c>
      <c r="AK373" s="2" t="n">
        <v>648781</v>
      </c>
      <c r="AL373" s="3" t="s">
        <v>4248</v>
      </c>
      <c r="AM373" s="2"/>
      <c r="AN373" s="2"/>
      <c r="AO373" s="3"/>
      <c r="AP373" s="3"/>
      <c r="AQ373" s="2"/>
    </row>
    <row r="374" customFormat="false" ht="68.65" hidden="false" customHeight="false" outlineLevel="0" collapsed="false">
      <c r="A374" s="2" t="n">
        <v>373</v>
      </c>
      <c r="B374" s="2" t="s">
        <v>4249</v>
      </c>
      <c r="C374" s="2" t="s">
        <v>3947</v>
      </c>
      <c r="D374" s="2" t="s">
        <v>3948</v>
      </c>
      <c r="E374" s="2" t="s">
        <v>4250</v>
      </c>
      <c r="F374" s="2" t="s">
        <v>4251</v>
      </c>
      <c r="G374" s="3" t="s">
        <v>4252</v>
      </c>
      <c r="H374" s="2" t="s">
        <v>4087</v>
      </c>
      <c r="I374" s="2" t="s">
        <v>123</v>
      </c>
      <c r="J374" s="3" t="s">
        <v>4253</v>
      </c>
      <c r="K374" s="2" t="s">
        <v>4087</v>
      </c>
      <c r="L374" s="2" t="s">
        <v>3049</v>
      </c>
      <c r="M374" s="2" t="s">
        <v>4254</v>
      </c>
      <c r="N374" s="2" t="s">
        <v>63</v>
      </c>
      <c r="O374" s="2" t="s">
        <v>53</v>
      </c>
      <c r="P374" s="2" t="n">
        <v>36.8086</v>
      </c>
      <c r="Q374" s="2" t="n">
        <v>34.6381</v>
      </c>
      <c r="R374" s="2" t="s">
        <v>95</v>
      </c>
      <c r="S374" s="2" t="n">
        <v>-340</v>
      </c>
      <c r="T374" s="2" t="s">
        <v>2765</v>
      </c>
      <c r="U374" s="2" t="s">
        <v>56</v>
      </c>
      <c r="V374" s="2" t="s">
        <v>78</v>
      </c>
      <c r="W374" s="2" t="s">
        <v>168</v>
      </c>
      <c r="X374" s="2" t="s">
        <v>169</v>
      </c>
      <c r="Y374" s="2" t="s">
        <v>3955</v>
      </c>
      <c r="Z374" s="2" t="s">
        <v>170</v>
      </c>
      <c r="AA374" s="2"/>
      <c r="AB374" s="2" t="s">
        <v>81</v>
      </c>
      <c r="AC374" s="2"/>
      <c r="AD374" s="2"/>
      <c r="AE374" s="3"/>
      <c r="AF374" s="3" t="s">
        <v>4255</v>
      </c>
      <c r="AG374" s="2"/>
      <c r="AH374" s="2" t="s">
        <v>54</v>
      </c>
      <c r="AI374" s="3" t="s">
        <v>4256</v>
      </c>
      <c r="AJ374" s="3" t="s">
        <v>4257</v>
      </c>
      <c r="AK374" s="2" t="n">
        <v>648810</v>
      </c>
      <c r="AL374" s="3" t="s">
        <v>4258</v>
      </c>
      <c r="AM374" s="2"/>
      <c r="AN374" s="2"/>
      <c r="AO374" s="3" t="s">
        <v>4259</v>
      </c>
      <c r="AP374" s="3" t="s">
        <v>4260</v>
      </c>
      <c r="AQ374" s="2" t="s">
        <v>89</v>
      </c>
    </row>
    <row r="375" customFormat="false" ht="57.45" hidden="false" customHeight="false" outlineLevel="0" collapsed="false">
      <c r="A375" s="2" t="n">
        <v>374</v>
      </c>
      <c r="B375" s="2" t="s">
        <v>4261</v>
      </c>
      <c r="C375" s="2" t="s">
        <v>3947</v>
      </c>
      <c r="D375" s="2" t="s">
        <v>3948</v>
      </c>
      <c r="E375" s="2" t="s">
        <v>4262</v>
      </c>
      <c r="F375" s="2" t="s">
        <v>4263</v>
      </c>
      <c r="G375" s="3" t="s">
        <v>4264</v>
      </c>
      <c r="H375" s="2" t="s">
        <v>4087</v>
      </c>
      <c r="I375" s="2" t="s">
        <v>123</v>
      </c>
      <c r="J375" s="3" t="s">
        <v>4265</v>
      </c>
      <c r="K375" s="2" t="s">
        <v>4087</v>
      </c>
      <c r="L375" s="2" t="s">
        <v>3049</v>
      </c>
      <c r="M375" s="2" t="s">
        <v>4266</v>
      </c>
      <c r="N375" s="2" t="s">
        <v>63</v>
      </c>
      <c r="O375" s="2" t="s">
        <v>53</v>
      </c>
      <c r="P375" s="2" t="n">
        <v>36.8013</v>
      </c>
      <c r="Q375" s="2" t="n">
        <v>34.6041</v>
      </c>
      <c r="R375" s="2" t="s">
        <v>95</v>
      </c>
      <c r="S375" s="2" t="n">
        <v>-333</v>
      </c>
      <c r="T375" s="2" t="s">
        <v>4267</v>
      </c>
      <c r="U375" s="2" t="s">
        <v>56</v>
      </c>
      <c r="V375" s="2" t="s">
        <v>78</v>
      </c>
      <c r="W375" s="2" t="s">
        <v>195</v>
      </c>
      <c r="X375" s="2" t="s">
        <v>289</v>
      </c>
      <c r="Y375" s="2" t="s">
        <v>4268</v>
      </c>
      <c r="Z375" s="2" t="s">
        <v>170</v>
      </c>
      <c r="AA375" s="2"/>
      <c r="AB375" s="2" t="s">
        <v>63</v>
      </c>
      <c r="AC375" s="2" t="s">
        <v>452</v>
      </c>
      <c r="AD375" s="2" t="s">
        <v>4269</v>
      </c>
      <c r="AE375" s="3" t="s">
        <v>4270</v>
      </c>
      <c r="AF375" s="3" t="s">
        <v>4271</v>
      </c>
      <c r="AG375" s="2"/>
      <c r="AH375" s="2" t="s">
        <v>263</v>
      </c>
      <c r="AI375" s="3" t="s">
        <v>4272</v>
      </c>
      <c r="AJ375" s="3" t="s">
        <v>4273</v>
      </c>
      <c r="AK375" s="2" t="n">
        <v>648555</v>
      </c>
      <c r="AL375" s="3" t="s">
        <v>4274</v>
      </c>
      <c r="AM375" s="2"/>
      <c r="AN375" s="2"/>
      <c r="AO375" s="3"/>
      <c r="AP375" s="3"/>
      <c r="AQ375" s="2"/>
    </row>
    <row r="376" customFormat="false" ht="46.25" hidden="false" customHeight="false" outlineLevel="0" collapsed="false">
      <c r="A376" s="2" t="n">
        <v>375</v>
      </c>
      <c r="B376" s="2" t="s">
        <v>4275</v>
      </c>
      <c r="C376" s="2" t="s">
        <v>3947</v>
      </c>
      <c r="D376" s="2" t="s">
        <v>3948</v>
      </c>
      <c r="E376" s="2" t="s">
        <v>4276</v>
      </c>
      <c r="F376" s="2" t="s">
        <v>4277</v>
      </c>
      <c r="G376" s="3" t="s">
        <v>4278</v>
      </c>
      <c r="H376" s="2" t="s">
        <v>4276</v>
      </c>
      <c r="I376" s="2" t="s">
        <v>123</v>
      </c>
      <c r="J376" s="3" t="s">
        <v>4279</v>
      </c>
      <c r="K376" s="2" t="s">
        <v>4087</v>
      </c>
      <c r="L376" s="2" t="s">
        <v>3049</v>
      </c>
      <c r="M376" s="2" t="s">
        <v>4276</v>
      </c>
      <c r="N376" s="2"/>
      <c r="O376" s="2" t="s">
        <v>422</v>
      </c>
      <c r="P376" s="2" t="n">
        <v>36.914</v>
      </c>
      <c r="Q376" s="2" t="n">
        <v>34.8965</v>
      </c>
      <c r="R376" s="2" t="s">
        <v>54</v>
      </c>
      <c r="S376" s="2" t="n">
        <v>-420</v>
      </c>
      <c r="T376" s="2" t="s">
        <v>4280</v>
      </c>
      <c r="U376" s="2" t="s">
        <v>56</v>
      </c>
      <c r="V376" s="2" t="s">
        <v>57</v>
      </c>
      <c r="W376" s="2" t="s">
        <v>168</v>
      </c>
      <c r="X376" s="2" t="s">
        <v>289</v>
      </c>
      <c r="Y376" s="2" t="s">
        <v>4281</v>
      </c>
      <c r="Z376" s="2" t="s">
        <v>170</v>
      </c>
      <c r="AA376" s="2"/>
      <c r="AB376" s="2" t="s">
        <v>63</v>
      </c>
      <c r="AC376" s="2" t="s">
        <v>452</v>
      </c>
      <c r="AD376" s="2" t="s">
        <v>4282</v>
      </c>
      <c r="AE376" s="3" t="s">
        <v>4283</v>
      </c>
      <c r="AF376" s="3" t="s">
        <v>4284</v>
      </c>
      <c r="AG376" s="2" t="s">
        <v>4285</v>
      </c>
      <c r="AH376" s="2" t="s">
        <v>54</v>
      </c>
      <c r="AI376" s="3" t="s">
        <v>4286</v>
      </c>
      <c r="AJ376" s="3" t="s">
        <v>4287</v>
      </c>
      <c r="AK376" s="2" t="n">
        <v>648789</v>
      </c>
      <c r="AL376" s="3" t="s">
        <v>4288</v>
      </c>
      <c r="AM376" s="2"/>
      <c r="AN376" s="2" t="s">
        <v>200</v>
      </c>
      <c r="AO376" s="3"/>
      <c r="AP376" s="3"/>
      <c r="AQ376" s="2"/>
    </row>
    <row r="377" customFormat="false" ht="46.25" hidden="false" customHeight="false" outlineLevel="0" collapsed="false">
      <c r="A377" s="2" t="n">
        <v>376</v>
      </c>
      <c r="B377" s="2" t="s">
        <v>4289</v>
      </c>
      <c r="C377" s="2" t="s">
        <v>3947</v>
      </c>
      <c r="D377" s="2" t="s">
        <v>3948</v>
      </c>
      <c r="E377" s="2" t="s">
        <v>4290</v>
      </c>
      <c r="F377" s="2" t="s">
        <v>4291</v>
      </c>
      <c r="G377" s="3" t="s">
        <v>4292</v>
      </c>
      <c r="H377" s="2" t="s">
        <v>4290</v>
      </c>
      <c r="I377" s="2" t="s">
        <v>123</v>
      </c>
      <c r="J377" s="3" t="s">
        <v>4293</v>
      </c>
      <c r="K377" s="2" t="s">
        <v>4290</v>
      </c>
      <c r="L377" s="2" t="s">
        <v>3049</v>
      </c>
      <c r="M377" s="2" t="s">
        <v>4294</v>
      </c>
      <c r="N377" s="2" t="s">
        <v>63</v>
      </c>
      <c r="O377" s="2" t="s">
        <v>422</v>
      </c>
      <c r="P377" s="2" t="n">
        <v>36.995</v>
      </c>
      <c r="Q377" s="2" t="n">
        <v>35.3325</v>
      </c>
      <c r="R377" s="2" t="s">
        <v>54</v>
      </c>
      <c r="S377" s="2" t="n">
        <v>-170</v>
      </c>
      <c r="T377" s="2" t="s">
        <v>4295</v>
      </c>
      <c r="U377" s="2" t="s">
        <v>139</v>
      </c>
      <c r="V377" s="2" t="s">
        <v>57</v>
      </c>
      <c r="W377" s="2" t="s">
        <v>195</v>
      </c>
      <c r="X377" s="2" t="s">
        <v>246</v>
      </c>
      <c r="Y377" s="2" t="s">
        <v>4296</v>
      </c>
      <c r="Z377" s="2" t="s">
        <v>2168</v>
      </c>
      <c r="AA377" s="2"/>
      <c r="AB377" s="2" t="s">
        <v>63</v>
      </c>
      <c r="AC377" s="2" t="s">
        <v>452</v>
      </c>
      <c r="AD377" s="2" t="s">
        <v>4297</v>
      </c>
      <c r="AE377" s="3" t="s">
        <v>4298</v>
      </c>
      <c r="AF377" s="3" t="s">
        <v>4299</v>
      </c>
      <c r="AG377" s="2" t="s">
        <v>4300</v>
      </c>
      <c r="AH377" s="2" t="s">
        <v>54</v>
      </c>
      <c r="AI377" s="3" t="s">
        <v>4301</v>
      </c>
      <c r="AJ377" s="3" t="s">
        <v>4302</v>
      </c>
      <c r="AK377" s="2" t="n">
        <v>648548</v>
      </c>
      <c r="AL377" s="3" t="s">
        <v>4303</v>
      </c>
      <c r="AM377" s="2"/>
      <c r="AN377" s="2" t="s">
        <v>200</v>
      </c>
      <c r="AO377" s="3"/>
      <c r="AP377" s="3"/>
      <c r="AQ377" s="2"/>
    </row>
    <row r="378" customFormat="false" ht="35.05" hidden="false" customHeight="false" outlineLevel="0" collapsed="false">
      <c r="A378" s="2" t="n">
        <v>377</v>
      </c>
      <c r="B378" s="2" t="s">
        <v>4304</v>
      </c>
      <c r="C378" s="2" t="s">
        <v>3947</v>
      </c>
      <c r="D378" s="2" t="s">
        <v>3948</v>
      </c>
      <c r="E378" s="2" t="s">
        <v>4305</v>
      </c>
      <c r="F378" s="2" t="s">
        <v>4306</v>
      </c>
      <c r="G378" s="3" t="s">
        <v>4307</v>
      </c>
      <c r="H378" s="2"/>
      <c r="I378" s="2" t="s">
        <v>74</v>
      </c>
      <c r="J378" s="3" t="s">
        <v>4308</v>
      </c>
      <c r="K378" s="2" t="s">
        <v>4290</v>
      </c>
      <c r="L378" s="2" t="s">
        <v>3049</v>
      </c>
      <c r="M378" s="2"/>
      <c r="N378" s="2"/>
      <c r="O378" s="2"/>
      <c r="P378" s="2" t="n">
        <v>36.545</v>
      </c>
      <c r="Q378" s="2" t="n">
        <v>35.3455</v>
      </c>
      <c r="R378" s="2" t="s">
        <v>54</v>
      </c>
      <c r="S378" s="2" t="n">
        <v>-170</v>
      </c>
      <c r="T378" s="2" t="s">
        <v>4295</v>
      </c>
      <c r="U378" s="2" t="s">
        <v>139</v>
      </c>
      <c r="V378" s="2" t="s">
        <v>57</v>
      </c>
      <c r="W378" s="2" t="s">
        <v>195</v>
      </c>
      <c r="X378" s="2" t="s">
        <v>246</v>
      </c>
      <c r="Y378" s="2" t="s">
        <v>4309</v>
      </c>
      <c r="Z378" s="2" t="s">
        <v>2168</v>
      </c>
      <c r="AA378" s="2"/>
      <c r="AB378" s="2" t="s">
        <v>63</v>
      </c>
      <c r="AC378" s="2" t="s">
        <v>64</v>
      </c>
      <c r="AD378" s="2"/>
      <c r="AE378" s="3" t="s">
        <v>4310</v>
      </c>
      <c r="AF378" s="3" t="s">
        <v>4311</v>
      </c>
      <c r="AG378" s="2"/>
      <c r="AH378" s="2" t="s">
        <v>113</v>
      </c>
      <c r="AI378" s="3" t="s">
        <v>4312</v>
      </c>
      <c r="AJ378" s="3" t="s">
        <v>4313</v>
      </c>
      <c r="AK378" s="2" t="n">
        <v>648701</v>
      </c>
      <c r="AL378" s="3" t="s">
        <v>4314</v>
      </c>
      <c r="AM378" s="2"/>
      <c r="AN378" s="2"/>
      <c r="AO378" s="3"/>
      <c r="AP378" s="3"/>
      <c r="AQ378" s="2"/>
    </row>
    <row r="379" customFormat="false" ht="46.25" hidden="false" customHeight="false" outlineLevel="0" collapsed="false">
      <c r="A379" s="2" t="n">
        <v>378</v>
      </c>
      <c r="B379" s="2" t="s">
        <v>4315</v>
      </c>
      <c r="C379" s="2" t="s">
        <v>3947</v>
      </c>
      <c r="D379" s="2" t="s">
        <v>3948</v>
      </c>
      <c r="E379" s="2" t="s">
        <v>4316</v>
      </c>
      <c r="F379" s="2" t="s">
        <v>4317</v>
      </c>
      <c r="G379" s="3" t="s">
        <v>4318</v>
      </c>
      <c r="H379" s="2"/>
      <c r="I379" s="2" t="s">
        <v>74</v>
      </c>
      <c r="J379" s="3" t="s">
        <v>4319</v>
      </c>
      <c r="K379" s="2" t="s">
        <v>4290</v>
      </c>
      <c r="L379" s="2" t="s">
        <v>3049</v>
      </c>
      <c r="M379" s="2"/>
      <c r="N379" s="2"/>
      <c r="O379" s="2"/>
      <c r="P379" s="2" t="n">
        <v>36.7562</v>
      </c>
      <c r="Q379" s="2" t="n">
        <v>35.4852</v>
      </c>
      <c r="R379" s="2" t="s">
        <v>95</v>
      </c>
      <c r="S379" s="2" t="n">
        <v>-425</v>
      </c>
      <c r="T379" s="2" t="s">
        <v>4320</v>
      </c>
      <c r="U379" s="2" t="s">
        <v>56</v>
      </c>
      <c r="V379" s="2" t="s">
        <v>78</v>
      </c>
      <c r="W379" s="2" t="s">
        <v>168</v>
      </c>
      <c r="X379" s="2" t="s">
        <v>289</v>
      </c>
      <c r="Y379" s="2" t="s">
        <v>4321</v>
      </c>
      <c r="Z379" s="2" t="s">
        <v>170</v>
      </c>
      <c r="AA379" s="2"/>
      <c r="AB379" s="2" t="s">
        <v>63</v>
      </c>
      <c r="AC379" s="2" t="s">
        <v>64</v>
      </c>
      <c r="AD379" s="2"/>
      <c r="AE379" s="3" t="s">
        <v>4322</v>
      </c>
      <c r="AF379" s="3" t="s">
        <v>4323</v>
      </c>
      <c r="AG379" s="2"/>
      <c r="AH379" s="2" t="s">
        <v>54</v>
      </c>
      <c r="AI379" s="3" t="s">
        <v>4324</v>
      </c>
      <c r="AJ379" s="3" t="s">
        <v>4325</v>
      </c>
      <c r="AK379" s="2" t="n">
        <v>648702</v>
      </c>
      <c r="AL379" s="3" t="s">
        <v>4326</v>
      </c>
      <c r="AM379" s="2"/>
      <c r="AN379" s="2"/>
      <c r="AO379" s="3"/>
      <c r="AP379" s="3"/>
      <c r="AQ379" s="2"/>
    </row>
    <row r="380" customFormat="false" ht="57.45" hidden="false" customHeight="false" outlineLevel="0" collapsed="false">
      <c r="A380" s="2" t="n">
        <v>379</v>
      </c>
      <c r="B380" s="2" t="s">
        <v>4327</v>
      </c>
      <c r="C380" s="2" t="s">
        <v>3947</v>
      </c>
      <c r="D380" s="2" t="s">
        <v>3948</v>
      </c>
      <c r="E380" s="2" t="s">
        <v>4328</v>
      </c>
      <c r="F380" s="2" t="s">
        <v>1721</v>
      </c>
      <c r="G380" s="3" t="s">
        <v>4329</v>
      </c>
      <c r="H380" s="2" t="s">
        <v>4330</v>
      </c>
      <c r="I380" s="2" t="s">
        <v>123</v>
      </c>
      <c r="J380" s="3" t="s">
        <v>4331</v>
      </c>
      <c r="K380" s="2" t="s">
        <v>4290</v>
      </c>
      <c r="L380" s="2" t="s">
        <v>3049</v>
      </c>
      <c r="M380" s="2" t="s">
        <v>4330</v>
      </c>
      <c r="N380" s="2"/>
      <c r="O380" s="2" t="s">
        <v>53</v>
      </c>
      <c r="P380" s="2" t="n">
        <v>36.7697</v>
      </c>
      <c r="Q380" s="2" t="n">
        <v>35.7895</v>
      </c>
      <c r="R380" s="2" t="s">
        <v>54</v>
      </c>
      <c r="S380" s="2" t="n">
        <v>-150</v>
      </c>
      <c r="T380" s="2" t="s">
        <v>2075</v>
      </c>
      <c r="U380" s="2" t="s">
        <v>56</v>
      </c>
      <c r="V380" s="2" t="s">
        <v>78</v>
      </c>
      <c r="W380" s="2" t="s">
        <v>195</v>
      </c>
      <c r="X380" s="2" t="s">
        <v>169</v>
      </c>
      <c r="Y380" s="2" t="s">
        <v>4332</v>
      </c>
      <c r="Z380" s="2" t="s">
        <v>170</v>
      </c>
      <c r="AA380" s="2"/>
      <c r="AB380" s="2" t="s">
        <v>63</v>
      </c>
      <c r="AC380" s="2" t="s">
        <v>77</v>
      </c>
      <c r="AD380" s="2"/>
      <c r="AE380" s="3" t="s">
        <v>4333</v>
      </c>
      <c r="AF380" s="3" t="s">
        <v>4334</v>
      </c>
      <c r="AG380" s="2" t="s">
        <v>4335</v>
      </c>
      <c r="AH380" s="2" t="s">
        <v>54</v>
      </c>
      <c r="AI380" s="3" t="s">
        <v>4336</v>
      </c>
      <c r="AJ380" s="3" t="s">
        <v>4337</v>
      </c>
      <c r="AK380" s="2" t="n">
        <v>658368</v>
      </c>
      <c r="AL380" s="3" t="s">
        <v>4338</v>
      </c>
      <c r="AM380" s="2"/>
      <c r="AN380" s="2"/>
      <c r="AO380" s="3" t="s">
        <v>4339</v>
      </c>
      <c r="AP380" s="3" t="s">
        <v>4340</v>
      </c>
      <c r="AQ380" s="2" t="s">
        <v>151</v>
      </c>
    </row>
    <row r="381" customFormat="false" ht="35.05" hidden="false" customHeight="false" outlineLevel="0" collapsed="false">
      <c r="A381" s="2" t="n">
        <v>380</v>
      </c>
      <c r="B381" s="2" t="s">
        <v>4341</v>
      </c>
      <c r="C381" s="2" t="s">
        <v>3947</v>
      </c>
      <c r="D381" s="2" t="s">
        <v>3948</v>
      </c>
      <c r="E381" s="2" t="s">
        <v>4342</v>
      </c>
      <c r="F381" s="2" t="s">
        <v>4343</v>
      </c>
      <c r="G381" s="3" t="s">
        <v>4344</v>
      </c>
      <c r="H381" s="2"/>
      <c r="I381" s="2" t="s">
        <v>74</v>
      </c>
      <c r="J381" s="3" t="s">
        <v>4345</v>
      </c>
      <c r="K381" s="2" t="s">
        <v>4346</v>
      </c>
      <c r="L381" s="2" t="s">
        <v>3049</v>
      </c>
      <c r="M381" s="2"/>
      <c r="N381" s="2"/>
      <c r="O381" s="2"/>
      <c r="P381" s="2" t="n">
        <v>36.8537</v>
      </c>
      <c r="Q381" s="2" t="n">
        <v>36.157</v>
      </c>
      <c r="R381" s="2" t="s">
        <v>54</v>
      </c>
      <c r="S381" s="2" t="n">
        <v>-400</v>
      </c>
      <c r="T381" s="2" t="s">
        <v>288</v>
      </c>
      <c r="U381" s="2" t="s">
        <v>56</v>
      </c>
      <c r="V381" s="2" t="s">
        <v>78</v>
      </c>
      <c r="W381" s="2" t="s">
        <v>168</v>
      </c>
      <c r="X381" s="2" t="s">
        <v>289</v>
      </c>
      <c r="Y381" s="2"/>
      <c r="Z381" s="2" t="s">
        <v>170</v>
      </c>
      <c r="AA381" s="2"/>
      <c r="AB381" s="2" t="s">
        <v>63</v>
      </c>
      <c r="AC381" s="2" t="s">
        <v>452</v>
      </c>
      <c r="AD381" s="2" t="s">
        <v>4347</v>
      </c>
      <c r="AE381" s="3" t="s">
        <v>4348</v>
      </c>
      <c r="AF381" s="3" t="s">
        <v>4349</v>
      </c>
      <c r="AG381" s="2"/>
      <c r="AH381" s="2" t="s">
        <v>113</v>
      </c>
      <c r="AI381" s="3" t="s">
        <v>4350</v>
      </c>
      <c r="AJ381" s="3" t="s">
        <v>4351</v>
      </c>
      <c r="AK381" s="2" t="n">
        <v>658490</v>
      </c>
      <c r="AL381" s="3" t="s">
        <v>4352</v>
      </c>
      <c r="AM381" s="2"/>
      <c r="AN381" s="2"/>
      <c r="AO381" s="3"/>
      <c r="AP381" s="3"/>
      <c r="AQ381" s="2"/>
    </row>
    <row r="382" customFormat="false" ht="35.05" hidden="false" customHeight="false" outlineLevel="0" collapsed="false">
      <c r="A382" s="2" t="n">
        <v>381</v>
      </c>
      <c r="B382" s="2" t="s">
        <v>4353</v>
      </c>
      <c r="C382" s="2" t="s">
        <v>3947</v>
      </c>
      <c r="D382" s="2" t="s">
        <v>3948</v>
      </c>
      <c r="E382" s="2" t="s">
        <v>4354</v>
      </c>
      <c r="F382" s="2" t="s">
        <v>4355</v>
      </c>
      <c r="G382" s="3" t="s">
        <v>4356</v>
      </c>
      <c r="H382" s="2"/>
      <c r="I382" s="2" t="s">
        <v>74</v>
      </c>
      <c r="J382" s="3" t="s">
        <v>4357</v>
      </c>
      <c r="K382" s="2" t="s">
        <v>4346</v>
      </c>
      <c r="L382" s="2" t="s">
        <v>3049</v>
      </c>
      <c r="M382" s="2"/>
      <c r="N382" s="2"/>
      <c r="O382" s="2"/>
      <c r="P382" s="2" t="n">
        <v>36.9619</v>
      </c>
      <c r="Q382" s="2" t="n">
        <v>36.1544</v>
      </c>
      <c r="R382" s="2" t="s">
        <v>54</v>
      </c>
      <c r="S382" s="2" t="n">
        <v>-170</v>
      </c>
      <c r="T382" s="2" t="s">
        <v>4295</v>
      </c>
      <c r="U382" s="2" t="s">
        <v>139</v>
      </c>
      <c r="V382" s="2" t="s">
        <v>57</v>
      </c>
      <c r="W382" s="2" t="s">
        <v>195</v>
      </c>
      <c r="X382" s="2" t="s">
        <v>246</v>
      </c>
      <c r="Y382" s="2" t="s">
        <v>4358</v>
      </c>
      <c r="Z382" s="2" t="s">
        <v>2168</v>
      </c>
      <c r="AA382" s="2"/>
      <c r="AB382" s="2" t="s">
        <v>63</v>
      </c>
      <c r="AC382" s="2" t="s">
        <v>64</v>
      </c>
      <c r="AD382" s="2"/>
      <c r="AE382" s="3" t="s">
        <v>4359</v>
      </c>
      <c r="AF382" s="3" t="s">
        <v>4360</v>
      </c>
      <c r="AG382" s="2"/>
      <c r="AH382" s="2" t="s">
        <v>54</v>
      </c>
      <c r="AI382" s="3"/>
      <c r="AJ382" s="3" t="s">
        <v>4361</v>
      </c>
      <c r="AK382" s="2" t="n">
        <v>658556</v>
      </c>
      <c r="AL382" s="3" t="s">
        <v>4362</v>
      </c>
      <c r="AM382" s="2"/>
      <c r="AN382" s="2"/>
      <c r="AO382" s="3"/>
      <c r="AP382" s="3"/>
      <c r="AQ382" s="2"/>
    </row>
    <row r="383" customFormat="false" ht="46.25" hidden="false" customHeight="false" outlineLevel="0" collapsed="false">
      <c r="A383" s="2" t="n">
        <v>382</v>
      </c>
      <c r="B383" s="2" t="s">
        <v>4363</v>
      </c>
      <c r="C383" s="2" t="s">
        <v>3947</v>
      </c>
      <c r="D383" s="2" t="s">
        <v>3948</v>
      </c>
      <c r="E383" s="2" t="s">
        <v>4364</v>
      </c>
      <c r="F383" s="2" t="s">
        <v>4365</v>
      </c>
      <c r="G383" s="3" t="s">
        <v>4366</v>
      </c>
      <c r="H383" s="2" t="s">
        <v>4367</v>
      </c>
      <c r="I383" s="2" t="s">
        <v>123</v>
      </c>
      <c r="J383" s="3" t="s">
        <v>4368</v>
      </c>
      <c r="K383" s="2" t="s">
        <v>4346</v>
      </c>
      <c r="L383" s="2" t="s">
        <v>3049</v>
      </c>
      <c r="M383" s="2" t="s">
        <v>4367</v>
      </c>
      <c r="N383" s="2"/>
      <c r="O383" s="2" t="s">
        <v>5</v>
      </c>
      <c r="P383" s="2" t="n">
        <v>36.5842</v>
      </c>
      <c r="Q383" s="2" t="n">
        <v>36.1733</v>
      </c>
      <c r="R383" s="2" t="s">
        <v>54</v>
      </c>
      <c r="S383" s="2" t="n">
        <v>-333</v>
      </c>
      <c r="T383" s="2" t="s">
        <v>4267</v>
      </c>
      <c r="U383" s="2" t="s">
        <v>96</v>
      </c>
      <c r="V383" s="2" t="s">
        <v>97</v>
      </c>
      <c r="W383" s="2" t="s">
        <v>195</v>
      </c>
      <c r="X383" s="2" t="s">
        <v>246</v>
      </c>
      <c r="Y383" s="2" t="s">
        <v>4369</v>
      </c>
      <c r="Z383" s="2" t="s">
        <v>4370</v>
      </c>
      <c r="AA383" s="2"/>
      <c r="AB383" s="2" t="s">
        <v>81</v>
      </c>
      <c r="AC383" s="2"/>
      <c r="AD383" s="2"/>
      <c r="AE383" s="3" t="s">
        <v>4371</v>
      </c>
      <c r="AF383" s="3" t="s">
        <v>4372</v>
      </c>
      <c r="AG383" s="2" t="s">
        <v>4373</v>
      </c>
      <c r="AH383" s="2" t="s">
        <v>54</v>
      </c>
      <c r="AI383" s="3" t="s">
        <v>4374</v>
      </c>
      <c r="AJ383" s="3" t="s">
        <v>4375</v>
      </c>
      <c r="AK383" s="2" t="n">
        <v>658371</v>
      </c>
      <c r="AL383" s="3" t="s">
        <v>4376</v>
      </c>
      <c r="AM383" s="2"/>
      <c r="AN383" s="2" t="s">
        <v>200</v>
      </c>
      <c r="AO383" s="3" t="s">
        <v>4377</v>
      </c>
      <c r="AP383" s="3" t="s">
        <v>4378</v>
      </c>
      <c r="AQ383" s="2" t="s">
        <v>89</v>
      </c>
    </row>
    <row r="384" customFormat="false" ht="57.45" hidden="false" customHeight="false" outlineLevel="0" collapsed="false">
      <c r="A384" s="2" t="n">
        <v>383</v>
      </c>
      <c r="B384" s="2" t="s">
        <v>4379</v>
      </c>
      <c r="C384" s="2" t="s">
        <v>3947</v>
      </c>
      <c r="D384" s="2" t="s">
        <v>4380</v>
      </c>
      <c r="E384" s="2" t="s">
        <v>4381</v>
      </c>
      <c r="F384" s="2" t="s">
        <v>4382</v>
      </c>
      <c r="G384" s="3" t="s">
        <v>4383</v>
      </c>
      <c r="H384" s="2" t="s">
        <v>4384</v>
      </c>
      <c r="I384" s="2" t="s">
        <v>123</v>
      </c>
      <c r="J384" s="3" t="s">
        <v>4385</v>
      </c>
      <c r="K384" s="2" t="s">
        <v>4346</v>
      </c>
      <c r="L384" s="2" t="s">
        <v>3049</v>
      </c>
      <c r="M384" s="2" t="s">
        <v>4384</v>
      </c>
      <c r="N384" s="2"/>
      <c r="O384" s="2" t="s">
        <v>422</v>
      </c>
      <c r="P384" s="2" t="n">
        <v>36.4196</v>
      </c>
      <c r="Q384" s="2" t="n">
        <v>35.8877</v>
      </c>
      <c r="R384" s="2" t="s">
        <v>54</v>
      </c>
      <c r="S384" s="2" t="n">
        <v>-150</v>
      </c>
      <c r="T384" s="2" t="s">
        <v>2075</v>
      </c>
      <c r="U384" s="2" t="s">
        <v>56</v>
      </c>
      <c r="V384" s="2" t="s">
        <v>78</v>
      </c>
      <c r="W384" s="2" t="s">
        <v>195</v>
      </c>
      <c r="X384" s="2" t="s">
        <v>289</v>
      </c>
      <c r="Y384" s="2" t="s">
        <v>4386</v>
      </c>
      <c r="Z384" s="2" t="s">
        <v>170</v>
      </c>
      <c r="AA384" s="2"/>
      <c r="AB384" s="2" t="s">
        <v>63</v>
      </c>
      <c r="AC384" s="2" t="s">
        <v>64</v>
      </c>
      <c r="AD384" s="2"/>
      <c r="AE384" s="3" t="s">
        <v>4387</v>
      </c>
      <c r="AF384" s="3" t="s">
        <v>4388</v>
      </c>
      <c r="AG384" s="2"/>
      <c r="AH384" s="2" t="s">
        <v>54</v>
      </c>
      <c r="AI384" s="3" t="s">
        <v>4389</v>
      </c>
      <c r="AJ384" s="3" t="s">
        <v>4390</v>
      </c>
      <c r="AK384" s="2" t="n">
        <v>658585</v>
      </c>
      <c r="AL384" s="3" t="s">
        <v>4391</v>
      </c>
      <c r="AM384" s="2"/>
      <c r="AN384" s="2" t="s">
        <v>200</v>
      </c>
      <c r="AO384" s="3"/>
      <c r="AP384" s="3"/>
      <c r="AQ384" s="2"/>
    </row>
    <row r="385" customFormat="false" ht="68.65" hidden="false" customHeight="false" outlineLevel="0" collapsed="false">
      <c r="A385" s="2" t="n">
        <v>384</v>
      </c>
      <c r="B385" s="2" t="s">
        <v>4392</v>
      </c>
      <c r="C385" s="2" t="s">
        <v>3947</v>
      </c>
      <c r="D385" s="2" t="s">
        <v>4380</v>
      </c>
      <c r="E385" s="2" t="s">
        <v>4393</v>
      </c>
      <c r="F385" s="2" t="s">
        <v>4394</v>
      </c>
      <c r="G385" s="3" t="s">
        <v>4395</v>
      </c>
      <c r="H385" s="2" t="s">
        <v>4396</v>
      </c>
      <c r="I385" s="2" t="s">
        <v>49</v>
      </c>
      <c r="J385" s="3" t="s">
        <v>4397</v>
      </c>
      <c r="K385" s="2" t="s">
        <v>4346</v>
      </c>
      <c r="L385" s="2" t="s">
        <v>3049</v>
      </c>
      <c r="M385" s="2"/>
      <c r="N385" s="2"/>
      <c r="O385" s="2" t="s">
        <v>53</v>
      </c>
      <c r="P385" s="2" t="n">
        <v>36.1213</v>
      </c>
      <c r="Q385" s="2" t="n">
        <v>35.9286</v>
      </c>
      <c r="R385" s="2" t="s">
        <v>54</v>
      </c>
      <c r="S385" s="2" t="n">
        <v>-300</v>
      </c>
      <c r="T385" s="2" t="s">
        <v>4398</v>
      </c>
      <c r="U385" s="2" t="s">
        <v>139</v>
      </c>
      <c r="V385" s="2" t="s">
        <v>245</v>
      </c>
      <c r="W385" s="2" t="s">
        <v>195</v>
      </c>
      <c r="X385" s="2" t="s">
        <v>246</v>
      </c>
      <c r="Y385" s="2" t="s">
        <v>2238</v>
      </c>
      <c r="Z385" s="2" t="s">
        <v>2168</v>
      </c>
      <c r="AA385" s="2"/>
      <c r="AB385" s="2" t="s">
        <v>81</v>
      </c>
      <c r="AC385" s="2"/>
      <c r="AD385" s="2"/>
      <c r="AE385" s="3" t="s">
        <v>4399</v>
      </c>
      <c r="AF385" s="3" t="s">
        <v>4400</v>
      </c>
      <c r="AG385" s="2" t="s">
        <v>4401</v>
      </c>
      <c r="AH385" s="2" t="s">
        <v>54</v>
      </c>
      <c r="AI385" s="3" t="s">
        <v>4402</v>
      </c>
      <c r="AJ385" s="3" t="s">
        <v>4403</v>
      </c>
      <c r="AK385" s="2" t="n">
        <v>658483</v>
      </c>
      <c r="AL385" s="3" t="s">
        <v>4404</v>
      </c>
      <c r="AM385" s="2"/>
      <c r="AN385" s="2"/>
      <c r="AO385" s="3" t="s">
        <v>4405</v>
      </c>
      <c r="AP385" s="3" t="s">
        <v>4406</v>
      </c>
      <c r="AQ385" s="2" t="s">
        <v>89</v>
      </c>
    </row>
    <row r="386" customFormat="false" ht="23.85" hidden="false" customHeight="false" outlineLevel="0" collapsed="false">
      <c r="A386" s="2" t="n">
        <v>385</v>
      </c>
      <c r="B386" s="2" t="s">
        <v>4407</v>
      </c>
      <c r="C386" s="2" t="s">
        <v>3947</v>
      </c>
      <c r="D386" s="2" t="s">
        <v>4380</v>
      </c>
      <c r="E386" s="2" t="s">
        <v>4408</v>
      </c>
      <c r="F386" s="2" t="s">
        <v>4409</v>
      </c>
      <c r="G386" s="3"/>
      <c r="H386" s="2"/>
      <c r="I386" s="2" t="s">
        <v>93</v>
      </c>
      <c r="J386" s="3" t="s">
        <v>4410</v>
      </c>
      <c r="K386" s="2" t="s">
        <v>4346</v>
      </c>
      <c r="L386" s="2" t="s">
        <v>3049</v>
      </c>
      <c r="M386" s="2"/>
      <c r="N386" s="2"/>
      <c r="O386" s="2"/>
      <c r="P386" s="2" t="n">
        <v>36.2634</v>
      </c>
      <c r="Q386" s="2" t="n">
        <v>36.2301</v>
      </c>
      <c r="R386" s="2" t="s">
        <v>95</v>
      </c>
      <c r="S386" s="2" t="n">
        <v>-307</v>
      </c>
      <c r="T386" s="2" t="s">
        <v>4411</v>
      </c>
      <c r="U386" s="2" t="s">
        <v>139</v>
      </c>
      <c r="V386" s="2" t="s">
        <v>245</v>
      </c>
      <c r="W386" s="2" t="s">
        <v>195</v>
      </c>
      <c r="X386" s="2" t="s">
        <v>246</v>
      </c>
      <c r="Y386" s="2" t="s">
        <v>4412</v>
      </c>
      <c r="Z386" s="2" t="s">
        <v>248</v>
      </c>
      <c r="AA386" s="2"/>
      <c r="AB386" s="2" t="s">
        <v>81</v>
      </c>
      <c r="AC386" s="2"/>
      <c r="AD386" s="2"/>
      <c r="AE386" s="3"/>
      <c r="AF386" s="3" t="s">
        <v>4413</v>
      </c>
      <c r="AG386" s="2"/>
      <c r="AH386" s="2" t="s">
        <v>113</v>
      </c>
      <c r="AI386" s="3" t="s">
        <v>4414</v>
      </c>
      <c r="AJ386" s="3" t="s">
        <v>4415</v>
      </c>
      <c r="AK386" s="2" t="n">
        <v>658380</v>
      </c>
      <c r="AL386" s="3" t="s">
        <v>4416</v>
      </c>
      <c r="AM386" s="2"/>
      <c r="AN386" s="2"/>
      <c r="AO386" s="3" t="s">
        <v>4417</v>
      </c>
      <c r="AP386" s="3" t="s">
        <v>4418</v>
      </c>
      <c r="AQ386" s="2" t="s">
        <v>106</v>
      </c>
    </row>
    <row r="387" customFormat="false" ht="68.65" hidden="false" customHeight="false" outlineLevel="0" collapsed="false">
      <c r="A387" s="2" t="n">
        <v>386</v>
      </c>
      <c r="B387" s="2" t="s">
        <v>4419</v>
      </c>
      <c r="C387" s="2" t="s">
        <v>3947</v>
      </c>
      <c r="D387" s="2" t="s">
        <v>4380</v>
      </c>
      <c r="E387" s="2" t="s">
        <v>4420</v>
      </c>
      <c r="F387" s="2" t="s">
        <v>4421</v>
      </c>
      <c r="G387" s="3" t="s">
        <v>4422</v>
      </c>
      <c r="H387" s="2" t="s">
        <v>4423</v>
      </c>
      <c r="I387" s="2" t="s">
        <v>123</v>
      </c>
      <c r="J387" s="3" t="s">
        <v>4424</v>
      </c>
      <c r="K387" s="2" t="s">
        <v>4346</v>
      </c>
      <c r="L387" s="2" t="s">
        <v>3049</v>
      </c>
      <c r="M387" s="2" t="s">
        <v>4423</v>
      </c>
      <c r="N387" s="2" t="s">
        <v>63</v>
      </c>
      <c r="O387" s="2" t="s">
        <v>5</v>
      </c>
      <c r="P387" s="2" t="n">
        <v>36.2226</v>
      </c>
      <c r="Q387" s="2" t="n">
        <v>36.1832</v>
      </c>
      <c r="R387" s="2" t="s">
        <v>54</v>
      </c>
      <c r="S387" s="2" t="n">
        <v>-300</v>
      </c>
      <c r="T387" s="2" t="s">
        <v>4398</v>
      </c>
      <c r="U387" s="2" t="s">
        <v>139</v>
      </c>
      <c r="V387" s="2" t="s">
        <v>245</v>
      </c>
      <c r="W387" s="2" t="s">
        <v>195</v>
      </c>
      <c r="X387" s="2" t="s">
        <v>246</v>
      </c>
      <c r="Y387" s="2" t="s">
        <v>2238</v>
      </c>
      <c r="Z387" s="2" t="s">
        <v>2168</v>
      </c>
      <c r="AA387" s="2"/>
      <c r="AB387" s="2" t="s">
        <v>81</v>
      </c>
      <c r="AC387" s="2"/>
      <c r="AD387" s="2"/>
      <c r="AE387" s="3" t="s">
        <v>4425</v>
      </c>
      <c r="AF387" s="3" t="s">
        <v>4426</v>
      </c>
      <c r="AG387" s="2" t="s">
        <v>4427</v>
      </c>
      <c r="AH387" s="2" t="s">
        <v>54</v>
      </c>
      <c r="AI387" s="3" t="s">
        <v>4428</v>
      </c>
      <c r="AJ387" s="3" t="s">
        <v>4429</v>
      </c>
      <c r="AK387" s="2" t="n">
        <v>658381</v>
      </c>
      <c r="AL387" s="3" t="s">
        <v>4430</v>
      </c>
      <c r="AM387" s="2"/>
      <c r="AN387" s="2" t="s">
        <v>200</v>
      </c>
      <c r="AO387" s="3" t="s">
        <v>4431</v>
      </c>
      <c r="AP387" s="3" t="s">
        <v>4432</v>
      </c>
      <c r="AQ387" s="2" t="s">
        <v>151</v>
      </c>
    </row>
    <row r="388" customFormat="false" ht="23.85" hidden="false" customHeight="false" outlineLevel="0" collapsed="false">
      <c r="A388" s="2" t="n">
        <v>387</v>
      </c>
      <c r="B388" s="2" t="s">
        <v>4433</v>
      </c>
      <c r="C388" s="2" t="s">
        <v>3947</v>
      </c>
      <c r="D388" s="2" t="s">
        <v>3948</v>
      </c>
      <c r="E388" s="2" t="s">
        <v>4434</v>
      </c>
      <c r="F388" s="2" t="s">
        <v>4435</v>
      </c>
      <c r="G388" s="3" t="s">
        <v>4436</v>
      </c>
      <c r="H388" s="2" t="s">
        <v>4437</v>
      </c>
      <c r="I388" s="2" t="s">
        <v>49</v>
      </c>
      <c r="J388" s="3" t="s">
        <v>4438</v>
      </c>
      <c r="K388" s="2" t="s">
        <v>4439</v>
      </c>
      <c r="L388" s="2" t="s">
        <v>3931</v>
      </c>
      <c r="M388" s="2"/>
      <c r="N388" s="2"/>
      <c r="O388" s="2" t="s">
        <v>53</v>
      </c>
      <c r="P388" s="2" t="n">
        <v>36.7509</v>
      </c>
      <c r="Q388" s="2" t="n">
        <v>32.7539</v>
      </c>
      <c r="R388" s="2" t="s">
        <v>54</v>
      </c>
      <c r="S388" s="2" t="n">
        <v>90</v>
      </c>
      <c r="T388" s="2" t="s">
        <v>4440</v>
      </c>
      <c r="U388" s="2" t="s">
        <v>96</v>
      </c>
      <c r="V388" s="2" t="s">
        <v>97</v>
      </c>
      <c r="W388" s="2" t="s">
        <v>140</v>
      </c>
      <c r="X388" s="2" t="s">
        <v>141</v>
      </c>
      <c r="Y388" s="2" t="s">
        <v>4441</v>
      </c>
      <c r="Z388" s="2" t="s">
        <v>143</v>
      </c>
      <c r="AA388" s="2"/>
      <c r="AB388" s="2" t="s">
        <v>81</v>
      </c>
      <c r="AC388" s="2"/>
      <c r="AD388" s="2"/>
      <c r="AE388" s="3"/>
      <c r="AF388" s="3" t="s">
        <v>4442</v>
      </c>
      <c r="AG388" s="2"/>
      <c r="AH388" s="2" t="s">
        <v>113</v>
      </c>
      <c r="AI388" s="3" t="s">
        <v>4443</v>
      </c>
      <c r="AJ388" s="3" t="s">
        <v>4444</v>
      </c>
      <c r="AK388" s="2" t="n">
        <v>648625</v>
      </c>
      <c r="AL388" s="3" t="s">
        <v>4445</v>
      </c>
      <c r="AM388" s="2"/>
      <c r="AN388" s="2"/>
      <c r="AO388" s="3" t="s">
        <v>4446</v>
      </c>
      <c r="AP388" s="3" t="s">
        <v>4447</v>
      </c>
      <c r="AQ388" s="2" t="s">
        <v>151</v>
      </c>
    </row>
    <row r="389" customFormat="false" ht="23.85" hidden="false" customHeight="false" outlineLevel="0" collapsed="false">
      <c r="A389" s="2" t="n">
        <v>388</v>
      </c>
      <c r="B389" s="2" t="s">
        <v>4448</v>
      </c>
      <c r="C389" s="2" t="s">
        <v>3947</v>
      </c>
      <c r="D389" s="2" t="s">
        <v>3948</v>
      </c>
      <c r="E389" s="2" t="s">
        <v>4449</v>
      </c>
      <c r="F389" s="2" t="s">
        <v>3258</v>
      </c>
      <c r="G389" s="3"/>
      <c r="H389" s="2"/>
      <c r="I389" s="2" t="s">
        <v>93</v>
      </c>
      <c r="J389" s="3" t="s">
        <v>4450</v>
      </c>
      <c r="K389" s="2" t="s">
        <v>4087</v>
      </c>
      <c r="L389" s="2" t="s">
        <v>3049</v>
      </c>
      <c r="M389" s="2"/>
      <c r="N389" s="2"/>
      <c r="O389" s="2"/>
      <c r="P389" s="2" t="n">
        <v>36.7592</v>
      </c>
      <c r="Q389" s="2" t="n">
        <v>33.3497</v>
      </c>
      <c r="R389" s="2" t="s">
        <v>95</v>
      </c>
      <c r="S389" s="2" t="n">
        <v>550</v>
      </c>
      <c r="T389" s="2" t="s">
        <v>4063</v>
      </c>
      <c r="U389" s="2" t="s">
        <v>56</v>
      </c>
      <c r="V389" s="2" t="s">
        <v>97</v>
      </c>
      <c r="W389" s="2" t="s">
        <v>304</v>
      </c>
      <c r="X389" s="2" t="s">
        <v>169</v>
      </c>
      <c r="Y389" s="2" t="s">
        <v>3955</v>
      </c>
      <c r="Z389" s="2" t="s">
        <v>170</v>
      </c>
      <c r="AA389" s="2"/>
      <c r="AB389" s="2" t="s">
        <v>81</v>
      </c>
      <c r="AC389" s="2"/>
      <c r="AD389" s="2"/>
      <c r="AE389" s="3"/>
      <c r="AF389" s="3" t="s">
        <v>4076</v>
      </c>
      <c r="AG389" s="2"/>
      <c r="AH389" s="2" t="s">
        <v>263</v>
      </c>
      <c r="AI389" s="3" t="s">
        <v>4451</v>
      </c>
      <c r="AJ389" s="3" t="s">
        <v>4452</v>
      </c>
      <c r="AK389" s="2" t="n">
        <v>648707</v>
      </c>
      <c r="AL389" s="3" t="s">
        <v>4453</v>
      </c>
      <c r="AM389" s="2"/>
      <c r="AN389" s="2"/>
      <c r="AO389" s="3" t="s">
        <v>4454</v>
      </c>
      <c r="AP389" s="3" t="s">
        <v>4455</v>
      </c>
      <c r="AQ389" s="2" t="s">
        <v>106</v>
      </c>
    </row>
    <row r="390" customFormat="false" ht="57.45" hidden="false" customHeight="false" outlineLevel="0" collapsed="false">
      <c r="A390" s="2" t="n">
        <v>389</v>
      </c>
      <c r="B390" s="2" t="s">
        <v>4456</v>
      </c>
      <c r="C390" s="2" t="s">
        <v>3947</v>
      </c>
      <c r="D390" s="2" t="s">
        <v>3948</v>
      </c>
      <c r="E390" s="2" t="s">
        <v>4457</v>
      </c>
      <c r="F390" s="2" t="s">
        <v>4458</v>
      </c>
      <c r="G390" s="3" t="s">
        <v>4459</v>
      </c>
      <c r="H390" s="2" t="s">
        <v>4460</v>
      </c>
      <c r="I390" s="2" t="s">
        <v>123</v>
      </c>
      <c r="J390" s="3" t="s">
        <v>4461</v>
      </c>
      <c r="K390" s="2" t="s">
        <v>4087</v>
      </c>
      <c r="L390" s="2" t="s">
        <v>3049</v>
      </c>
      <c r="M390" s="2" t="s">
        <v>4460</v>
      </c>
      <c r="N390" s="2"/>
      <c r="O390" s="2" t="s">
        <v>53</v>
      </c>
      <c r="P390" s="2" t="n">
        <v>36.6425</v>
      </c>
      <c r="Q390" s="2" t="n">
        <v>33.4394</v>
      </c>
      <c r="R390" s="2" t="s">
        <v>54</v>
      </c>
      <c r="S390" s="2" t="n">
        <v>-25</v>
      </c>
      <c r="T390" s="2" t="s">
        <v>3645</v>
      </c>
      <c r="U390" s="2" t="s">
        <v>139</v>
      </c>
      <c r="V390" s="2" t="s">
        <v>97</v>
      </c>
      <c r="W390" s="2" t="s">
        <v>140</v>
      </c>
      <c r="X390" s="2" t="s">
        <v>141</v>
      </c>
      <c r="Y390" s="2" t="s">
        <v>4462</v>
      </c>
      <c r="Z390" s="2" t="s">
        <v>143</v>
      </c>
      <c r="AA390" s="2"/>
      <c r="AB390" s="2" t="s">
        <v>81</v>
      </c>
      <c r="AC390" s="2"/>
      <c r="AD390" s="2"/>
      <c r="AE390" s="3"/>
      <c r="AF390" s="3" t="s">
        <v>4463</v>
      </c>
      <c r="AG390" s="2" t="s">
        <v>4464</v>
      </c>
      <c r="AH390" s="2" t="s">
        <v>54</v>
      </c>
      <c r="AI390" s="3" t="s">
        <v>4465</v>
      </c>
      <c r="AJ390" s="3" t="s">
        <v>4466</v>
      </c>
      <c r="AK390" s="2" t="n">
        <v>648723</v>
      </c>
      <c r="AL390" s="3" t="s">
        <v>4467</v>
      </c>
      <c r="AM390" s="2"/>
      <c r="AN390" s="2"/>
      <c r="AO390" s="3" t="s">
        <v>4468</v>
      </c>
      <c r="AP390" s="3" t="s">
        <v>4469</v>
      </c>
      <c r="AQ390" s="2" t="s">
        <v>89</v>
      </c>
    </row>
    <row r="391" customFormat="false" ht="46.25" hidden="false" customHeight="false" outlineLevel="0" collapsed="false">
      <c r="A391" s="2" t="n">
        <v>390</v>
      </c>
      <c r="B391" s="2" t="s">
        <v>4470</v>
      </c>
      <c r="C391" s="2" t="s">
        <v>3947</v>
      </c>
      <c r="D391" s="2" t="s">
        <v>3948</v>
      </c>
      <c r="E391" s="2" t="s">
        <v>4471</v>
      </c>
      <c r="F391" s="2" t="s">
        <v>4472</v>
      </c>
      <c r="G391" s="3" t="s">
        <v>4473</v>
      </c>
      <c r="H391" s="2" t="s">
        <v>4474</v>
      </c>
      <c r="I391" s="2" t="s">
        <v>49</v>
      </c>
      <c r="J391" s="3" t="s">
        <v>4475</v>
      </c>
      <c r="K391" s="2" t="s">
        <v>4087</v>
      </c>
      <c r="L391" s="2" t="s">
        <v>3049</v>
      </c>
      <c r="M391" s="2"/>
      <c r="N391" s="2"/>
      <c r="O391" s="2" t="s">
        <v>53</v>
      </c>
      <c r="P391" s="2" t="n">
        <v>36.8294</v>
      </c>
      <c r="Q391" s="2" t="n">
        <v>33.4681</v>
      </c>
      <c r="R391" s="2" t="s">
        <v>95</v>
      </c>
      <c r="S391" s="2" t="n">
        <v>150</v>
      </c>
      <c r="T391" s="2" t="s">
        <v>1507</v>
      </c>
      <c r="U391" s="2" t="s">
        <v>56</v>
      </c>
      <c r="V391" s="2" t="s">
        <v>78</v>
      </c>
      <c r="W391" s="2" t="s">
        <v>140</v>
      </c>
      <c r="X391" s="2" t="s">
        <v>289</v>
      </c>
      <c r="Y391" s="2"/>
      <c r="Z391" s="2" t="s">
        <v>170</v>
      </c>
      <c r="AA391" s="2"/>
      <c r="AB391" s="2" t="s">
        <v>63</v>
      </c>
      <c r="AC391" s="2" t="s">
        <v>64</v>
      </c>
      <c r="AD391" s="2"/>
      <c r="AE391" s="3" t="s">
        <v>4476</v>
      </c>
      <c r="AF391" s="3" t="s">
        <v>4477</v>
      </c>
      <c r="AG391" s="2"/>
      <c r="AH391" s="2" t="s">
        <v>113</v>
      </c>
      <c r="AI391" s="3" t="s">
        <v>4478</v>
      </c>
      <c r="AJ391" s="3" t="s">
        <v>4479</v>
      </c>
      <c r="AK391" s="2" t="n">
        <v>648618</v>
      </c>
      <c r="AL391" s="3" t="s">
        <v>4480</v>
      </c>
      <c r="AM391" s="2"/>
      <c r="AN391" s="2"/>
      <c r="AO391" s="3"/>
      <c r="AP391" s="3"/>
      <c r="AQ391" s="2"/>
    </row>
    <row r="392" customFormat="false" ht="46.25" hidden="false" customHeight="false" outlineLevel="0" collapsed="false">
      <c r="A392" s="2" t="n">
        <v>391</v>
      </c>
      <c r="B392" s="2" t="s">
        <v>4481</v>
      </c>
      <c r="C392" s="2" t="s">
        <v>3947</v>
      </c>
      <c r="D392" s="2" t="s">
        <v>3948</v>
      </c>
      <c r="E392" s="2" t="s">
        <v>4482</v>
      </c>
      <c r="F392" s="2" t="s">
        <v>4483</v>
      </c>
      <c r="G392" s="3" t="s">
        <v>4484</v>
      </c>
      <c r="H392" s="2" t="s">
        <v>1305</v>
      </c>
      <c r="I392" s="2" t="s">
        <v>49</v>
      </c>
      <c r="J392" s="3" t="s">
        <v>4485</v>
      </c>
      <c r="K392" s="2" t="s">
        <v>4087</v>
      </c>
      <c r="L392" s="2" t="s">
        <v>3049</v>
      </c>
      <c r="M392" s="2"/>
      <c r="N392" s="2"/>
      <c r="O392" s="2" t="s">
        <v>53</v>
      </c>
      <c r="P392" s="2" t="n">
        <v>36.5844</v>
      </c>
      <c r="Q392" s="2" t="n">
        <v>33.9691</v>
      </c>
      <c r="R392" s="2" t="s">
        <v>54</v>
      </c>
      <c r="S392" s="2" t="n">
        <v>-200</v>
      </c>
      <c r="T392" s="2" t="s">
        <v>194</v>
      </c>
      <c r="U392" s="2" t="s">
        <v>56</v>
      </c>
      <c r="V392" s="2" t="s">
        <v>78</v>
      </c>
      <c r="W392" s="2" t="s">
        <v>195</v>
      </c>
      <c r="X392" s="2" t="s">
        <v>289</v>
      </c>
      <c r="Y392" s="2" t="s">
        <v>4486</v>
      </c>
      <c r="Z392" s="2" t="s">
        <v>170</v>
      </c>
      <c r="AA392" s="2"/>
      <c r="AB392" s="2" t="s">
        <v>63</v>
      </c>
      <c r="AC392" s="2" t="s">
        <v>64</v>
      </c>
      <c r="AD392" s="2"/>
      <c r="AE392" s="3" t="s">
        <v>4487</v>
      </c>
      <c r="AF392" s="3" t="s">
        <v>4488</v>
      </c>
      <c r="AG392" s="2"/>
      <c r="AH392" s="2" t="s">
        <v>54</v>
      </c>
      <c r="AI392" s="3" t="s">
        <v>4489</v>
      </c>
      <c r="AJ392" s="3" t="s">
        <v>4490</v>
      </c>
      <c r="AK392" s="2" t="n">
        <v>648725</v>
      </c>
      <c r="AL392" s="3" t="s">
        <v>4491</v>
      </c>
      <c r="AM392" s="2"/>
      <c r="AN392" s="2"/>
      <c r="AO392" s="3"/>
      <c r="AP392" s="3"/>
      <c r="AQ392" s="2"/>
    </row>
    <row r="393" customFormat="false" ht="79.85" hidden="false" customHeight="false" outlineLevel="0" collapsed="false">
      <c r="A393" s="2" t="n">
        <v>392</v>
      </c>
      <c r="B393" s="2" t="s">
        <v>4492</v>
      </c>
      <c r="C393" s="2" t="s">
        <v>3947</v>
      </c>
      <c r="D393" s="2" t="s">
        <v>3948</v>
      </c>
      <c r="E393" s="2" t="s">
        <v>4493</v>
      </c>
      <c r="F393" s="2" t="s">
        <v>4494</v>
      </c>
      <c r="G393" s="3" t="s">
        <v>4495</v>
      </c>
      <c r="H393" s="2" t="s">
        <v>4496</v>
      </c>
      <c r="I393" s="2" t="s">
        <v>49</v>
      </c>
      <c r="J393" s="3" t="s">
        <v>4497</v>
      </c>
      <c r="K393" s="2" t="s">
        <v>4087</v>
      </c>
      <c r="L393" s="2" t="s">
        <v>3049</v>
      </c>
      <c r="M393" s="2"/>
      <c r="N393" s="2"/>
      <c r="O393" s="2" t="s">
        <v>53</v>
      </c>
      <c r="P393" s="2" t="n">
        <v>36.5827</v>
      </c>
      <c r="Q393" s="2" t="n">
        <v>33.9261</v>
      </c>
      <c r="R393" s="2" t="s">
        <v>54</v>
      </c>
      <c r="S393" s="2" t="n">
        <v>72</v>
      </c>
      <c r="T393" s="2" t="s">
        <v>4498</v>
      </c>
      <c r="U393" s="2" t="s">
        <v>139</v>
      </c>
      <c r="V393" s="2" t="s">
        <v>57</v>
      </c>
      <c r="W393" s="2" t="s">
        <v>140</v>
      </c>
      <c r="X393" s="2" t="s">
        <v>141</v>
      </c>
      <c r="Y393" s="2" t="s">
        <v>4499</v>
      </c>
      <c r="Z393" s="2" t="s">
        <v>143</v>
      </c>
      <c r="AA393" s="2"/>
      <c r="AB393" s="2" t="s">
        <v>81</v>
      </c>
      <c r="AC393" s="2"/>
      <c r="AD393" s="2"/>
      <c r="AE393" s="3"/>
      <c r="AF393" s="3" t="s">
        <v>4500</v>
      </c>
      <c r="AG393" s="2"/>
      <c r="AH393" s="2" t="s">
        <v>54</v>
      </c>
      <c r="AI393" s="3" t="s">
        <v>4501</v>
      </c>
      <c r="AJ393" s="3" t="s">
        <v>4502</v>
      </c>
      <c r="AK393" s="2" t="n">
        <v>648623</v>
      </c>
      <c r="AL393" s="3" t="s">
        <v>4503</v>
      </c>
      <c r="AM393" s="2"/>
      <c r="AN393" s="2"/>
      <c r="AO393" s="3" t="s">
        <v>4504</v>
      </c>
      <c r="AP393" s="3" t="s">
        <v>4505</v>
      </c>
      <c r="AQ393" s="2" t="s">
        <v>89</v>
      </c>
    </row>
    <row r="394" customFormat="false" ht="46.25" hidden="false" customHeight="false" outlineLevel="0" collapsed="false">
      <c r="A394" s="2" t="n">
        <v>393</v>
      </c>
      <c r="B394" s="2" t="s">
        <v>4506</v>
      </c>
      <c r="C394" s="2" t="s">
        <v>3947</v>
      </c>
      <c r="D394" s="2" t="s">
        <v>3948</v>
      </c>
      <c r="E394" s="2" t="s">
        <v>4507</v>
      </c>
      <c r="F394" s="2" t="s">
        <v>4508</v>
      </c>
      <c r="G394" s="3" t="s">
        <v>4509</v>
      </c>
      <c r="H394" s="2" t="s">
        <v>4510</v>
      </c>
      <c r="I394" s="2" t="s">
        <v>49</v>
      </c>
      <c r="J394" s="3" t="s">
        <v>4511</v>
      </c>
      <c r="K394" s="2" t="s">
        <v>4290</v>
      </c>
      <c r="L394" s="2" t="s">
        <v>3049</v>
      </c>
      <c r="M394" s="2"/>
      <c r="N394" s="2"/>
      <c r="O394" s="2" t="s">
        <v>53</v>
      </c>
      <c r="P394" s="2" t="n">
        <v>36.958</v>
      </c>
      <c r="Q394" s="2" t="n">
        <v>35.6224</v>
      </c>
      <c r="R394" s="2" t="s">
        <v>54</v>
      </c>
      <c r="S394" s="2" t="n">
        <v>-170</v>
      </c>
      <c r="T394" s="2" t="s">
        <v>4295</v>
      </c>
      <c r="U394" s="2" t="s">
        <v>139</v>
      </c>
      <c r="V394" s="2" t="s">
        <v>57</v>
      </c>
      <c r="W394" s="2" t="s">
        <v>195</v>
      </c>
      <c r="X394" s="2" t="s">
        <v>246</v>
      </c>
      <c r="Y394" s="2" t="s">
        <v>4512</v>
      </c>
      <c r="Z394" s="2" t="s">
        <v>2168</v>
      </c>
      <c r="AA394" s="2"/>
      <c r="AB394" s="2" t="s">
        <v>63</v>
      </c>
      <c r="AC394" s="2" t="s">
        <v>452</v>
      </c>
      <c r="AD394" s="2" t="s">
        <v>4513</v>
      </c>
      <c r="AE394" s="3" t="s">
        <v>4514</v>
      </c>
      <c r="AF394" s="3" t="s">
        <v>4515</v>
      </c>
      <c r="AG394" s="2" t="s">
        <v>4516</v>
      </c>
      <c r="AH394" s="2" t="s">
        <v>54</v>
      </c>
      <c r="AI394" s="3" t="s">
        <v>4517</v>
      </c>
      <c r="AJ394" s="3" t="s">
        <v>4518</v>
      </c>
      <c r="AK394" s="2" t="n">
        <v>658538</v>
      </c>
      <c r="AL394" s="3" t="s">
        <v>4519</v>
      </c>
      <c r="AM394" s="2"/>
      <c r="AN394" s="2"/>
      <c r="AO394" s="3"/>
      <c r="AP394" s="3"/>
      <c r="AQ394" s="2"/>
    </row>
    <row r="395" customFormat="false" ht="46.25" hidden="false" customHeight="false" outlineLevel="0" collapsed="false">
      <c r="A395" s="2" t="n">
        <v>394</v>
      </c>
      <c r="B395" s="2" t="s">
        <v>4520</v>
      </c>
      <c r="C395" s="2" t="s">
        <v>3947</v>
      </c>
      <c r="D395" s="2" t="s">
        <v>3948</v>
      </c>
      <c r="E395" s="2" t="s">
        <v>4521</v>
      </c>
      <c r="F395" s="2" t="s">
        <v>4522</v>
      </c>
      <c r="G395" s="3" t="s">
        <v>4523</v>
      </c>
      <c r="H395" s="2"/>
      <c r="I395" s="2" t="s">
        <v>74</v>
      </c>
      <c r="J395" s="3" t="s">
        <v>4524</v>
      </c>
      <c r="K395" s="2" t="s">
        <v>4290</v>
      </c>
      <c r="L395" s="2" t="s">
        <v>3049</v>
      </c>
      <c r="M395" s="2"/>
      <c r="N395" s="2"/>
      <c r="O395" s="2"/>
      <c r="P395" s="2" t="n">
        <v>37.2452</v>
      </c>
      <c r="Q395" s="2" t="n">
        <v>35.3441</v>
      </c>
      <c r="R395" s="2" t="s">
        <v>54</v>
      </c>
      <c r="S395" s="2" t="n">
        <v>20</v>
      </c>
      <c r="T395" s="2" t="s">
        <v>4525</v>
      </c>
      <c r="U395" s="2" t="s">
        <v>139</v>
      </c>
      <c r="V395" s="2" t="s">
        <v>245</v>
      </c>
      <c r="W395" s="2" t="s">
        <v>140</v>
      </c>
      <c r="X395" s="2" t="s">
        <v>141</v>
      </c>
      <c r="Y395" s="2" t="s">
        <v>4526</v>
      </c>
      <c r="Z395" s="2" t="s">
        <v>143</v>
      </c>
      <c r="AA395" s="2"/>
      <c r="AB395" s="2" t="s">
        <v>81</v>
      </c>
      <c r="AC395" s="2"/>
      <c r="AD395" s="2"/>
      <c r="AE395" s="3"/>
      <c r="AF395" s="3" t="s">
        <v>4527</v>
      </c>
      <c r="AG395" s="2"/>
      <c r="AH395" s="2" t="s">
        <v>54</v>
      </c>
      <c r="AI395" s="3" t="s">
        <v>4528</v>
      </c>
      <c r="AJ395" s="3" t="s">
        <v>4529</v>
      </c>
      <c r="AK395" s="2" t="n">
        <v>648577</v>
      </c>
      <c r="AL395" s="3" t="s">
        <v>4530</v>
      </c>
      <c r="AM395" s="2"/>
      <c r="AN395" s="2"/>
      <c r="AO395" s="3" t="s">
        <v>4531</v>
      </c>
      <c r="AP395" s="3" t="s">
        <v>4532</v>
      </c>
      <c r="AQ395" s="2" t="s">
        <v>89</v>
      </c>
    </row>
    <row r="396" customFormat="false" ht="35.05" hidden="false" customHeight="false" outlineLevel="0" collapsed="false">
      <c r="A396" s="2" t="n">
        <v>395</v>
      </c>
      <c r="B396" s="2" t="s">
        <v>4533</v>
      </c>
      <c r="C396" s="2" t="s">
        <v>3947</v>
      </c>
      <c r="D396" s="2" t="s">
        <v>3948</v>
      </c>
      <c r="E396" s="2" t="s">
        <v>4534</v>
      </c>
      <c r="F396" s="2" t="s">
        <v>4535</v>
      </c>
      <c r="G396" s="3" t="s">
        <v>4536</v>
      </c>
      <c r="H396" s="2" t="s">
        <v>4537</v>
      </c>
      <c r="I396" s="2" t="s">
        <v>49</v>
      </c>
      <c r="J396" s="3" t="s">
        <v>4538</v>
      </c>
      <c r="K396" s="2" t="s">
        <v>4290</v>
      </c>
      <c r="L396" s="2" t="s">
        <v>3049</v>
      </c>
      <c r="M396" s="2"/>
      <c r="N396" s="2"/>
      <c r="O396" s="2" t="s">
        <v>53</v>
      </c>
      <c r="P396" s="2" t="n">
        <v>37.256</v>
      </c>
      <c r="Q396" s="2" t="n">
        <v>35.8984</v>
      </c>
      <c r="R396" s="2" t="s">
        <v>54</v>
      </c>
      <c r="S396" s="2" t="n">
        <v>-19</v>
      </c>
      <c r="T396" s="2" t="s">
        <v>4539</v>
      </c>
      <c r="U396" s="2" t="s">
        <v>139</v>
      </c>
      <c r="V396" s="2" t="s">
        <v>245</v>
      </c>
      <c r="W396" s="2" t="s">
        <v>140</v>
      </c>
      <c r="X396" s="2" t="s">
        <v>289</v>
      </c>
      <c r="Y396" s="2" t="s">
        <v>4540</v>
      </c>
      <c r="Z396" s="2" t="s">
        <v>170</v>
      </c>
      <c r="AA396" s="2"/>
      <c r="AB396" s="2" t="s">
        <v>63</v>
      </c>
      <c r="AC396" s="2" t="s">
        <v>64</v>
      </c>
      <c r="AD396" s="2"/>
      <c r="AE396" s="3" t="s">
        <v>4541</v>
      </c>
      <c r="AF396" s="3" t="s">
        <v>4542</v>
      </c>
      <c r="AG396" s="2" t="s">
        <v>4543</v>
      </c>
      <c r="AH396" s="2" t="s">
        <v>54</v>
      </c>
      <c r="AI396" s="3" t="s">
        <v>4544</v>
      </c>
      <c r="AJ396" s="3" t="s">
        <v>4545</v>
      </c>
      <c r="AK396" s="2" t="n">
        <v>658378</v>
      </c>
      <c r="AL396" s="3" t="s">
        <v>4546</v>
      </c>
      <c r="AM396" s="2"/>
      <c r="AN396" s="2"/>
      <c r="AO396" s="3"/>
      <c r="AP396" s="3"/>
      <c r="AQ396" s="2"/>
    </row>
    <row r="397" customFormat="false" ht="46.25" hidden="false" customHeight="false" outlineLevel="0" collapsed="false">
      <c r="A397" s="2" t="n">
        <v>396</v>
      </c>
      <c r="B397" s="2" t="s">
        <v>4547</v>
      </c>
      <c r="C397" s="2" t="s">
        <v>3947</v>
      </c>
      <c r="D397" s="2" t="s">
        <v>3948</v>
      </c>
      <c r="E397" s="2" t="s">
        <v>4548</v>
      </c>
      <c r="F397" s="2" t="s">
        <v>4549</v>
      </c>
      <c r="G397" s="3" t="s">
        <v>4550</v>
      </c>
      <c r="H397" s="2"/>
      <c r="I397" s="2" t="s">
        <v>74</v>
      </c>
      <c r="J397" s="3" t="s">
        <v>4551</v>
      </c>
      <c r="K397" s="2" t="s">
        <v>4552</v>
      </c>
      <c r="L397" s="2" t="s">
        <v>3049</v>
      </c>
      <c r="M397" s="2"/>
      <c r="N397" s="2"/>
      <c r="O397" s="2"/>
      <c r="P397" s="2" t="n">
        <v>37.1764</v>
      </c>
      <c r="Q397" s="2" t="n">
        <v>36.1873</v>
      </c>
      <c r="R397" s="2" t="s">
        <v>54</v>
      </c>
      <c r="S397" s="2" t="n">
        <v>-170</v>
      </c>
      <c r="T397" s="2" t="s">
        <v>4295</v>
      </c>
      <c r="U397" s="2" t="s">
        <v>139</v>
      </c>
      <c r="V397" s="2" t="s">
        <v>57</v>
      </c>
      <c r="W397" s="2" t="s">
        <v>195</v>
      </c>
      <c r="X397" s="2" t="s">
        <v>246</v>
      </c>
      <c r="Y397" s="2" t="s">
        <v>4309</v>
      </c>
      <c r="Z397" s="2" t="s">
        <v>2168</v>
      </c>
      <c r="AA397" s="2"/>
      <c r="AB397" s="2" t="s">
        <v>63</v>
      </c>
      <c r="AC397" s="2" t="s">
        <v>64</v>
      </c>
      <c r="AD397" s="2"/>
      <c r="AE397" s="3" t="s">
        <v>4553</v>
      </c>
      <c r="AF397" s="3" t="s">
        <v>4554</v>
      </c>
      <c r="AG397" s="2"/>
      <c r="AH397" s="2" t="s">
        <v>54</v>
      </c>
      <c r="AI397" s="3"/>
      <c r="AJ397" s="3" t="s">
        <v>4555</v>
      </c>
      <c r="AK397" s="2" t="n">
        <v>658481</v>
      </c>
      <c r="AL397" s="3" t="s">
        <v>4556</v>
      </c>
      <c r="AM397" s="2"/>
      <c r="AN397" s="2"/>
      <c r="AO397" s="3"/>
      <c r="AP397" s="3"/>
      <c r="AQ397" s="2"/>
    </row>
    <row r="398" customFormat="false" ht="46.25" hidden="false" customHeight="false" outlineLevel="0" collapsed="false">
      <c r="A398" s="2" t="n">
        <v>397</v>
      </c>
      <c r="B398" s="2" t="s">
        <v>4557</v>
      </c>
      <c r="C398" s="2" t="s">
        <v>3947</v>
      </c>
      <c r="D398" s="2" t="s">
        <v>3948</v>
      </c>
      <c r="E398" s="2" t="s">
        <v>4558</v>
      </c>
      <c r="F398" s="2" t="s">
        <v>2350</v>
      </c>
      <c r="G398" s="3" t="s">
        <v>4559</v>
      </c>
      <c r="H398" s="2" t="s">
        <v>4560</v>
      </c>
      <c r="I398" s="2" t="s">
        <v>123</v>
      </c>
      <c r="J398" s="3" t="s">
        <v>4561</v>
      </c>
      <c r="K398" s="2" t="s">
        <v>4552</v>
      </c>
      <c r="L398" s="2" t="s">
        <v>3049</v>
      </c>
      <c r="M398" s="2" t="s">
        <v>4560</v>
      </c>
      <c r="N398" s="2"/>
      <c r="O398" s="2" t="s">
        <v>53</v>
      </c>
      <c r="P398" s="2" t="n">
        <v>37.3665</v>
      </c>
      <c r="Q398" s="2" t="n">
        <v>36.1016</v>
      </c>
      <c r="R398" s="2" t="s">
        <v>54</v>
      </c>
      <c r="S398" s="2" t="n">
        <v>74</v>
      </c>
      <c r="T398" s="2" t="s">
        <v>4562</v>
      </c>
      <c r="U398" s="2" t="s">
        <v>139</v>
      </c>
      <c r="V398" s="2" t="s">
        <v>245</v>
      </c>
      <c r="W398" s="2" t="s">
        <v>140</v>
      </c>
      <c r="X398" s="2" t="s">
        <v>141</v>
      </c>
      <c r="Y398" s="2" t="s">
        <v>4499</v>
      </c>
      <c r="Z398" s="2" t="s">
        <v>143</v>
      </c>
      <c r="AA398" s="2"/>
      <c r="AB398" s="2" t="s">
        <v>81</v>
      </c>
      <c r="AC398" s="2"/>
      <c r="AD398" s="2"/>
      <c r="AE398" s="3"/>
      <c r="AF398" s="3" t="s">
        <v>4563</v>
      </c>
      <c r="AG398" s="2"/>
      <c r="AH398" s="2" t="s">
        <v>54</v>
      </c>
      <c r="AI398" s="3" t="s">
        <v>4564</v>
      </c>
      <c r="AJ398" s="3" t="s">
        <v>4565</v>
      </c>
      <c r="AK398" s="2" t="n">
        <v>658569</v>
      </c>
      <c r="AL398" s="3" t="s">
        <v>4566</v>
      </c>
      <c r="AM398" s="2"/>
      <c r="AN398" s="2"/>
      <c r="AO398" s="3" t="s">
        <v>4567</v>
      </c>
      <c r="AP398" s="3" t="s">
        <v>4568</v>
      </c>
      <c r="AQ398" s="2" t="s">
        <v>89</v>
      </c>
    </row>
    <row r="399" customFormat="false" ht="35.05" hidden="false" customHeight="false" outlineLevel="0" collapsed="false">
      <c r="A399" s="2" t="n">
        <v>398</v>
      </c>
      <c r="B399" s="2" t="s">
        <v>4569</v>
      </c>
      <c r="C399" s="2" t="s">
        <v>3947</v>
      </c>
      <c r="D399" s="2" t="s">
        <v>3948</v>
      </c>
      <c r="E399" s="2" t="s">
        <v>4570</v>
      </c>
      <c r="F399" s="2" t="s">
        <v>4571</v>
      </c>
      <c r="G399" s="3" t="s">
        <v>4572</v>
      </c>
      <c r="H399" s="2" t="s">
        <v>4573</v>
      </c>
      <c r="I399" s="2" t="s">
        <v>123</v>
      </c>
      <c r="J399" s="3" t="s">
        <v>4574</v>
      </c>
      <c r="K399" s="2" t="s">
        <v>4552</v>
      </c>
      <c r="L399" s="2" t="s">
        <v>3049</v>
      </c>
      <c r="M399" s="2" t="s">
        <v>4573</v>
      </c>
      <c r="N399" s="2"/>
      <c r="O399" s="2" t="s">
        <v>53</v>
      </c>
      <c r="P399" s="2" t="n">
        <v>37.2514</v>
      </c>
      <c r="Q399" s="2" t="n">
        <v>36.467</v>
      </c>
      <c r="R399" s="2" t="s">
        <v>95</v>
      </c>
      <c r="S399" s="2" t="n">
        <v>51</v>
      </c>
      <c r="T399" s="2" t="s">
        <v>4575</v>
      </c>
      <c r="U399" s="2" t="s">
        <v>139</v>
      </c>
      <c r="V399" s="2" t="s">
        <v>245</v>
      </c>
      <c r="W399" s="2" t="s">
        <v>140</v>
      </c>
      <c r="X399" s="2" t="s">
        <v>141</v>
      </c>
      <c r="Y399" s="2" t="s">
        <v>4576</v>
      </c>
      <c r="Z399" s="2" t="s">
        <v>143</v>
      </c>
      <c r="AA399" s="2"/>
      <c r="AB399" s="2" t="s">
        <v>81</v>
      </c>
      <c r="AC399" s="2"/>
      <c r="AD399" s="2"/>
      <c r="AE399" s="3"/>
      <c r="AF399" s="3" t="s">
        <v>4577</v>
      </c>
      <c r="AG399" s="2"/>
      <c r="AH399" s="2" t="s">
        <v>113</v>
      </c>
      <c r="AI399" s="3" t="s">
        <v>4578</v>
      </c>
      <c r="AJ399" s="3" t="s">
        <v>4579</v>
      </c>
      <c r="AK399" s="2" t="n">
        <v>658458</v>
      </c>
      <c r="AL399" s="3" t="s">
        <v>4580</v>
      </c>
      <c r="AM399" s="2"/>
      <c r="AN399" s="2"/>
      <c r="AO399" s="3" t="s">
        <v>4581</v>
      </c>
      <c r="AP399" s="3" t="s">
        <v>4582</v>
      </c>
      <c r="AQ399" s="2" t="s">
        <v>89</v>
      </c>
    </row>
    <row r="400" customFormat="false" ht="35.05" hidden="false" customHeight="false" outlineLevel="0" collapsed="false">
      <c r="A400" s="2" t="n">
        <v>399</v>
      </c>
      <c r="B400" s="2" t="s">
        <v>4583</v>
      </c>
      <c r="C400" s="2" t="s">
        <v>3947</v>
      </c>
      <c r="D400" s="2" t="s">
        <v>4584</v>
      </c>
      <c r="E400" s="2" t="s">
        <v>4585</v>
      </c>
      <c r="F400" s="2" t="s">
        <v>4586</v>
      </c>
      <c r="G400" s="3" t="s">
        <v>4587</v>
      </c>
      <c r="H400" s="2"/>
      <c r="I400" s="2" t="s">
        <v>74</v>
      </c>
      <c r="J400" s="3" t="s">
        <v>4588</v>
      </c>
      <c r="K400" s="2" t="s">
        <v>3048</v>
      </c>
      <c r="L400" s="2" t="s">
        <v>3049</v>
      </c>
      <c r="M400" s="2"/>
      <c r="N400" s="2"/>
      <c r="O400" s="2"/>
      <c r="P400" s="2" t="n">
        <v>36.5308</v>
      </c>
      <c r="Q400" s="2" t="n">
        <v>32.4715</v>
      </c>
      <c r="R400" s="2" t="s">
        <v>95</v>
      </c>
      <c r="S400" s="2" t="n">
        <v>680</v>
      </c>
      <c r="T400" s="2" t="s">
        <v>4589</v>
      </c>
      <c r="U400" s="2" t="s">
        <v>56</v>
      </c>
      <c r="V400" s="2" t="s">
        <v>245</v>
      </c>
      <c r="W400" s="2" t="s">
        <v>304</v>
      </c>
      <c r="X400" s="2" t="s">
        <v>289</v>
      </c>
      <c r="Y400" s="2"/>
      <c r="Z400" s="2" t="s">
        <v>170</v>
      </c>
      <c r="AA400" s="2"/>
      <c r="AB400" s="2" t="s">
        <v>63</v>
      </c>
      <c r="AC400" s="2" t="s">
        <v>64</v>
      </c>
      <c r="AD400" s="2"/>
      <c r="AE400" s="3"/>
      <c r="AF400" s="3" t="s">
        <v>4590</v>
      </c>
      <c r="AG400" s="2"/>
      <c r="AH400" s="2" t="s">
        <v>113</v>
      </c>
      <c r="AI400" s="3" t="s">
        <v>4591</v>
      </c>
      <c r="AJ400" s="3" t="s">
        <v>4592</v>
      </c>
      <c r="AK400" s="2" t="n">
        <v>648558</v>
      </c>
      <c r="AL400" s="3" t="s">
        <v>4593</v>
      </c>
      <c r="AM400" s="2"/>
      <c r="AN400" s="2"/>
      <c r="AO400" s="3"/>
      <c r="AP400" s="3"/>
      <c r="AQ400" s="2"/>
    </row>
    <row r="401" customFormat="false" ht="23.85" hidden="false" customHeight="false" outlineLevel="0" collapsed="false">
      <c r="A401" s="2" t="n">
        <v>400</v>
      </c>
      <c r="B401" s="2" t="s">
        <v>4594</v>
      </c>
      <c r="C401" s="2" t="s">
        <v>3947</v>
      </c>
      <c r="D401" s="2" t="s">
        <v>4584</v>
      </c>
      <c r="E401" s="2" t="s">
        <v>4595</v>
      </c>
      <c r="F401" s="2" t="s">
        <v>4596</v>
      </c>
      <c r="G401" s="3" t="s">
        <v>4597</v>
      </c>
      <c r="H401" s="2"/>
      <c r="I401" s="2" t="s">
        <v>74</v>
      </c>
      <c r="J401" s="3" t="s">
        <v>4598</v>
      </c>
      <c r="K401" s="2" t="s">
        <v>4439</v>
      </c>
      <c r="L401" s="2" t="s">
        <v>3931</v>
      </c>
      <c r="M401" s="2"/>
      <c r="N401" s="2"/>
      <c r="O401" s="2"/>
      <c r="P401" s="2" t="n">
        <v>36.5405</v>
      </c>
      <c r="Q401" s="2" t="n">
        <v>32.564</v>
      </c>
      <c r="R401" s="2" t="s">
        <v>95</v>
      </c>
      <c r="S401" s="2" t="n">
        <v>787</v>
      </c>
      <c r="T401" s="2" t="s">
        <v>464</v>
      </c>
      <c r="U401" s="2" t="s">
        <v>56</v>
      </c>
      <c r="V401" s="2" t="s">
        <v>245</v>
      </c>
      <c r="W401" s="2" t="s">
        <v>304</v>
      </c>
      <c r="X401" s="2" t="s">
        <v>289</v>
      </c>
      <c r="Y401" s="2"/>
      <c r="Z401" s="2" t="s">
        <v>170</v>
      </c>
      <c r="AA401" s="2"/>
      <c r="AB401" s="2" t="s">
        <v>63</v>
      </c>
      <c r="AC401" s="2" t="s">
        <v>64</v>
      </c>
      <c r="AD401" s="2"/>
      <c r="AE401" s="3"/>
      <c r="AF401" s="3" t="s">
        <v>4599</v>
      </c>
      <c r="AG401" s="2"/>
      <c r="AH401" s="2" t="s">
        <v>113</v>
      </c>
      <c r="AI401" s="3" t="s">
        <v>4600</v>
      </c>
      <c r="AJ401" s="3" t="s">
        <v>4601</v>
      </c>
      <c r="AK401" s="2" t="n">
        <v>648712</v>
      </c>
      <c r="AL401" s="3" t="s">
        <v>4602</v>
      </c>
      <c r="AM401" s="2"/>
      <c r="AN401" s="2"/>
      <c r="AO401" s="3"/>
      <c r="AP401" s="3"/>
      <c r="AQ401" s="2"/>
    </row>
    <row r="402" customFormat="false" ht="35.05" hidden="false" customHeight="false" outlineLevel="0" collapsed="false">
      <c r="A402" s="2" t="n">
        <v>401</v>
      </c>
      <c r="B402" s="2" t="s">
        <v>4603</v>
      </c>
      <c r="C402" s="2" t="s">
        <v>3947</v>
      </c>
      <c r="D402" s="2" t="s">
        <v>4584</v>
      </c>
      <c r="E402" s="2" t="s">
        <v>4604</v>
      </c>
      <c r="F402" s="2" t="s">
        <v>4571</v>
      </c>
      <c r="G402" s="3" t="s">
        <v>4605</v>
      </c>
      <c r="H402" s="2" t="s">
        <v>4606</v>
      </c>
      <c r="I402" s="2" t="s">
        <v>49</v>
      </c>
      <c r="J402" s="3" t="s">
        <v>4607</v>
      </c>
      <c r="K402" s="2" t="s">
        <v>4439</v>
      </c>
      <c r="L402" s="2" t="s">
        <v>3931</v>
      </c>
      <c r="M402" s="2"/>
      <c r="N402" s="2"/>
      <c r="O402" s="2" t="s">
        <v>53</v>
      </c>
      <c r="P402" s="2" t="n">
        <v>36.4811</v>
      </c>
      <c r="Q402" s="2" t="n">
        <v>32.8995</v>
      </c>
      <c r="R402" s="2" t="s">
        <v>95</v>
      </c>
      <c r="S402" s="2" t="n">
        <v>325</v>
      </c>
      <c r="T402" s="2" t="s">
        <v>3894</v>
      </c>
      <c r="U402" s="2" t="s">
        <v>56</v>
      </c>
      <c r="V402" s="2" t="s">
        <v>245</v>
      </c>
      <c r="W402" s="2" t="s">
        <v>140</v>
      </c>
      <c r="X402" s="2" t="s">
        <v>141</v>
      </c>
      <c r="Y402" s="2" t="s">
        <v>4608</v>
      </c>
      <c r="Z402" s="2" t="s">
        <v>143</v>
      </c>
      <c r="AA402" s="2"/>
      <c r="AB402" s="2" t="s">
        <v>81</v>
      </c>
      <c r="AC402" s="2"/>
      <c r="AD402" s="2"/>
      <c r="AE402" s="3"/>
      <c r="AF402" s="3" t="s">
        <v>4609</v>
      </c>
      <c r="AG402" s="2"/>
      <c r="AH402" s="2" t="s">
        <v>54</v>
      </c>
      <c r="AI402" s="3" t="s">
        <v>4610</v>
      </c>
      <c r="AJ402" s="3" t="s">
        <v>4611</v>
      </c>
      <c r="AK402" s="2" t="n">
        <v>648627</v>
      </c>
      <c r="AL402" s="3" t="s">
        <v>4612</v>
      </c>
      <c r="AM402" s="2"/>
      <c r="AN402" s="2"/>
      <c r="AO402" s="3" t="s">
        <v>4613</v>
      </c>
      <c r="AP402" s="3" t="s">
        <v>4614</v>
      </c>
      <c r="AQ402" s="2" t="s">
        <v>151</v>
      </c>
    </row>
    <row r="403" customFormat="false" ht="35.05" hidden="false" customHeight="false" outlineLevel="0" collapsed="false">
      <c r="A403" s="2" t="n">
        <v>402</v>
      </c>
      <c r="B403" s="2" t="s">
        <v>4615</v>
      </c>
      <c r="C403" s="2" t="s">
        <v>3947</v>
      </c>
      <c r="D403" s="2" t="s">
        <v>4584</v>
      </c>
      <c r="E403" s="2" t="s">
        <v>4616</v>
      </c>
      <c r="F403" s="2" t="s">
        <v>2209</v>
      </c>
      <c r="G403" s="3" t="s">
        <v>4617</v>
      </c>
      <c r="H403" s="2"/>
      <c r="I403" s="2" t="s">
        <v>74</v>
      </c>
      <c r="J403" s="3" t="s">
        <v>4618</v>
      </c>
      <c r="K403" s="2" t="s">
        <v>4439</v>
      </c>
      <c r="L403" s="2" t="s">
        <v>3931</v>
      </c>
      <c r="M403" s="2"/>
      <c r="N403" s="2"/>
      <c r="O403" s="2"/>
      <c r="P403" s="2" t="n">
        <v>36.6228</v>
      </c>
      <c r="Q403" s="2" t="n">
        <v>33.0251</v>
      </c>
      <c r="R403" s="2" t="s">
        <v>95</v>
      </c>
      <c r="S403" s="2" t="n">
        <v>50</v>
      </c>
      <c r="T403" s="2" t="s">
        <v>2879</v>
      </c>
      <c r="U403" s="2" t="s">
        <v>139</v>
      </c>
      <c r="V403" s="2" t="s">
        <v>97</v>
      </c>
      <c r="W403" s="2" t="s">
        <v>140</v>
      </c>
      <c r="X403" s="2" t="s">
        <v>246</v>
      </c>
      <c r="Y403" s="2" t="s">
        <v>4619</v>
      </c>
      <c r="Z403" s="2" t="s">
        <v>4009</v>
      </c>
      <c r="AA403" s="2"/>
      <c r="AB403" s="2" t="s">
        <v>81</v>
      </c>
      <c r="AC403" s="2"/>
      <c r="AD403" s="2"/>
      <c r="AE403" s="3"/>
      <c r="AF403" s="3" t="s">
        <v>4620</v>
      </c>
      <c r="AG403" s="2"/>
      <c r="AH403" s="2" t="s">
        <v>54</v>
      </c>
      <c r="AI403" s="3" t="s">
        <v>4621</v>
      </c>
      <c r="AJ403" s="3" t="s">
        <v>4622</v>
      </c>
      <c r="AK403" s="2" t="n">
        <v>648736</v>
      </c>
      <c r="AL403" s="3" t="s">
        <v>4623</v>
      </c>
      <c r="AM403" s="2"/>
      <c r="AN403" s="2"/>
      <c r="AO403" s="3" t="s">
        <v>4624</v>
      </c>
      <c r="AP403" s="3" t="s">
        <v>4625</v>
      </c>
      <c r="AQ403" s="2" t="s">
        <v>151</v>
      </c>
    </row>
    <row r="404" customFormat="false" ht="46.25" hidden="false" customHeight="false" outlineLevel="0" collapsed="false">
      <c r="A404" s="2" t="n">
        <v>403</v>
      </c>
      <c r="B404" s="2" t="s">
        <v>4626</v>
      </c>
      <c r="C404" s="2" t="s">
        <v>3947</v>
      </c>
      <c r="D404" s="2" t="s">
        <v>4584</v>
      </c>
      <c r="E404" s="2" t="s">
        <v>4627</v>
      </c>
      <c r="F404" s="2" t="s">
        <v>4628</v>
      </c>
      <c r="G404" s="3" t="s">
        <v>4629</v>
      </c>
      <c r="H404" s="2" t="s">
        <v>4630</v>
      </c>
      <c r="I404" s="2" t="s">
        <v>123</v>
      </c>
      <c r="J404" s="3" t="s">
        <v>4631</v>
      </c>
      <c r="K404" s="2" t="s">
        <v>4439</v>
      </c>
      <c r="L404" s="2" t="s">
        <v>3931</v>
      </c>
      <c r="M404" s="2" t="s">
        <v>4630</v>
      </c>
      <c r="N404" s="2"/>
      <c r="O404" s="2" t="s">
        <v>582</v>
      </c>
      <c r="P404" s="2" t="n">
        <v>36.6347</v>
      </c>
      <c r="Q404" s="2" t="n">
        <v>32.9005</v>
      </c>
      <c r="R404" s="2" t="s">
        <v>54</v>
      </c>
      <c r="S404" s="2" t="n">
        <v>40</v>
      </c>
      <c r="T404" s="2" t="s">
        <v>4632</v>
      </c>
      <c r="U404" s="2" t="s">
        <v>139</v>
      </c>
      <c r="V404" s="2" t="s">
        <v>57</v>
      </c>
      <c r="W404" s="2" t="s">
        <v>140</v>
      </c>
      <c r="X404" s="2" t="s">
        <v>246</v>
      </c>
      <c r="Y404" s="2" t="s">
        <v>4633</v>
      </c>
      <c r="Z404" s="2" t="s">
        <v>4009</v>
      </c>
      <c r="AA404" s="2"/>
      <c r="AB404" s="2" t="s">
        <v>81</v>
      </c>
      <c r="AC404" s="2"/>
      <c r="AD404" s="2"/>
      <c r="AE404" s="3"/>
      <c r="AF404" s="3" t="s">
        <v>4634</v>
      </c>
      <c r="AG404" s="2"/>
      <c r="AH404" s="2" t="s">
        <v>54</v>
      </c>
      <c r="AI404" s="3" t="s">
        <v>4635</v>
      </c>
      <c r="AJ404" s="3" t="s">
        <v>4636</v>
      </c>
      <c r="AK404" s="2" t="n">
        <v>648635</v>
      </c>
      <c r="AL404" s="3" t="s">
        <v>4637</v>
      </c>
      <c r="AM404" s="2"/>
      <c r="AN404" s="2" t="s">
        <v>200</v>
      </c>
      <c r="AO404" s="3" t="s">
        <v>4638</v>
      </c>
      <c r="AP404" s="3" t="s">
        <v>4639</v>
      </c>
      <c r="AQ404" s="2" t="s">
        <v>89</v>
      </c>
    </row>
    <row r="405" customFormat="false" ht="23.85" hidden="false" customHeight="false" outlineLevel="0" collapsed="false">
      <c r="A405" s="2" t="n">
        <v>404</v>
      </c>
      <c r="B405" s="2" t="s">
        <v>4640</v>
      </c>
      <c r="C405" s="2" t="s">
        <v>3947</v>
      </c>
      <c r="D405" s="2" t="s">
        <v>4584</v>
      </c>
      <c r="E405" s="2" t="s">
        <v>4641</v>
      </c>
      <c r="F405" s="2" t="s">
        <v>4642</v>
      </c>
      <c r="G405" s="3" t="s">
        <v>4643</v>
      </c>
      <c r="H405" s="2"/>
      <c r="I405" s="2" t="s">
        <v>74</v>
      </c>
      <c r="J405" s="3" t="s">
        <v>4644</v>
      </c>
      <c r="K405" s="2" t="s">
        <v>4087</v>
      </c>
      <c r="L405" s="2" t="s">
        <v>3049</v>
      </c>
      <c r="M405" s="2"/>
      <c r="N405" s="2"/>
      <c r="O405" s="2"/>
      <c r="P405" s="2" t="n">
        <v>36.6556</v>
      </c>
      <c r="Q405" s="2" t="n">
        <v>33.1299</v>
      </c>
      <c r="R405" s="2" t="s">
        <v>95</v>
      </c>
      <c r="S405" s="2" t="n">
        <v>553</v>
      </c>
      <c r="T405" s="2" t="s">
        <v>534</v>
      </c>
      <c r="U405" s="2" t="s">
        <v>56</v>
      </c>
      <c r="V405" s="2" t="s">
        <v>245</v>
      </c>
      <c r="W405" s="2" t="s">
        <v>304</v>
      </c>
      <c r="X405" s="2" t="s">
        <v>289</v>
      </c>
      <c r="Y405" s="2"/>
      <c r="Z405" s="2" t="s">
        <v>170</v>
      </c>
      <c r="AA405" s="2"/>
      <c r="AB405" s="2" t="s">
        <v>63</v>
      </c>
      <c r="AC405" s="2" t="s">
        <v>64</v>
      </c>
      <c r="AD405" s="2"/>
      <c r="AE405" s="3"/>
      <c r="AF405" s="3" t="s">
        <v>4645</v>
      </c>
      <c r="AG405" s="2"/>
      <c r="AH405" s="2" t="s">
        <v>113</v>
      </c>
      <c r="AI405" s="3" t="s">
        <v>4646</v>
      </c>
      <c r="AJ405" s="3" t="s">
        <v>4647</v>
      </c>
      <c r="AK405" s="2" t="n">
        <v>648549</v>
      </c>
      <c r="AL405" s="3" t="s">
        <v>4648</v>
      </c>
      <c r="AM405" s="2"/>
      <c r="AN405" s="2"/>
      <c r="AO405" s="3"/>
      <c r="AP405" s="3"/>
      <c r="AQ405" s="2"/>
    </row>
    <row r="406" customFormat="false" ht="23.85" hidden="false" customHeight="false" outlineLevel="0" collapsed="false">
      <c r="A406" s="2" t="n">
        <v>405</v>
      </c>
      <c r="B406" s="2" t="s">
        <v>4649</v>
      </c>
      <c r="C406" s="2" t="s">
        <v>3947</v>
      </c>
      <c r="D406" s="2" t="s">
        <v>4584</v>
      </c>
      <c r="E406" s="2" t="s">
        <v>4650</v>
      </c>
      <c r="F406" s="2" t="s">
        <v>4651</v>
      </c>
      <c r="G406" s="3" t="s">
        <v>4652</v>
      </c>
      <c r="H406" s="2"/>
      <c r="I406" s="2" t="s">
        <v>74</v>
      </c>
      <c r="J406" s="3" t="s">
        <v>4653</v>
      </c>
      <c r="K406" s="2" t="s">
        <v>4439</v>
      </c>
      <c r="L406" s="2" t="s">
        <v>3931</v>
      </c>
      <c r="M406" s="2"/>
      <c r="N406" s="2"/>
      <c r="O406" s="2"/>
      <c r="P406" s="2" t="n">
        <v>36.679</v>
      </c>
      <c r="Q406" s="2" t="n">
        <v>32.7037</v>
      </c>
      <c r="R406" s="2" t="s">
        <v>95</v>
      </c>
      <c r="S406" s="2" t="n">
        <v>480</v>
      </c>
      <c r="T406" s="2" t="s">
        <v>4654</v>
      </c>
      <c r="U406" s="2" t="s">
        <v>139</v>
      </c>
      <c r="V406" s="2" t="s">
        <v>57</v>
      </c>
      <c r="W406" s="2" t="s">
        <v>304</v>
      </c>
      <c r="X406" s="2" t="s">
        <v>141</v>
      </c>
      <c r="Y406" s="2" t="s">
        <v>4655</v>
      </c>
      <c r="Z406" s="2" t="s">
        <v>559</v>
      </c>
      <c r="AA406" s="2"/>
      <c r="AB406" s="2" t="s">
        <v>63</v>
      </c>
      <c r="AC406" s="2" t="s">
        <v>64</v>
      </c>
      <c r="AD406" s="2"/>
      <c r="AE406" s="3"/>
      <c r="AF406" s="3" t="s">
        <v>4656</v>
      </c>
      <c r="AG406" s="2"/>
      <c r="AH406" s="2" t="s">
        <v>113</v>
      </c>
      <c r="AI406" s="3" t="s">
        <v>4657</v>
      </c>
      <c r="AJ406" s="3" t="s">
        <v>4658</v>
      </c>
      <c r="AK406" s="2" t="n">
        <v>648758</v>
      </c>
      <c r="AL406" s="3" t="s">
        <v>4659</v>
      </c>
      <c r="AM406" s="2"/>
      <c r="AN406" s="2"/>
      <c r="AO406" s="3"/>
      <c r="AP406" s="3"/>
      <c r="AQ406" s="2"/>
    </row>
    <row r="407" customFormat="false" ht="23.85" hidden="false" customHeight="false" outlineLevel="0" collapsed="false">
      <c r="A407" s="2" t="n">
        <v>406</v>
      </c>
      <c r="B407" s="2" t="s">
        <v>4660</v>
      </c>
      <c r="C407" s="2" t="s">
        <v>3947</v>
      </c>
      <c r="D407" s="2" t="s">
        <v>4584</v>
      </c>
      <c r="E407" s="2" t="s">
        <v>4661</v>
      </c>
      <c r="F407" s="2" t="s">
        <v>4662</v>
      </c>
      <c r="G407" s="3" t="s">
        <v>4663</v>
      </c>
      <c r="H407" s="2"/>
      <c r="I407" s="2" t="s">
        <v>74</v>
      </c>
      <c r="J407" s="3" t="s">
        <v>4664</v>
      </c>
      <c r="K407" s="2" t="s">
        <v>4439</v>
      </c>
      <c r="L407" s="2" t="s">
        <v>3931</v>
      </c>
      <c r="M407" s="2"/>
      <c r="N407" s="2"/>
      <c r="O407" s="2"/>
      <c r="P407" s="2" t="n">
        <v>36.7525</v>
      </c>
      <c r="Q407" s="2" t="n">
        <v>32.6978</v>
      </c>
      <c r="R407" s="2" t="s">
        <v>95</v>
      </c>
      <c r="S407" s="2" t="n">
        <v>570</v>
      </c>
      <c r="T407" s="2" t="s">
        <v>4665</v>
      </c>
      <c r="U407" s="2" t="s">
        <v>56</v>
      </c>
      <c r="V407" s="2" t="s">
        <v>78</v>
      </c>
      <c r="W407" s="2" t="s">
        <v>304</v>
      </c>
      <c r="X407" s="2" t="s">
        <v>289</v>
      </c>
      <c r="Y407" s="2"/>
      <c r="Z407" s="2" t="s">
        <v>170</v>
      </c>
      <c r="AA407" s="2"/>
      <c r="AB407" s="2" t="s">
        <v>63</v>
      </c>
      <c r="AC407" s="2" t="s">
        <v>64</v>
      </c>
      <c r="AD407" s="2"/>
      <c r="AE407" s="3"/>
      <c r="AF407" s="3" t="s">
        <v>4666</v>
      </c>
      <c r="AG407" s="2"/>
      <c r="AH407" s="2" t="s">
        <v>113</v>
      </c>
      <c r="AI407" s="3" t="s">
        <v>4667</v>
      </c>
      <c r="AJ407" s="3" t="s">
        <v>4668</v>
      </c>
      <c r="AK407" s="2" t="n">
        <v>648695</v>
      </c>
      <c r="AL407" s="3" t="s">
        <v>4669</v>
      </c>
      <c r="AM407" s="2"/>
      <c r="AN407" s="2"/>
      <c r="AO407" s="3"/>
      <c r="AP407" s="3"/>
      <c r="AQ407" s="2"/>
    </row>
    <row r="408" customFormat="false" ht="15" hidden="false" customHeight="false" outlineLevel="0" collapsed="false">
      <c r="A408" s="2" t="n">
        <v>407</v>
      </c>
      <c r="B408" s="2" t="s">
        <v>4670</v>
      </c>
      <c r="C408" s="2" t="s">
        <v>3947</v>
      </c>
      <c r="D408" s="2" t="s">
        <v>4584</v>
      </c>
      <c r="E408" s="2" t="s">
        <v>4671</v>
      </c>
      <c r="F408" s="2" t="s">
        <v>4672</v>
      </c>
      <c r="G408" s="3" t="s">
        <v>4673</v>
      </c>
      <c r="H408" s="2"/>
      <c r="I408" s="2" t="s">
        <v>74</v>
      </c>
      <c r="J408" s="3" t="s">
        <v>4674</v>
      </c>
      <c r="K408" s="2" t="s">
        <v>4439</v>
      </c>
      <c r="L408" s="2" t="s">
        <v>3931</v>
      </c>
      <c r="M408" s="2"/>
      <c r="N408" s="2"/>
      <c r="O408" s="2"/>
      <c r="P408" s="2" t="n">
        <v>36.7136</v>
      </c>
      <c r="Q408" s="2" t="n">
        <v>32.7976</v>
      </c>
      <c r="R408" s="2" t="s">
        <v>95</v>
      </c>
      <c r="S408" s="2" t="n">
        <v>570</v>
      </c>
      <c r="T408" s="2" t="s">
        <v>4665</v>
      </c>
      <c r="U408" s="2" t="s">
        <v>56</v>
      </c>
      <c r="V408" s="2" t="s">
        <v>78</v>
      </c>
      <c r="W408" s="2" t="s">
        <v>304</v>
      </c>
      <c r="X408" s="2" t="s">
        <v>289</v>
      </c>
      <c r="Y408" s="2"/>
      <c r="Z408" s="2" t="s">
        <v>170</v>
      </c>
      <c r="AA408" s="2"/>
      <c r="AB408" s="2" t="s">
        <v>63</v>
      </c>
      <c r="AC408" s="2" t="s">
        <v>64</v>
      </c>
      <c r="AD408" s="2"/>
      <c r="AE408" s="3"/>
      <c r="AF408" s="3" t="s">
        <v>4666</v>
      </c>
      <c r="AG408" s="2"/>
      <c r="AH408" s="2" t="s">
        <v>113</v>
      </c>
      <c r="AI408" s="3" t="s">
        <v>4675</v>
      </c>
      <c r="AJ408" s="3" t="s">
        <v>4676</v>
      </c>
      <c r="AK408" s="2" t="n">
        <v>648767</v>
      </c>
      <c r="AL408" s="3" t="s">
        <v>4677</v>
      </c>
      <c r="AM408" s="2"/>
      <c r="AN408" s="2"/>
      <c r="AO408" s="3"/>
      <c r="AP408" s="3"/>
      <c r="AQ408" s="2"/>
    </row>
    <row r="409" customFormat="false" ht="46.25" hidden="false" customHeight="false" outlineLevel="0" collapsed="false">
      <c r="A409" s="2" t="n">
        <v>408</v>
      </c>
      <c r="B409" s="2" t="s">
        <v>4678</v>
      </c>
      <c r="C409" s="2" t="s">
        <v>3947</v>
      </c>
      <c r="D409" s="2" t="s">
        <v>4584</v>
      </c>
      <c r="E409" s="2" t="s">
        <v>4679</v>
      </c>
      <c r="F409" s="2" t="s">
        <v>4680</v>
      </c>
      <c r="G409" s="3" t="s">
        <v>4681</v>
      </c>
      <c r="H409" s="2" t="s">
        <v>4682</v>
      </c>
      <c r="I409" s="2" t="s">
        <v>49</v>
      </c>
      <c r="J409" s="3" t="s">
        <v>4683</v>
      </c>
      <c r="K409" s="2" t="s">
        <v>3930</v>
      </c>
      <c r="L409" s="2" t="s">
        <v>3931</v>
      </c>
      <c r="M409" s="2"/>
      <c r="N409" s="2"/>
      <c r="O409" s="2" t="s">
        <v>53</v>
      </c>
      <c r="P409" s="2" t="n">
        <v>37.1815</v>
      </c>
      <c r="Q409" s="2" t="n">
        <v>32.5755</v>
      </c>
      <c r="R409" s="2" t="s">
        <v>95</v>
      </c>
      <c r="S409" s="2" t="n">
        <v>163</v>
      </c>
      <c r="T409" s="2" t="s">
        <v>4684</v>
      </c>
      <c r="U409" s="2" t="s">
        <v>56</v>
      </c>
      <c r="V409" s="2" t="s">
        <v>57</v>
      </c>
      <c r="W409" s="2" t="s">
        <v>140</v>
      </c>
      <c r="X409" s="2" t="s">
        <v>289</v>
      </c>
      <c r="Y409" s="2"/>
      <c r="Z409" s="2" t="s">
        <v>170</v>
      </c>
      <c r="AA409" s="2"/>
      <c r="AB409" s="2" t="s">
        <v>63</v>
      </c>
      <c r="AC409" s="2" t="s">
        <v>64</v>
      </c>
      <c r="AD409" s="2"/>
      <c r="AE409" s="3"/>
      <c r="AF409" s="3" t="s">
        <v>4685</v>
      </c>
      <c r="AG409" s="2"/>
      <c r="AH409" s="2" t="s">
        <v>113</v>
      </c>
      <c r="AI409" s="3" t="s">
        <v>4686</v>
      </c>
      <c r="AJ409" s="3" t="s">
        <v>4687</v>
      </c>
      <c r="AK409" s="2" t="n">
        <v>652334</v>
      </c>
      <c r="AL409" s="3" t="s">
        <v>4688</v>
      </c>
      <c r="AM409" s="2"/>
      <c r="AN409" s="2"/>
      <c r="AO409" s="3"/>
      <c r="AP409" s="3"/>
      <c r="AQ409" s="2"/>
    </row>
    <row r="410" customFormat="false" ht="46.25" hidden="false" customHeight="false" outlineLevel="0" collapsed="false">
      <c r="A410" s="2" t="n">
        <v>409</v>
      </c>
      <c r="B410" s="2" t="s">
        <v>4689</v>
      </c>
      <c r="C410" s="2" t="s">
        <v>3947</v>
      </c>
      <c r="D410" s="2" t="s">
        <v>4584</v>
      </c>
      <c r="E410" s="2" t="s">
        <v>4690</v>
      </c>
      <c r="F410" s="2" t="s">
        <v>4691</v>
      </c>
      <c r="G410" s="3" t="s">
        <v>4692</v>
      </c>
      <c r="H410" s="2"/>
      <c r="I410" s="2" t="s">
        <v>74</v>
      </c>
      <c r="J410" s="3" t="s">
        <v>4693</v>
      </c>
      <c r="K410" s="2" t="s">
        <v>3930</v>
      </c>
      <c r="L410" s="2" t="s">
        <v>3931</v>
      </c>
      <c r="M410" s="2"/>
      <c r="N410" s="2"/>
      <c r="O410" s="2"/>
      <c r="P410" s="2" t="n">
        <v>37.1904</v>
      </c>
      <c r="Q410" s="2" t="n">
        <v>32.3535</v>
      </c>
      <c r="R410" s="2" t="s">
        <v>54</v>
      </c>
      <c r="S410" s="2" t="n">
        <v>-30</v>
      </c>
      <c r="T410" s="2" t="s">
        <v>1496</v>
      </c>
      <c r="U410" s="2" t="s">
        <v>139</v>
      </c>
      <c r="V410" s="2" t="s">
        <v>57</v>
      </c>
      <c r="W410" s="2" t="s">
        <v>140</v>
      </c>
      <c r="X410" s="2" t="s">
        <v>246</v>
      </c>
      <c r="Y410" s="2" t="s">
        <v>4694</v>
      </c>
      <c r="Z410" s="2" t="s">
        <v>1793</v>
      </c>
      <c r="AA410" s="2"/>
      <c r="AB410" s="2" t="s">
        <v>63</v>
      </c>
      <c r="AC410" s="2" t="s">
        <v>64</v>
      </c>
      <c r="AD410" s="2"/>
      <c r="AE410" s="3"/>
      <c r="AF410" s="3" t="s">
        <v>4695</v>
      </c>
      <c r="AG410" s="2"/>
      <c r="AH410" s="2" t="s">
        <v>54</v>
      </c>
      <c r="AI410" s="3" t="s">
        <v>4696</v>
      </c>
      <c r="AJ410" s="3" t="s">
        <v>4697</v>
      </c>
      <c r="AK410" s="2" t="n">
        <v>648651</v>
      </c>
      <c r="AL410" s="3" t="s">
        <v>4698</v>
      </c>
      <c r="AM410" s="2"/>
      <c r="AN410" s="2"/>
      <c r="AO410" s="3"/>
      <c r="AP410" s="3"/>
      <c r="AQ410" s="2"/>
    </row>
    <row r="411" customFormat="false" ht="23.85" hidden="false" customHeight="false" outlineLevel="0" collapsed="false">
      <c r="A411" s="2" t="n">
        <v>410</v>
      </c>
      <c r="B411" s="2" t="s">
        <v>4699</v>
      </c>
      <c r="C411" s="2" t="s">
        <v>3947</v>
      </c>
      <c r="D411" s="2" t="s">
        <v>4584</v>
      </c>
      <c r="E411" s="2" t="s">
        <v>4700</v>
      </c>
      <c r="F411" s="2" t="s">
        <v>4701</v>
      </c>
      <c r="G411" s="3" t="s">
        <v>4702</v>
      </c>
      <c r="H411" s="2"/>
      <c r="I411" s="2" t="s">
        <v>74</v>
      </c>
      <c r="J411" s="3" t="s">
        <v>4703</v>
      </c>
      <c r="K411" s="2" t="s">
        <v>3930</v>
      </c>
      <c r="L411" s="2" t="s">
        <v>3931</v>
      </c>
      <c r="M411" s="2"/>
      <c r="N411" s="2"/>
      <c r="O411" s="2"/>
      <c r="P411" s="2" t="n">
        <v>37.23</v>
      </c>
      <c r="Q411" s="2" t="n">
        <v>31.951</v>
      </c>
      <c r="R411" s="2" t="s">
        <v>95</v>
      </c>
      <c r="S411" s="2" t="n">
        <v>325</v>
      </c>
      <c r="T411" s="2" t="s">
        <v>3894</v>
      </c>
      <c r="U411" s="2" t="s">
        <v>56</v>
      </c>
      <c r="V411" s="2" t="s">
        <v>245</v>
      </c>
      <c r="W411" s="2" t="s">
        <v>140</v>
      </c>
      <c r="X411" s="2" t="s">
        <v>289</v>
      </c>
      <c r="Y411" s="2"/>
      <c r="Z411" s="2" t="s">
        <v>170</v>
      </c>
      <c r="AA411" s="2"/>
      <c r="AB411" s="2" t="s">
        <v>63</v>
      </c>
      <c r="AC411" s="2" t="s">
        <v>64</v>
      </c>
      <c r="AD411" s="2"/>
      <c r="AE411" s="3"/>
      <c r="AF411" s="3" t="s">
        <v>4704</v>
      </c>
      <c r="AG411" s="2"/>
      <c r="AH411" s="2" t="s">
        <v>113</v>
      </c>
      <c r="AI411" s="3" t="s">
        <v>4705</v>
      </c>
      <c r="AJ411" s="3" t="s">
        <v>4706</v>
      </c>
      <c r="AK411" s="2"/>
      <c r="AL411" s="3" t="s">
        <v>4707</v>
      </c>
      <c r="AM411" s="2"/>
      <c r="AN411" s="2"/>
      <c r="AO411" s="3"/>
      <c r="AP411" s="3"/>
      <c r="AQ411" s="2"/>
    </row>
    <row r="412" customFormat="false" ht="68.65" hidden="false" customHeight="false" outlineLevel="0" collapsed="false">
      <c r="A412" s="2" t="n">
        <v>411</v>
      </c>
      <c r="B412" s="2" t="s">
        <v>4708</v>
      </c>
      <c r="C412" s="2" t="s">
        <v>3947</v>
      </c>
      <c r="D412" s="2" t="s">
        <v>4380</v>
      </c>
      <c r="E412" s="2" t="s">
        <v>4709</v>
      </c>
      <c r="F412" s="2" t="s">
        <v>4710</v>
      </c>
      <c r="G412" s="3" t="s">
        <v>4711</v>
      </c>
      <c r="H412" s="2" t="s">
        <v>4712</v>
      </c>
      <c r="I412" s="2" t="s">
        <v>123</v>
      </c>
      <c r="J412" s="3" t="s">
        <v>4713</v>
      </c>
      <c r="K412" s="2" t="s">
        <v>4714</v>
      </c>
      <c r="L412" s="2" t="s">
        <v>4715</v>
      </c>
      <c r="M412" s="2" t="s">
        <v>4712</v>
      </c>
      <c r="N412" s="2"/>
      <c r="O412" s="2" t="s">
        <v>53</v>
      </c>
      <c r="P412" s="2" t="n">
        <v>37.0263</v>
      </c>
      <c r="Q412" s="2" t="n">
        <v>36.6325</v>
      </c>
      <c r="R412" s="2" t="s">
        <v>95</v>
      </c>
      <c r="S412" s="2" t="n">
        <v>-300</v>
      </c>
      <c r="T412" s="2" t="s">
        <v>1942</v>
      </c>
      <c r="U412" s="2" t="s">
        <v>139</v>
      </c>
      <c r="V412" s="2" t="s">
        <v>97</v>
      </c>
      <c r="W412" s="2" t="s">
        <v>195</v>
      </c>
      <c r="X412" s="2" t="s">
        <v>246</v>
      </c>
      <c r="Y412" s="2" t="s">
        <v>4716</v>
      </c>
      <c r="Z412" s="2" t="s">
        <v>2168</v>
      </c>
      <c r="AA412" s="2"/>
      <c r="AB412" s="2" t="s">
        <v>81</v>
      </c>
      <c r="AC412" s="2"/>
      <c r="AD412" s="2"/>
      <c r="AE412" s="3"/>
      <c r="AF412" s="3" t="s">
        <v>4717</v>
      </c>
      <c r="AG412" s="2" t="s">
        <v>4718</v>
      </c>
      <c r="AH412" s="2" t="s">
        <v>113</v>
      </c>
      <c r="AI412" s="3" t="s">
        <v>4719</v>
      </c>
      <c r="AJ412" s="3" t="s">
        <v>4720</v>
      </c>
      <c r="AK412" s="2" t="n">
        <v>658547</v>
      </c>
      <c r="AL412" s="3" t="s">
        <v>4721</v>
      </c>
      <c r="AM412" s="2"/>
      <c r="AN412" s="2"/>
      <c r="AO412" s="3" t="s">
        <v>4722</v>
      </c>
      <c r="AP412" s="3" t="s">
        <v>4723</v>
      </c>
      <c r="AQ412" s="2" t="s">
        <v>89</v>
      </c>
    </row>
    <row r="413" customFormat="false" ht="46.25" hidden="false" customHeight="false" outlineLevel="0" collapsed="false">
      <c r="A413" s="2" t="n">
        <v>412</v>
      </c>
      <c r="B413" s="2" t="s">
        <v>4724</v>
      </c>
      <c r="C413" s="2" t="s">
        <v>3947</v>
      </c>
      <c r="D413" s="2" t="s">
        <v>4380</v>
      </c>
      <c r="E413" s="2" t="s">
        <v>4725</v>
      </c>
      <c r="F413" s="2" t="s">
        <v>4726</v>
      </c>
      <c r="G413" s="3" t="s">
        <v>4727</v>
      </c>
      <c r="H413" s="2"/>
      <c r="I413" s="2" t="s">
        <v>74</v>
      </c>
      <c r="J413" s="3" t="s">
        <v>4728</v>
      </c>
      <c r="K413" s="2" t="s">
        <v>4714</v>
      </c>
      <c r="L413" s="2" t="s">
        <v>4715</v>
      </c>
      <c r="M413" s="2"/>
      <c r="N413" s="2"/>
      <c r="O413" s="2"/>
      <c r="P413" s="2" t="n">
        <v>36.8294</v>
      </c>
      <c r="Q413" s="2" t="n">
        <v>38.0149</v>
      </c>
      <c r="R413" s="2" t="s">
        <v>54</v>
      </c>
      <c r="S413" s="2" t="n">
        <v>-300</v>
      </c>
      <c r="T413" s="2" t="s">
        <v>1942</v>
      </c>
      <c r="U413" s="2" t="s">
        <v>139</v>
      </c>
      <c r="V413" s="2" t="s">
        <v>97</v>
      </c>
      <c r="W413" s="2" t="s">
        <v>195</v>
      </c>
      <c r="X413" s="2" t="s">
        <v>246</v>
      </c>
      <c r="Y413" s="2" t="s">
        <v>4729</v>
      </c>
      <c r="Z413" s="2" t="s">
        <v>2168</v>
      </c>
      <c r="AA413" s="2"/>
      <c r="AB413" s="2" t="s">
        <v>63</v>
      </c>
      <c r="AC413" s="2" t="s">
        <v>452</v>
      </c>
      <c r="AD413" s="2" t="s">
        <v>4730</v>
      </c>
      <c r="AE413" s="3" t="s">
        <v>4731</v>
      </c>
      <c r="AF413" s="3" t="s">
        <v>4732</v>
      </c>
      <c r="AG413" s="2" t="s">
        <v>4733</v>
      </c>
      <c r="AH413" s="2" t="s">
        <v>113</v>
      </c>
      <c r="AI413" s="3" t="s">
        <v>4734</v>
      </c>
      <c r="AJ413" s="3" t="s">
        <v>4735</v>
      </c>
      <c r="AK413" s="2" t="n">
        <v>658465</v>
      </c>
      <c r="AL413" s="3" t="s">
        <v>4736</v>
      </c>
      <c r="AM413" s="2"/>
      <c r="AN413" s="2"/>
      <c r="AO413" s="3"/>
      <c r="AP413" s="3"/>
      <c r="AQ413" s="2"/>
    </row>
    <row r="414" customFormat="false" ht="23.85" hidden="false" customHeight="false" outlineLevel="0" collapsed="false">
      <c r="A414" s="2" t="n">
        <v>413</v>
      </c>
      <c r="B414" s="2" t="s">
        <v>4737</v>
      </c>
      <c r="C414" s="2" t="s">
        <v>4738</v>
      </c>
      <c r="D414" s="2" t="s">
        <v>4738</v>
      </c>
      <c r="E414" s="2" t="s">
        <v>4739</v>
      </c>
      <c r="F414" s="2" t="s">
        <v>4740</v>
      </c>
      <c r="G414" s="3" t="s">
        <v>4741</v>
      </c>
      <c r="H414" s="2" t="s">
        <v>2442</v>
      </c>
      <c r="I414" s="2" t="s">
        <v>123</v>
      </c>
      <c r="J414" s="3" t="s">
        <v>4742</v>
      </c>
      <c r="K414" s="2" t="s">
        <v>2442</v>
      </c>
      <c r="L414" s="2" t="s">
        <v>1553</v>
      </c>
      <c r="M414" s="2" t="s">
        <v>581</v>
      </c>
      <c r="N414" s="2" t="s">
        <v>63</v>
      </c>
      <c r="O414" s="2" t="s">
        <v>53</v>
      </c>
      <c r="P414" s="2" t="n">
        <v>38.6795</v>
      </c>
      <c r="Q414" s="2" t="n">
        <v>29.4105</v>
      </c>
      <c r="R414" s="2" t="s">
        <v>54</v>
      </c>
      <c r="S414" s="2" t="n">
        <v>100</v>
      </c>
      <c r="T414" s="2" t="s">
        <v>2260</v>
      </c>
      <c r="U414" s="2" t="s">
        <v>56</v>
      </c>
      <c r="V414" s="2" t="s">
        <v>78</v>
      </c>
      <c r="W414" s="2" t="s">
        <v>140</v>
      </c>
      <c r="X414" s="2" t="s">
        <v>289</v>
      </c>
      <c r="Y414" s="2" t="s">
        <v>4743</v>
      </c>
      <c r="Z414" s="2" t="s">
        <v>170</v>
      </c>
      <c r="AA414" s="2"/>
      <c r="AB414" s="2" t="s">
        <v>63</v>
      </c>
      <c r="AC414" s="2" t="s">
        <v>64</v>
      </c>
      <c r="AD414" s="2"/>
      <c r="AE414" s="3"/>
      <c r="AF414" s="3" t="s">
        <v>4744</v>
      </c>
      <c r="AG414" s="2"/>
      <c r="AH414" s="2" t="s">
        <v>54</v>
      </c>
      <c r="AI414" s="3" t="s">
        <v>4745</v>
      </c>
      <c r="AJ414" s="3" t="s">
        <v>4746</v>
      </c>
      <c r="AK414" s="2" t="n">
        <v>609549</v>
      </c>
      <c r="AL414" s="3" t="s">
        <v>4747</v>
      </c>
      <c r="AM414" s="2"/>
      <c r="AN414" s="2"/>
      <c r="AO414" s="3"/>
      <c r="AP414" s="3"/>
      <c r="AQ414" s="2"/>
    </row>
    <row r="415" customFormat="false" ht="46.25" hidden="false" customHeight="false" outlineLevel="0" collapsed="false">
      <c r="A415" s="2" t="n">
        <v>414</v>
      </c>
      <c r="B415" s="2" t="s">
        <v>4748</v>
      </c>
      <c r="C415" s="2" t="s">
        <v>4738</v>
      </c>
      <c r="D415" s="2" t="s">
        <v>4738</v>
      </c>
      <c r="E415" s="2" t="s">
        <v>4749</v>
      </c>
      <c r="F415" s="2" t="s">
        <v>4750</v>
      </c>
      <c r="G415" s="3" t="s">
        <v>4751</v>
      </c>
      <c r="H415" s="2"/>
      <c r="I415" s="2" t="s">
        <v>74</v>
      </c>
      <c r="J415" s="3" t="s">
        <v>4752</v>
      </c>
      <c r="K415" s="2" t="s">
        <v>2442</v>
      </c>
      <c r="L415" s="2" t="s">
        <v>1553</v>
      </c>
      <c r="M415" s="2"/>
      <c r="N415" s="2"/>
      <c r="O415" s="2"/>
      <c r="P415" s="2" t="n">
        <v>38.6865</v>
      </c>
      <c r="Q415" s="2" t="n">
        <v>29.5469</v>
      </c>
      <c r="R415" s="2" t="s">
        <v>95</v>
      </c>
      <c r="S415" s="2" t="n">
        <v>120</v>
      </c>
      <c r="T415" s="2" t="s">
        <v>4753</v>
      </c>
      <c r="U415" s="2" t="s">
        <v>139</v>
      </c>
      <c r="V415" s="2" t="s">
        <v>57</v>
      </c>
      <c r="W415" s="2" t="s">
        <v>140</v>
      </c>
      <c r="X415" s="2" t="s">
        <v>141</v>
      </c>
      <c r="Y415" s="2" t="s">
        <v>4754</v>
      </c>
      <c r="Z415" s="2" t="s">
        <v>143</v>
      </c>
      <c r="AA415" s="2"/>
      <c r="AB415" s="2" t="s">
        <v>63</v>
      </c>
      <c r="AC415" s="2" t="s">
        <v>64</v>
      </c>
      <c r="AD415" s="2"/>
      <c r="AE415" s="3"/>
      <c r="AF415" s="3" t="s">
        <v>4755</v>
      </c>
      <c r="AG415" s="2"/>
      <c r="AH415" s="2" t="s">
        <v>113</v>
      </c>
      <c r="AI415" s="3" t="s">
        <v>4756</v>
      </c>
      <c r="AJ415" s="3" t="s">
        <v>4757</v>
      </c>
      <c r="AK415" s="2" t="n">
        <v>609559</v>
      </c>
      <c r="AL415" s="3" t="s">
        <v>4758</v>
      </c>
      <c r="AM415" s="2"/>
      <c r="AN415" s="2"/>
      <c r="AO415" s="3"/>
      <c r="AP415" s="3"/>
      <c r="AQ415" s="2"/>
    </row>
    <row r="416" customFormat="false" ht="35.05" hidden="false" customHeight="false" outlineLevel="0" collapsed="false">
      <c r="A416" s="2" t="n">
        <v>415</v>
      </c>
      <c r="B416" s="2" t="s">
        <v>4759</v>
      </c>
      <c r="C416" s="2" t="s">
        <v>4738</v>
      </c>
      <c r="D416" s="2" t="s">
        <v>4738</v>
      </c>
      <c r="E416" s="2" t="s">
        <v>4760</v>
      </c>
      <c r="F416" s="2" t="s">
        <v>4761</v>
      </c>
      <c r="G416" s="3" t="s">
        <v>4762</v>
      </c>
      <c r="H416" s="2" t="s">
        <v>4763</v>
      </c>
      <c r="I416" s="2" t="s">
        <v>49</v>
      </c>
      <c r="J416" s="3" t="s">
        <v>4764</v>
      </c>
      <c r="K416" s="2" t="s">
        <v>2442</v>
      </c>
      <c r="L416" s="2" t="s">
        <v>1553</v>
      </c>
      <c r="M416" s="2"/>
      <c r="N416" s="2"/>
      <c r="O416" s="2" t="s">
        <v>53</v>
      </c>
      <c r="P416" s="2" t="n">
        <v>38.6597</v>
      </c>
      <c r="Q416" s="2" t="n">
        <v>29.774</v>
      </c>
      <c r="R416" s="2" t="s">
        <v>54</v>
      </c>
      <c r="S416" s="2" t="n">
        <v>-150</v>
      </c>
      <c r="T416" s="2" t="s">
        <v>2075</v>
      </c>
      <c r="U416" s="2" t="s">
        <v>56</v>
      </c>
      <c r="V416" s="2" t="s">
        <v>78</v>
      </c>
      <c r="W416" s="2" t="s">
        <v>195</v>
      </c>
      <c r="X416" s="2" t="s">
        <v>289</v>
      </c>
      <c r="Y416" s="2" t="s">
        <v>4765</v>
      </c>
      <c r="Z416" s="2" t="s">
        <v>170</v>
      </c>
      <c r="AA416" s="2"/>
      <c r="AB416" s="2" t="s">
        <v>63</v>
      </c>
      <c r="AC416" s="2" t="s">
        <v>64</v>
      </c>
      <c r="AD416" s="2"/>
      <c r="AE416" s="3"/>
      <c r="AF416" s="3" t="s">
        <v>4766</v>
      </c>
      <c r="AG416" s="2"/>
      <c r="AH416" s="2" t="s">
        <v>54</v>
      </c>
      <c r="AI416" s="3" t="s">
        <v>4767</v>
      </c>
      <c r="AJ416" s="3" t="s">
        <v>4768</v>
      </c>
      <c r="AK416" s="2" t="n">
        <v>609293</v>
      </c>
      <c r="AL416" s="3" t="s">
        <v>4769</v>
      </c>
      <c r="AM416" s="2"/>
      <c r="AN416" s="2"/>
      <c r="AO416" s="3"/>
      <c r="AP416" s="3"/>
      <c r="AQ416" s="2"/>
    </row>
    <row r="417" customFormat="false" ht="35.05" hidden="false" customHeight="false" outlineLevel="0" collapsed="false">
      <c r="A417" s="2" t="n">
        <v>416</v>
      </c>
      <c r="B417" s="2" t="s">
        <v>4770</v>
      </c>
      <c r="C417" s="2" t="s">
        <v>4738</v>
      </c>
      <c r="D417" s="2" t="s">
        <v>4738</v>
      </c>
      <c r="E417" s="2" t="s">
        <v>4771</v>
      </c>
      <c r="F417" s="2" t="s">
        <v>4772</v>
      </c>
      <c r="G417" s="3" t="s">
        <v>4773</v>
      </c>
      <c r="H417" s="2"/>
      <c r="I417" s="2" t="s">
        <v>74</v>
      </c>
      <c r="J417" s="3" t="s">
        <v>4774</v>
      </c>
      <c r="K417" s="2" t="s">
        <v>4775</v>
      </c>
      <c r="L417" s="2" t="s">
        <v>1553</v>
      </c>
      <c r="M417" s="2"/>
      <c r="N417" s="2"/>
      <c r="O417" s="2"/>
      <c r="P417" s="2" t="n">
        <v>38.6638</v>
      </c>
      <c r="Q417" s="2" t="n">
        <v>29.8881</v>
      </c>
      <c r="R417" s="2" t="s">
        <v>95</v>
      </c>
      <c r="S417" s="2" t="n">
        <v>200</v>
      </c>
      <c r="T417" s="2" t="s">
        <v>1530</v>
      </c>
      <c r="U417" s="2" t="s">
        <v>56</v>
      </c>
      <c r="V417" s="2" t="s">
        <v>78</v>
      </c>
      <c r="W417" s="2" t="s">
        <v>140</v>
      </c>
      <c r="X417" s="2" t="s">
        <v>289</v>
      </c>
      <c r="Y417" s="2"/>
      <c r="Z417" s="2" t="s">
        <v>170</v>
      </c>
      <c r="AA417" s="2"/>
      <c r="AB417" s="2" t="s">
        <v>63</v>
      </c>
      <c r="AC417" s="2" t="s">
        <v>64</v>
      </c>
      <c r="AD417" s="2"/>
      <c r="AE417" s="3"/>
      <c r="AF417" s="3" t="s">
        <v>4776</v>
      </c>
      <c r="AG417" s="2"/>
      <c r="AH417" s="2" t="s">
        <v>113</v>
      </c>
      <c r="AI417" s="3" t="s">
        <v>4777</v>
      </c>
      <c r="AJ417" s="3" t="s">
        <v>4778</v>
      </c>
      <c r="AK417" s="2" t="n">
        <v>609362</v>
      </c>
      <c r="AL417" s="3" t="s">
        <v>4779</v>
      </c>
      <c r="AM417" s="2"/>
      <c r="AN417" s="2"/>
      <c r="AO417" s="3"/>
      <c r="AP417" s="3"/>
      <c r="AQ417" s="2"/>
    </row>
    <row r="418" customFormat="false" ht="113.4" hidden="false" customHeight="false" outlineLevel="0" collapsed="false">
      <c r="A418" s="2" t="n">
        <v>417</v>
      </c>
      <c r="B418" s="2" t="s">
        <v>4780</v>
      </c>
      <c r="C418" s="2" t="s">
        <v>4738</v>
      </c>
      <c r="D418" s="2" t="s">
        <v>4738</v>
      </c>
      <c r="E418" s="2" t="s">
        <v>4781</v>
      </c>
      <c r="F418" s="2" t="s">
        <v>4782</v>
      </c>
      <c r="G418" s="3" t="s">
        <v>4783</v>
      </c>
      <c r="H418" s="2" t="s">
        <v>4784</v>
      </c>
      <c r="I418" s="2" t="s">
        <v>49</v>
      </c>
      <c r="J418" s="3" t="s">
        <v>4785</v>
      </c>
      <c r="K418" s="2" t="s">
        <v>2442</v>
      </c>
      <c r="L418" s="2" t="s">
        <v>1553</v>
      </c>
      <c r="M418" s="2"/>
      <c r="N418" s="2"/>
      <c r="O418" s="2" t="s">
        <v>53</v>
      </c>
      <c r="P418" s="2" t="n">
        <v>38.4961</v>
      </c>
      <c r="Q418" s="2" t="n">
        <v>29.6557</v>
      </c>
      <c r="R418" s="2" t="s">
        <v>54</v>
      </c>
      <c r="S418" s="2" t="n">
        <v>-20</v>
      </c>
      <c r="T418" s="2" t="s">
        <v>2920</v>
      </c>
      <c r="U418" s="2" t="s">
        <v>139</v>
      </c>
      <c r="V418" s="2" t="s">
        <v>97</v>
      </c>
      <c r="W418" s="2" t="s">
        <v>140</v>
      </c>
      <c r="X418" s="2" t="s">
        <v>141</v>
      </c>
      <c r="Y418" s="2" t="s">
        <v>3646</v>
      </c>
      <c r="Z418" s="2" t="s">
        <v>143</v>
      </c>
      <c r="AA418" s="2"/>
      <c r="AB418" s="2" t="s">
        <v>81</v>
      </c>
      <c r="AC418" s="2"/>
      <c r="AD418" s="2"/>
      <c r="AE418" s="3"/>
      <c r="AF418" s="3" t="s">
        <v>4786</v>
      </c>
      <c r="AG418" s="2"/>
      <c r="AH418" s="2" t="s">
        <v>54</v>
      </c>
      <c r="AI418" s="3" t="s">
        <v>4787</v>
      </c>
      <c r="AJ418" s="3" t="s">
        <v>4788</v>
      </c>
      <c r="AK418" s="2" t="n">
        <v>609521</v>
      </c>
      <c r="AL418" s="3" t="s">
        <v>4789</v>
      </c>
      <c r="AM418" s="2"/>
      <c r="AN418" s="2"/>
      <c r="AO418" s="3" t="s">
        <v>4790</v>
      </c>
      <c r="AP418" s="3" t="s">
        <v>4791</v>
      </c>
      <c r="AQ418" s="2" t="s">
        <v>89</v>
      </c>
    </row>
    <row r="419" customFormat="false" ht="23.85" hidden="false" customHeight="false" outlineLevel="0" collapsed="false">
      <c r="A419" s="2" t="n">
        <v>418</v>
      </c>
      <c r="B419" s="2" t="s">
        <v>4792</v>
      </c>
      <c r="C419" s="2" t="s">
        <v>4738</v>
      </c>
      <c r="D419" s="2" t="s">
        <v>4738</v>
      </c>
      <c r="E419" s="2" t="s">
        <v>4793</v>
      </c>
      <c r="F419" s="2" t="s">
        <v>4794</v>
      </c>
      <c r="G419" s="3"/>
      <c r="H419" s="2"/>
      <c r="I419" s="2" t="s">
        <v>93</v>
      </c>
      <c r="J419" s="3" t="s">
        <v>4795</v>
      </c>
      <c r="K419" s="2" t="s">
        <v>2442</v>
      </c>
      <c r="L419" s="2" t="s">
        <v>1553</v>
      </c>
      <c r="M419" s="2"/>
      <c r="N419" s="2"/>
      <c r="O419" s="2"/>
      <c r="P419" s="2" t="n">
        <v>38.55</v>
      </c>
      <c r="Q419" s="2" t="n">
        <v>29.55</v>
      </c>
      <c r="R419" s="2" t="s">
        <v>637</v>
      </c>
      <c r="S419" s="2" t="n">
        <v>200</v>
      </c>
      <c r="T419" s="2" t="s">
        <v>1530</v>
      </c>
      <c r="U419" s="2" t="s">
        <v>56</v>
      </c>
      <c r="V419" s="2" t="s">
        <v>78</v>
      </c>
      <c r="W419" s="2" t="s">
        <v>140</v>
      </c>
      <c r="X419" s="2" t="s">
        <v>289</v>
      </c>
      <c r="Y419" s="2"/>
      <c r="Z419" s="2" t="s">
        <v>170</v>
      </c>
      <c r="AA419" s="2"/>
      <c r="AB419" s="2" t="s">
        <v>63</v>
      </c>
      <c r="AC419" s="2" t="s">
        <v>64</v>
      </c>
      <c r="AD419" s="2"/>
      <c r="AE419" s="3" t="s">
        <v>4796</v>
      </c>
      <c r="AF419" s="3" t="s">
        <v>4797</v>
      </c>
      <c r="AG419" s="2"/>
      <c r="AH419" s="2" t="s">
        <v>113</v>
      </c>
      <c r="AI419" s="3" t="s">
        <v>4798</v>
      </c>
      <c r="AJ419" s="3" t="s">
        <v>4799</v>
      </c>
      <c r="AK419" s="2"/>
      <c r="AL419" s="3" t="s">
        <v>4800</v>
      </c>
      <c r="AM419" s="2"/>
      <c r="AN419" s="2"/>
      <c r="AO419" s="3"/>
      <c r="AP419" s="3"/>
      <c r="AQ419" s="2"/>
    </row>
    <row r="420" customFormat="false" ht="35.05" hidden="false" customHeight="false" outlineLevel="0" collapsed="false">
      <c r="A420" s="2" t="n">
        <v>419</v>
      </c>
      <c r="B420" s="2" t="s">
        <v>4801</v>
      </c>
      <c r="C420" s="2" t="s">
        <v>4738</v>
      </c>
      <c r="D420" s="2" t="s">
        <v>4738</v>
      </c>
      <c r="E420" s="2" t="s">
        <v>4802</v>
      </c>
      <c r="F420" s="2" t="s">
        <v>4803</v>
      </c>
      <c r="G420" s="3" t="s">
        <v>4804</v>
      </c>
      <c r="H420" s="2" t="s">
        <v>4805</v>
      </c>
      <c r="I420" s="2" t="s">
        <v>49</v>
      </c>
      <c r="J420" s="3" t="s">
        <v>4806</v>
      </c>
      <c r="K420" s="2" t="s">
        <v>3341</v>
      </c>
      <c r="L420" s="2" t="s">
        <v>3049</v>
      </c>
      <c r="M420" s="2"/>
      <c r="N420" s="2"/>
      <c r="O420" s="2" t="s">
        <v>53</v>
      </c>
      <c r="P420" s="2" t="n">
        <v>37.4937</v>
      </c>
      <c r="Q420" s="2" t="n">
        <v>29.926</v>
      </c>
      <c r="R420" s="2" t="s">
        <v>95</v>
      </c>
      <c r="S420" s="2" t="n">
        <v>100</v>
      </c>
      <c r="T420" s="2" t="s">
        <v>2260</v>
      </c>
      <c r="U420" s="2" t="s">
        <v>56</v>
      </c>
      <c r="V420" s="2" t="s">
        <v>97</v>
      </c>
      <c r="W420" s="2" t="s">
        <v>140</v>
      </c>
      <c r="X420" s="2" t="s">
        <v>289</v>
      </c>
      <c r="Y420" s="2"/>
      <c r="Z420" s="2" t="s">
        <v>170</v>
      </c>
      <c r="AA420" s="2"/>
      <c r="AB420" s="2" t="s">
        <v>63</v>
      </c>
      <c r="AC420" s="2" t="s">
        <v>64</v>
      </c>
      <c r="AD420" s="2"/>
      <c r="AE420" s="3"/>
      <c r="AF420" s="3" t="s">
        <v>4807</v>
      </c>
      <c r="AG420" s="2"/>
      <c r="AH420" s="2" t="s">
        <v>113</v>
      </c>
      <c r="AI420" s="3" t="s">
        <v>4808</v>
      </c>
      <c r="AJ420" s="3" t="s">
        <v>4809</v>
      </c>
      <c r="AK420" s="2" t="n">
        <v>638914</v>
      </c>
      <c r="AL420" s="3" t="s">
        <v>4810</v>
      </c>
      <c r="AM420" s="2"/>
      <c r="AN420" s="2"/>
      <c r="AO420" s="3"/>
      <c r="AP420" s="3"/>
      <c r="AQ420" s="2"/>
    </row>
    <row r="421" customFormat="false" ht="35.05" hidden="false" customHeight="false" outlineLevel="0" collapsed="false">
      <c r="A421" s="2" t="n">
        <v>420</v>
      </c>
      <c r="B421" s="2" t="s">
        <v>4811</v>
      </c>
      <c r="C421" s="2" t="s">
        <v>4738</v>
      </c>
      <c r="D421" s="2" t="s">
        <v>4738</v>
      </c>
      <c r="E421" s="2" t="s">
        <v>4812</v>
      </c>
      <c r="F421" s="2" t="s">
        <v>4813</v>
      </c>
      <c r="G421" s="3"/>
      <c r="H421" s="2"/>
      <c r="I421" s="2" t="s">
        <v>74</v>
      </c>
      <c r="J421" s="3" t="s">
        <v>4814</v>
      </c>
      <c r="K421" s="2" t="s">
        <v>2512</v>
      </c>
      <c r="L421" s="2" t="s">
        <v>1553</v>
      </c>
      <c r="M421" s="2"/>
      <c r="N421" s="2"/>
      <c r="O421" s="2"/>
      <c r="P421" s="2" t="n">
        <v>37.33</v>
      </c>
      <c r="Q421" s="2" t="n">
        <v>29.37</v>
      </c>
      <c r="R421" s="2" t="s">
        <v>95</v>
      </c>
      <c r="S421" s="2" t="n">
        <v>-150</v>
      </c>
      <c r="T421" s="2" t="s">
        <v>2075</v>
      </c>
      <c r="U421" s="2" t="s">
        <v>56</v>
      </c>
      <c r="V421" s="2" t="s">
        <v>78</v>
      </c>
      <c r="W421" s="2" t="s">
        <v>195</v>
      </c>
      <c r="X421" s="2" t="s">
        <v>289</v>
      </c>
      <c r="Y421" s="2"/>
      <c r="Z421" s="2" t="s">
        <v>170</v>
      </c>
      <c r="AA421" s="2"/>
      <c r="AB421" s="2" t="s">
        <v>63</v>
      </c>
      <c r="AC421" s="2" t="s">
        <v>64</v>
      </c>
      <c r="AD421" s="2"/>
      <c r="AE421" s="3" t="s">
        <v>4815</v>
      </c>
      <c r="AF421" s="3" t="s">
        <v>4816</v>
      </c>
      <c r="AG421" s="2"/>
      <c r="AH421" s="2" t="s">
        <v>113</v>
      </c>
      <c r="AI421" s="3" t="s">
        <v>4817</v>
      </c>
      <c r="AJ421" s="3" t="s">
        <v>4818</v>
      </c>
      <c r="AK421" s="2" t="n">
        <v>642521</v>
      </c>
      <c r="AL421" s="3" t="s">
        <v>4819</v>
      </c>
      <c r="AM421" s="2"/>
      <c r="AN421" s="2"/>
      <c r="AO421" s="3"/>
      <c r="AP421" s="3"/>
      <c r="AQ421" s="2"/>
    </row>
    <row r="422" customFormat="false" ht="46.25" hidden="false" customHeight="false" outlineLevel="0" collapsed="false">
      <c r="A422" s="2" t="n">
        <v>421</v>
      </c>
      <c r="B422" s="2" t="s">
        <v>4820</v>
      </c>
      <c r="C422" s="2" t="s">
        <v>4738</v>
      </c>
      <c r="D422" s="2" t="s">
        <v>4738</v>
      </c>
      <c r="E422" s="2" t="s">
        <v>4821</v>
      </c>
      <c r="F422" s="2" t="s">
        <v>4822</v>
      </c>
      <c r="G422" s="3" t="s">
        <v>4823</v>
      </c>
      <c r="H422" s="2"/>
      <c r="I422" s="2" t="s">
        <v>93</v>
      </c>
      <c r="J422" s="3" t="s">
        <v>4824</v>
      </c>
      <c r="K422" s="2" t="s">
        <v>2512</v>
      </c>
      <c r="L422" s="2" t="s">
        <v>1553</v>
      </c>
      <c r="M422" s="2"/>
      <c r="N422" s="2"/>
      <c r="O422" s="2"/>
      <c r="P422" s="2" t="n">
        <v>37.42</v>
      </c>
      <c r="Q422" s="2" t="n">
        <v>29.4</v>
      </c>
      <c r="R422" s="2" t="s">
        <v>637</v>
      </c>
      <c r="S422" s="2" t="n">
        <v>-250</v>
      </c>
      <c r="T422" s="2" t="s">
        <v>2189</v>
      </c>
      <c r="U422" s="2" t="s">
        <v>139</v>
      </c>
      <c r="V422" s="2" t="s">
        <v>78</v>
      </c>
      <c r="W422" s="2" t="s">
        <v>195</v>
      </c>
      <c r="X422" s="2" t="s">
        <v>246</v>
      </c>
      <c r="Y422" s="2" t="s">
        <v>4825</v>
      </c>
      <c r="Z422" s="2" t="s">
        <v>2168</v>
      </c>
      <c r="AA422" s="2"/>
      <c r="AB422" s="2" t="s">
        <v>81</v>
      </c>
      <c r="AC422" s="2"/>
      <c r="AD422" s="2"/>
      <c r="AE422" s="3"/>
      <c r="AF422" s="3" t="s">
        <v>4826</v>
      </c>
      <c r="AG422" s="2"/>
      <c r="AH422" s="2" t="s">
        <v>113</v>
      </c>
      <c r="AI422" s="3" t="s">
        <v>4827</v>
      </c>
      <c r="AJ422" s="3" t="s">
        <v>4828</v>
      </c>
      <c r="AK422" s="2" t="n">
        <v>642565</v>
      </c>
      <c r="AL422" s="3" t="s">
        <v>4829</v>
      </c>
      <c r="AM422" s="2"/>
      <c r="AN422" s="2"/>
      <c r="AO422" s="3" t="s">
        <v>4830</v>
      </c>
      <c r="AP422" s="3" t="s">
        <v>4831</v>
      </c>
      <c r="AQ422" s="2" t="s">
        <v>106</v>
      </c>
    </row>
    <row r="423" customFormat="false" ht="23.85" hidden="false" customHeight="false" outlineLevel="0" collapsed="false">
      <c r="A423" s="2" t="n">
        <v>422</v>
      </c>
      <c r="B423" s="2" t="s">
        <v>4832</v>
      </c>
      <c r="C423" s="2" t="s">
        <v>4738</v>
      </c>
      <c r="D423" s="2" t="s">
        <v>4738</v>
      </c>
      <c r="E423" s="2" t="s">
        <v>4833</v>
      </c>
      <c r="F423" s="2" t="s">
        <v>4834</v>
      </c>
      <c r="G423" s="3"/>
      <c r="H423" s="2"/>
      <c r="I423" s="2" t="s">
        <v>93</v>
      </c>
      <c r="J423" s="3" t="s">
        <v>4835</v>
      </c>
      <c r="K423" s="2" t="s">
        <v>2512</v>
      </c>
      <c r="L423" s="2" t="s">
        <v>1553</v>
      </c>
      <c r="M423" s="2"/>
      <c r="N423" s="2"/>
      <c r="O423" s="2"/>
      <c r="P423" s="2" t="n">
        <v>37.4</v>
      </c>
      <c r="Q423" s="2" t="n">
        <v>29.45</v>
      </c>
      <c r="R423" s="2" t="s">
        <v>637</v>
      </c>
      <c r="S423" s="2" t="n">
        <v>370</v>
      </c>
      <c r="T423" s="2" t="s">
        <v>4836</v>
      </c>
      <c r="U423" s="2" t="s">
        <v>56</v>
      </c>
      <c r="V423" s="2" t="s">
        <v>97</v>
      </c>
      <c r="W423" s="2" t="s">
        <v>304</v>
      </c>
      <c r="X423" s="2" t="s">
        <v>141</v>
      </c>
      <c r="Y423" s="2" t="s">
        <v>4837</v>
      </c>
      <c r="Z423" s="2" t="s">
        <v>559</v>
      </c>
      <c r="AA423" s="2"/>
      <c r="AB423" s="2" t="s">
        <v>81</v>
      </c>
      <c r="AC423" s="2"/>
      <c r="AD423" s="2"/>
      <c r="AE423" s="3"/>
      <c r="AF423" s="3" t="s">
        <v>4838</v>
      </c>
      <c r="AG423" s="2"/>
      <c r="AH423" s="2" t="s">
        <v>263</v>
      </c>
      <c r="AI423" s="3" t="s">
        <v>4839</v>
      </c>
      <c r="AJ423" s="3" t="s">
        <v>4840</v>
      </c>
      <c r="AK423" s="2" t="n">
        <v>642550</v>
      </c>
      <c r="AL423" s="3" t="s">
        <v>4841</v>
      </c>
      <c r="AM423" s="2"/>
      <c r="AN423" s="2"/>
      <c r="AO423" s="3" t="s">
        <v>4842</v>
      </c>
      <c r="AP423" s="3" t="s">
        <v>4843</v>
      </c>
      <c r="AQ423" s="2" t="s">
        <v>106</v>
      </c>
    </row>
    <row r="424" customFormat="false" ht="46.25" hidden="false" customHeight="false" outlineLevel="0" collapsed="false">
      <c r="A424" s="2" t="n">
        <v>423</v>
      </c>
      <c r="B424" s="2" t="s">
        <v>4844</v>
      </c>
      <c r="C424" s="2" t="s">
        <v>4738</v>
      </c>
      <c r="D424" s="2" t="s">
        <v>4738</v>
      </c>
      <c r="E424" s="2" t="s">
        <v>4845</v>
      </c>
      <c r="F424" s="2" t="s">
        <v>4846</v>
      </c>
      <c r="G424" s="3"/>
      <c r="H424" s="2"/>
      <c r="I424" s="2" t="s">
        <v>93</v>
      </c>
      <c r="J424" s="3" t="s">
        <v>4847</v>
      </c>
      <c r="K424" s="2" t="s">
        <v>2512</v>
      </c>
      <c r="L424" s="2" t="s">
        <v>1553</v>
      </c>
      <c r="M424" s="2"/>
      <c r="N424" s="2"/>
      <c r="O424" s="2"/>
      <c r="P424" s="2" t="n">
        <v>38</v>
      </c>
      <c r="Q424" s="2" t="n">
        <v>28.95</v>
      </c>
      <c r="R424" s="2" t="s">
        <v>637</v>
      </c>
      <c r="S424" s="2" t="n">
        <v>-125</v>
      </c>
      <c r="T424" s="2" t="s">
        <v>4848</v>
      </c>
      <c r="U424" s="2" t="s">
        <v>56</v>
      </c>
      <c r="V424" s="2" t="s">
        <v>78</v>
      </c>
      <c r="W424" s="2" t="s">
        <v>195</v>
      </c>
      <c r="X424" s="2" t="s">
        <v>289</v>
      </c>
      <c r="Y424" s="2"/>
      <c r="Z424" s="2" t="s">
        <v>170</v>
      </c>
      <c r="AA424" s="2"/>
      <c r="AB424" s="2" t="s">
        <v>63</v>
      </c>
      <c r="AC424" s="2" t="s">
        <v>64</v>
      </c>
      <c r="AD424" s="2"/>
      <c r="AE424" s="3" t="s">
        <v>2910</v>
      </c>
      <c r="AF424" s="3" t="s">
        <v>4849</v>
      </c>
      <c r="AG424" s="2"/>
      <c r="AH424" s="2" t="s">
        <v>113</v>
      </c>
      <c r="AI424" s="3" t="s">
        <v>4850</v>
      </c>
      <c r="AJ424" s="3" t="s">
        <v>4851</v>
      </c>
      <c r="AK424" s="2" t="n">
        <v>642528</v>
      </c>
      <c r="AL424" s="3" t="s">
        <v>4852</v>
      </c>
      <c r="AM424" s="2"/>
      <c r="AN424" s="2"/>
      <c r="AO424" s="3"/>
      <c r="AP424" s="3"/>
      <c r="AQ424" s="2"/>
    </row>
    <row r="425" customFormat="false" ht="35.05" hidden="false" customHeight="false" outlineLevel="0" collapsed="false">
      <c r="A425" s="2" t="n">
        <v>424</v>
      </c>
      <c r="B425" s="2" t="s">
        <v>4853</v>
      </c>
      <c r="C425" s="2" t="s">
        <v>4738</v>
      </c>
      <c r="D425" s="2" t="s">
        <v>4738</v>
      </c>
      <c r="E425" s="2" t="s">
        <v>4854</v>
      </c>
      <c r="F425" s="2" t="s">
        <v>4855</v>
      </c>
      <c r="G425" s="3" t="s">
        <v>4856</v>
      </c>
      <c r="H425" s="2"/>
      <c r="I425" s="2" t="s">
        <v>74</v>
      </c>
      <c r="J425" s="3" t="s">
        <v>4857</v>
      </c>
      <c r="K425" s="2" t="s">
        <v>2512</v>
      </c>
      <c r="L425" s="2" t="s">
        <v>1553</v>
      </c>
      <c r="M425" s="2"/>
      <c r="N425" s="2"/>
      <c r="O425" s="2"/>
      <c r="P425" s="2" t="n">
        <v>37.8359</v>
      </c>
      <c r="Q425" s="2" t="n">
        <v>29.1074</v>
      </c>
      <c r="R425" s="2" t="s">
        <v>54</v>
      </c>
      <c r="S425" s="2" t="n">
        <v>-255</v>
      </c>
      <c r="T425" s="2" t="s">
        <v>4858</v>
      </c>
      <c r="U425" s="2" t="s">
        <v>139</v>
      </c>
      <c r="V425" s="2" t="s">
        <v>57</v>
      </c>
      <c r="W425" s="2" t="s">
        <v>195</v>
      </c>
      <c r="X425" s="2" t="s">
        <v>246</v>
      </c>
      <c r="Y425" s="2" t="s">
        <v>4859</v>
      </c>
      <c r="Z425" s="2" t="s">
        <v>2168</v>
      </c>
      <c r="AA425" s="2"/>
      <c r="AB425" s="2" t="s">
        <v>63</v>
      </c>
      <c r="AC425" s="2" t="s">
        <v>452</v>
      </c>
      <c r="AD425" s="2"/>
      <c r="AE425" s="3" t="s">
        <v>4860</v>
      </c>
      <c r="AF425" s="3" t="s">
        <v>4861</v>
      </c>
      <c r="AG425" s="2"/>
      <c r="AH425" s="2" t="s">
        <v>54</v>
      </c>
      <c r="AI425" s="3" t="s">
        <v>4862</v>
      </c>
      <c r="AJ425" s="3" t="s">
        <v>4863</v>
      </c>
      <c r="AK425" s="2" t="n">
        <v>638955</v>
      </c>
      <c r="AL425" s="3" t="s">
        <v>4864</v>
      </c>
      <c r="AM425" s="2"/>
      <c r="AN425" s="2"/>
      <c r="AO425" s="3"/>
      <c r="AP425" s="3"/>
      <c r="AQ425" s="2"/>
    </row>
    <row r="426" customFormat="false" ht="35.05" hidden="false" customHeight="false" outlineLevel="0" collapsed="false">
      <c r="A426" s="2" t="n">
        <v>425</v>
      </c>
      <c r="B426" s="2" t="s">
        <v>4865</v>
      </c>
      <c r="C426" s="2" t="s">
        <v>4738</v>
      </c>
      <c r="D426" s="2" t="s">
        <v>4738</v>
      </c>
      <c r="E426" s="2" t="s">
        <v>4866</v>
      </c>
      <c r="F426" s="2" t="s">
        <v>4867</v>
      </c>
      <c r="G426" s="3"/>
      <c r="H426" s="2"/>
      <c r="I426" s="2" t="s">
        <v>74</v>
      </c>
      <c r="J426" s="3" t="s">
        <v>4868</v>
      </c>
      <c r="K426" s="2" t="s">
        <v>2512</v>
      </c>
      <c r="L426" s="2" t="s">
        <v>1553</v>
      </c>
      <c r="M426" s="2"/>
      <c r="N426" s="2"/>
      <c r="O426" s="2"/>
      <c r="P426" s="2" t="n">
        <v>37.9269</v>
      </c>
      <c r="Q426" s="2" t="n">
        <v>29.1279</v>
      </c>
      <c r="R426" s="2" t="s">
        <v>54</v>
      </c>
      <c r="S426" s="2" t="n">
        <v>-270</v>
      </c>
      <c r="T426" s="2" t="s">
        <v>2847</v>
      </c>
      <c r="U426" s="2" t="s">
        <v>139</v>
      </c>
      <c r="V426" s="2" t="s">
        <v>78</v>
      </c>
      <c r="W426" s="2" t="s">
        <v>195</v>
      </c>
      <c r="X426" s="2" t="s">
        <v>246</v>
      </c>
      <c r="Y426" s="2" t="s">
        <v>4869</v>
      </c>
      <c r="Z426" s="2" t="s">
        <v>2168</v>
      </c>
      <c r="AA426" s="2"/>
      <c r="AB426" s="2" t="s">
        <v>63</v>
      </c>
      <c r="AC426" s="2" t="s">
        <v>77</v>
      </c>
      <c r="AD426" s="2"/>
      <c r="AE426" s="3" t="s">
        <v>4870</v>
      </c>
      <c r="AF426" s="3" t="s">
        <v>4871</v>
      </c>
      <c r="AG426" s="2"/>
      <c r="AH426" s="2" t="s">
        <v>54</v>
      </c>
      <c r="AI426" s="3" t="s">
        <v>4872</v>
      </c>
      <c r="AJ426" s="3" t="s">
        <v>4873</v>
      </c>
      <c r="AK426" s="2" t="n">
        <v>638860</v>
      </c>
      <c r="AL426" s="3" t="s">
        <v>4874</v>
      </c>
      <c r="AM426" s="2"/>
      <c r="AN426" s="2"/>
      <c r="AO426" s="3"/>
      <c r="AP426" s="3"/>
      <c r="AQ426" s="2"/>
    </row>
    <row r="427" customFormat="false" ht="35.05" hidden="false" customHeight="false" outlineLevel="0" collapsed="false">
      <c r="A427" s="2" t="n">
        <v>426</v>
      </c>
      <c r="B427" s="2" t="s">
        <v>4875</v>
      </c>
      <c r="C427" s="2" t="s">
        <v>4738</v>
      </c>
      <c r="D427" s="2" t="s">
        <v>4738</v>
      </c>
      <c r="E427" s="2" t="s">
        <v>4876</v>
      </c>
      <c r="F427" s="2" t="s">
        <v>4877</v>
      </c>
      <c r="G427" s="3"/>
      <c r="H427" s="2"/>
      <c r="I427" s="2" t="s">
        <v>74</v>
      </c>
      <c r="J427" s="3" t="s">
        <v>4878</v>
      </c>
      <c r="K427" s="2" t="s">
        <v>2512</v>
      </c>
      <c r="L427" s="2" t="s">
        <v>1553</v>
      </c>
      <c r="M427" s="2"/>
      <c r="N427" s="2"/>
      <c r="O427" s="2"/>
      <c r="P427" s="2" t="n">
        <v>37.7868</v>
      </c>
      <c r="Q427" s="2" t="n">
        <v>29.2599</v>
      </c>
      <c r="R427" s="2" t="s">
        <v>54</v>
      </c>
      <c r="S427" s="2" t="n">
        <v>-150</v>
      </c>
      <c r="T427" s="2" t="s">
        <v>2075</v>
      </c>
      <c r="U427" s="2" t="s">
        <v>56</v>
      </c>
      <c r="V427" s="2" t="s">
        <v>78</v>
      </c>
      <c r="W427" s="2" t="s">
        <v>195</v>
      </c>
      <c r="X427" s="2" t="s">
        <v>289</v>
      </c>
      <c r="Y427" s="2"/>
      <c r="Z427" s="2" t="s">
        <v>170</v>
      </c>
      <c r="AA427" s="2"/>
      <c r="AB427" s="2" t="s">
        <v>63</v>
      </c>
      <c r="AC427" s="2" t="s">
        <v>64</v>
      </c>
      <c r="AD427" s="2"/>
      <c r="AE427" s="3" t="s">
        <v>4879</v>
      </c>
      <c r="AF427" s="3" t="s">
        <v>4880</v>
      </c>
      <c r="AG427" s="2"/>
      <c r="AH427" s="2" t="s">
        <v>54</v>
      </c>
      <c r="AI427" s="3" t="s">
        <v>4881</v>
      </c>
      <c r="AJ427" s="3" t="s">
        <v>4882</v>
      </c>
      <c r="AK427" s="2" t="n">
        <v>638811</v>
      </c>
      <c r="AL427" s="3" t="s">
        <v>4883</v>
      </c>
      <c r="AM427" s="2"/>
      <c r="AN427" s="2"/>
      <c r="AO427" s="3"/>
      <c r="AP427" s="3"/>
      <c r="AQ427" s="2"/>
    </row>
    <row r="428" customFormat="false" ht="46.25" hidden="false" customHeight="false" outlineLevel="0" collapsed="false">
      <c r="A428" s="2" t="n">
        <v>427</v>
      </c>
      <c r="B428" s="2" t="s">
        <v>4884</v>
      </c>
      <c r="C428" s="2" t="s">
        <v>4738</v>
      </c>
      <c r="D428" s="2" t="s">
        <v>4738</v>
      </c>
      <c r="E428" s="2" t="s">
        <v>4885</v>
      </c>
      <c r="F428" s="2" t="s">
        <v>4886</v>
      </c>
      <c r="G428" s="3"/>
      <c r="H428" s="2" t="s">
        <v>4887</v>
      </c>
      <c r="I428" s="2" t="s">
        <v>123</v>
      </c>
      <c r="J428" s="3" t="s">
        <v>4888</v>
      </c>
      <c r="K428" s="2" t="s">
        <v>2512</v>
      </c>
      <c r="L428" s="2" t="s">
        <v>1553</v>
      </c>
      <c r="M428" s="2" t="s">
        <v>4887</v>
      </c>
      <c r="N428" s="2"/>
      <c r="O428" s="2" t="s">
        <v>5</v>
      </c>
      <c r="P428" s="2" t="n">
        <v>37.757</v>
      </c>
      <c r="Q428" s="2" t="n">
        <v>29.264</v>
      </c>
      <c r="R428" s="2" t="s">
        <v>54</v>
      </c>
      <c r="S428" s="2" t="n">
        <v>787</v>
      </c>
      <c r="T428" s="2" t="s">
        <v>464</v>
      </c>
      <c r="U428" s="2" t="s">
        <v>56</v>
      </c>
      <c r="V428" s="2" t="s">
        <v>245</v>
      </c>
      <c r="W428" s="2" t="s">
        <v>304</v>
      </c>
      <c r="X428" s="2" t="s">
        <v>169</v>
      </c>
      <c r="Y428" s="2"/>
      <c r="Z428" s="2" t="s">
        <v>170</v>
      </c>
      <c r="AA428" s="2"/>
      <c r="AB428" s="2" t="s">
        <v>81</v>
      </c>
      <c r="AC428" s="2"/>
      <c r="AD428" s="2"/>
      <c r="AE428" s="3"/>
      <c r="AF428" s="3" t="s">
        <v>4889</v>
      </c>
      <c r="AG428" s="2"/>
      <c r="AH428" s="2" t="s">
        <v>54</v>
      </c>
      <c r="AI428" s="3" t="s">
        <v>4890</v>
      </c>
      <c r="AJ428" s="3" t="s">
        <v>4891</v>
      </c>
      <c r="AK428" s="2"/>
      <c r="AL428" s="3" t="s">
        <v>4892</v>
      </c>
      <c r="AM428" s="2"/>
      <c r="AN428" s="2" t="s">
        <v>200</v>
      </c>
      <c r="AO428" s="3" t="s">
        <v>4893</v>
      </c>
      <c r="AP428" s="3" t="s">
        <v>4894</v>
      </c>
      <c r="AQ428" s="2" t="s">
        <v>89</v>
      </c>
    </row>
    <row r="429" customFormat="false" ht="23.85" hidden="false" customHeight="false" outlineLevel="0" collapsed="false">
      <c r="A429" s="2" t="n">
        <v>428</v>
      </c>
      <c r="B429" s="2" t="s">
        <v>4895</v>
      </c>
      <c r="C429" s="2" t="s">
        <v>4738</v>
      </c>
      <c r="D429" s="2" t="s">
        <v>4738</v>
      </c>
      <c r="E429" s="2" t="s">
        <v>4896</v>
      </c>
      <c r="F429" s="2" t="s">
        <v>4897</v>
      </c>
      <c r="G429" s="3" t="s">
        <v>4898</v>
      </c>
      <c r="H429" s="2"/>
      <c r="I429" s="2" t="s">
        <v>74</v>
      </c>
      <c r="J429" s="3" t="s">
        <v>4899</v>
      </c>
      <c r="K429" s="2" t="s">
        <v>2512</v>
      </c>
      <c r="L429" s="2" t="s">
        <v>1553</v>
      </c>
      <c r="M429" s="2"/>
      <c r="N429" s="2"/>
      <c r="O429" s="2"/>
      <c r="P429" s="2" t="n">
        <v>38.0956</v>
      </c>
      <c r="Q429" s="2" t="n">
        <v>29.2986</v>
      </c>
      <c r="R429" s="2" t="s">
        <v>95</v>
      </c>
      <c r="S429" s="2" t="n">
        <v>451</v>
      </c>
      <c r="T429" s="2" t="s">
        <v>2373</v>
      </c>
      <c r="U429" s="2" t="s">
        <v>56</v>
      </c>
      <c r="V429" s="2" t="s">
        <v>245</v>
      </c>
      <c r="W429" s="2" t="s">
        <v>304</v>
      </c>
      <c r="X429" s="2" t="s">
        <v>289</v>
      </c>
      <c r="Y429" s="2"/>
      <c r="Z429" s="2" t="s">
        <v>170</v>
      </c>
      <c r="AA429" s="2"/>
      <c r="AB429" s="2" t="s">
        <v>63</v>
      </c>
      <c r="AC429" s="2" t="s">
        <v>64</v>
      </c>
      <c r="AD429" s="2"/>
      <c r="AE429" s="3" t="s">
        <v>4900</v>
      </c>
      <c r="AF429" s="3" t="s">
        <v>4901</v>
      </c>
      <c r="AG429" s="2"/>
      <c r="AH429" s="2" t="s">
        <v>113</v>
      </c>
      <c r="AI429" s="3" t="s">
        <v>4902</v>
      </c>
      <c r="AJ429" s="3" t="s">
        <v>4903</v>
      </c>
      <c r="AK429" s="2" t="n">
        <v>609476</v>
      </c>
      <c r="AL429" s="3" t="s">
        <v>4904</v>
      </c>
      <c r="AM429" s="2"/>
      <c r="AN429" s="2"/>
      <c r="AO429" s="3"/>
      <c r="AP429" s="3"/>
      <c r="AQ429" s="2"/>
    </row>
    <row r="430" customFormat="false" ht="23.85" hidden="false" customHeight="false" outlineLevel="0" collapsed="false">
      <c r="A430" s="2" t="n">
        <v>429</v>
      </c>
      <c r="B430" s="2" t="s">
        <v>4905</v>
      </c>
      <c r="C430" s="2" t="s">
        <v>4738</v>
      </c>
      <c r="D430" s="2" t="s">
        <v>4738</v>
      </c>
      <c r="E430" s="2" t="s">
        <v>4906</v>
      </c>
      <c r="F430" s="2" t="s">
        <v>4907</v>
      </c>
      <c r="G430" s="3" t="s">
        <v>4908</v>
      </c>
      <c r="H430" s="2"/>
      <c r="I430" s="2" t="s">
        <v>74</v>
      </c>
      <c r="J430" s="3" t="s">
        <v>4909</v>
      </c>
      <c r="K430" s="2" t="s">
        <v>2512</v>
      </c>
      <c r="L430" s="2" t="s">
        <v>1553</v>
      </c>
      <c r="M430" s="2"/>
      <c r="N430" s="2"/>
      <c r="O430" s="2"/>
      <c r="P430" s="2" t="n">
        <v>38.0296</v>
      </c>
      <c r="Q430" s="2" t="n">
        <v>29.455</v>
      </c>
      <c r="R430" s="2" t="s">
        <v>95</v>
      </c>
      <c r="S430" s="2" t="n">
        <v>527</v>
      </c>
      <c r="T430" s="2" t="s">
        <v>330</v>
      </c>
      <c r="U430" s="2" t="s">
        <v>56</v>
      </c>
      <c r="V430" s="2" t="s">
        <v>78</v>
      </c>
      <c r="W430" s="2" t="s">
        <v>304</v>
      </c>
      <c r="X430" s="2" t="s">
        <v>289</v>
      </c>
      <c r="Y430" s="2"/>
      <c r="Z430" s="2" t="s">
        <v>170</v>
      </c>
      <c r="AA430" s="2"/>
      <c r="AB430" s="2" t="s">
        <v>63</v>
      </c>
      <c r="AC430" s="2" t="s">
        <v>64</v>
      </c>
      <c r="AD430" s="2"/>
      <c r="AE430" s="3" t="s">
        <v>4900</v>
      </c>
      <c r="AF430" s="3" t="s">
        <v>4910</v>
      </c>
      <c r="AG430" s="2"/>
      <c r="AH430" s="2" t="s">
        <v>113</v>
      </c>
      <c r="AI430" s="3" t="s">
        <v>4911</v>
      </c>
      <c r="AJ430" s="3" t="s">
        <v>4912</v>
      </c>
      <c r="AK430" s="2" t="n">
        <v>638964</v>
      </c>
      <c r="AL430" s="3" t="s">
        <v>4913</v>
      </c>
      <c r="AM430" s="2"/>
      <c r="AN430" s="2"/>
      <c r="AO430" s="3"/>
      <c r="AP430" s="3"/>
      <c r="AQ430" s="2"/>
    </row>
    <row r="431" customFormat="false" ht="46.25" hidden="false" customHeight="false" outlineLevel="0" collapsed="false">
      <c r="A431" s="2" t="n">
        <v>430</v>
      </c>
      <c r="B431" s="2" t="s">
        <v>4914</v>
      </c>
      <c r="C431" s="2" t="s">
        <v>4738</v>
      </c>
      <c r="D431" s="2" t="s">
        <v>4738</v>
      </c>
      <c r="E431" s="2" t="s">
        <v>4915</v>
      </c>
      <c r="F431" s="2" t="s">
        <v>4916</v>
      </c>
      <c r="G431" s="3"/>
      <c r="H431" s="2"/>
      <c r="I431" s="2" t="s">
        <v>74</v>
      </c>
      <c r="J431" s="3" t="s">
        <v>4917</v>
      </c>
      <c r="K431" s="2" t="s">
        <v>2512</v>
      </c>
      <c r="L431" s="2" t="s">
        <v>1553</v>
      </c>
      <c r="M431" s="2"/>
      <c r="N431" s="2"/>
      <c r="O431" s="2"/>
      <c r="P431" s="2" t="n">
        <v>38.2339</v>
      </c>
      <c r="Q431" s="2" t="n">
        <v>29.4119</v>
      </c>
      <c r="R431" s="2" t="s">
        <v>95</v>
      </c>
      <c r="S431" s="2" t="n">
        <v>-175</v>
      </c>
      <c r="T431" s="2" t="s">
        <v>4918</v>
      </c>
      <c r="U431" s="2" t="s">
        <v>139</v>
      </c>
      <c r="V431" s="2" t="s">
        <v>97</v>
      </c>
      <c r="W431" s="2" t="s">
        <v>195</v>
      </c>
      <c r="X431" s="2" t="s">
        <v>246</v>
      </c>
      <c r="Y431" s="2" t="s">
        <v>4919</v>
      </c>
      <c r="Z431" s="2" t="s">
        <v>2215</v>
      </c>
      <c r="AA431" s="2"/>
      <c r="AB431" s="2" t="s">
        <v>81</v>
      </c>
      <c r="AC431" s="2"/>
      <c r="AD431" s="2"/>
      <c r="AE431" s="3"/>
      <c r="AF431" s="3" t="s">
        <v>4920</v>
      </c>
      <c r="AG431" s="2"/>
      <c r="AH431" s="2" t="s">
        <v>54</v>
      </c>
      <c r="AI431" s="3" t="s">
        <v>4921</v>
      </c>
      <c r="AJ431" s="3" t="s">
        <v>4922</v>
      </c>
      <c r="AK431" s="2" t="n">
        <v>609363</v>
      </c>
      <c r="AL431" s="3" t="s">
        <v>4923</v>
      </c>
      <c r="AM431" s="2"/>
      <c r="AN431" s="2"/>
      <c r="AO431" s="3" t="s">
        <v>4924</v>
      </c>
      <c r="AP431" s="3" t="s">
        <v>4925</v>
      </c>
      <c r="AQ431" s="2" t="s">
        <v>151</v>
      </c>
    </row>
    <row r="432" customFormat="false" ht="35.05" hidden="false" customHeight="false" outlineLevel="0" collapsed="false">
      <c r="A432" s="2" t="n">
        <v>431</v>
      </c>
      <c r="B432" s="2" t="s">
        <v>4926</v>
      </c>
      <c r="C432" s="2" t="s">
        <v>4738</v>
      </c>
      <c r="D432" s="2" t="s">
        <v>4738</v>
      </c>
      <c r="E432" s="2" t="s">
        <v>4927</v>
      </c>
      <c r="F432" s="2" t="s">
        <v>4928</v>
      </c>
      <c r="G432" s="3" t="s">
        <v>4929</v>
      </c>
      <c r="H432" s="2"/>
      <c r="I432" s="2" t="s">
        <v>93</v>
      </c>
      <c r="J432" s="3" t="s">
        <v>4930</v>
      </c>
      <c r="K432" s="2" t="s">
        <v>2512</v>
      </c>
      <c r="L432" s="2" t="s">
        <v>1553</v>
      </c>
      <c r="M432" s="2"/>
      <c r="N432" s="2"/>
      <c r="O432" s="2"/>
      <c r="P432" s="2" t="n">
        <v>38.1588</v>
      </c>
      <c r="Q432" s="2" t="n">
        <v>29.4473</v>
      </c>
      <c r="R432" s="2" t="s">
        <v>637</v>
      </c>
      <c r="S432" s="2" t="n">
        <v>138</v>
      </c>
      <c r="T432" s="2" t="s">
        <v>2103</v>
      </c>
      <c r="U432" s="2" t="s">
        <v>56</v>
      </c>
      <c r="V432" s="2" t="s">
        <v>57</v>
      </c>
      <c r="W432" s="2" t="s">
        <v>140</v>
      </c>
      <c r="X432" s="2" t="s">
        <v>289</v>
      </c>
      <c r="Y432" s="2"/>
      <c r="Z432" s="2" t="s">
        <v>170</v>
      </c>
      <c r="AA432" s="2"/>
      <c r="AB432" s="2" t="s">
        <v>63</v>
      </c>
      <c r="AC432" s="2" t="s">
        <v>64</v>
      </c>
      <c r="AD432" s="2"/>
      <c r="AE432" s="3" t="s">
        <v>4931</v>
      </c>
      <c r="AF432" s="3" t="s">
        <v>4932</v>
      </c>
      <c r="AG432" s="2"/>
      <c r="AH432" s="2" t="s">
        <v>263</v>
      </c>
      <c r="AI432" s="3" t="s">
        <v>4933</v>
      </c>
      <c r="AJ432" s="3" t="s">
        <v>4934</v>
      </c>
      <c r="AK432" s="2" t="n">
        <v>609410</v>
      </c>
      <c r="AL432" s="3" t="s">
        <v>4935</v>
      </c>
      <c r="AM432" s="2"/>
      <c r="AN432" s="2"/>
      <c r="AO432" s="3"/>
      <c r="AP432" s="3"/>
      <c r="AQ432" s="2"/>
    </row>
    <row r="433" customFormat="false" ht="35.05" hidden="false" customHeight="false" outlineLevel="0" collapsed="false">
      <c r="A433" s="2" t="n">
        <v>432</v>
      </c>
      <c r="B433" s="2" t="s">
        <v>4936</v>
      </c>
      <c r="C433" s="2" t="s">
        <v>4738</v>
      </c>
      <c r="D433" s="2" t="s">
        <v>4738</v>
      </c>
      <c r="E433" s="2" t="s">
        <v>4937</v>
      </c>
      <c r="F433" s="2" t="s">
        <v>4938</v>
      </c>
      <c r="G433" s="3" t="s">
        <v>4939</v>
      </c>
      <c r="H433" s="2" t="s">
        <v>4940</v>
      </c>
      <c r="I433" s="2" t="s">
        <v>49</v>
      </c>
      <c r="J433" s="3" t="s">
        <v>4941</v>
      </c>
      <c r="K433" s="2" t="s">
        <v>2512</v>
      </c>
      <c r="L433" s="2" t="s">
        <v>1553</v>
      </c>
      <c r="M433" s="2"/>
      <c r="N433" s="2"/>
      <c r="O433" s="2" t="s">
        <v>53</v>
      </c>
      <c r="P433" s="2" t="n">
        <v>38.2511</v>
      </c>
      <c r="Q433" s="2" t="n">
        <v>29.3073</v>
      </c>
      <c r="R433" s="2" t="s">
        <v>95</v>
      </c>
      <c r="S433" s="2" t="n">
        <v>450</v>
      </c>
      <c r="T433" s="2" t="s">
        <v>4942</v>
      </c>
      <c r="U433" s="2" t="s">
        <v>139</v>
      </c>
      <c r="V433" s="2" t="s">
        <v>57</v>
      </c>
      <c r="W433" s="2" t="s">
        <v>304</v>
      </c>
      <c r="X433" s="2" t="s">
        <v>141</v>
      </c>
      <c r="Y433" s="2" t="s">
        <v>4943</v>
      </c>
      <c r="Z433" s="2" t="s">
        <v>559</v>
      </c>
      <c r="AA433" s="2"/>
      <c r="AB433" s="2" t="s">
        <v>63</v>
      </c>
      <c r="AC433" s="2" t="s">
        <v>64</v>
      </c>
      <c r="AD433" s="2"/>
      <c r="AE433" s="3" t="s">
        <v>4944</v>
      </c>
      <c r="AF433" s="3" t="s">
        <v>4945</v>
      </c>
      <c r="AG433" s="2"/>
      <c r="AH433" s="2" t="s">
        <v>113</v>
      </c>
      <c r="AI433" s="3" t="s">
        <v>4946</v>
      </c>
      <c r="AJ433" s="3" t="s">
        <v>4947</v>
      </c>
      <c r="AK433" s="2" t="n">
        <v>609478</v>
      </c>
      <c r="AL433" s="3" t="s">
        <v>4948</v>
      </c>
      <c r="AM433" s="2"/>
      <c r="AN433" s="2"/>
      <c r="AO433" s="3"/>
      <c r="AP433" s="3"/>
      <c r="AQ433" s="2"/>
    </row>
    <row r="434" customFormat="false" ht="23.85" hidden="false" customHeight="false" outlineLevel="0" collapsed="false">
      <c r="A434" s="2" t="n">
        <v>433</v>
      </c>
      <c r="B434" s="2" t="s">
        <v>4949</v>
      </c>
      <c r="C434" s="2" t="s">
        <v>4738</v>
      </c>
      <c r="D434" s="2" t="s">
        <v>4738</v>
      </c>
      <c r="E434" s="2" t="s">
        <v>4950</v>
      </c>
      <c r="F434" s="2" t="s">
        <v>4951</v>
      </c>
      <c r="G434" s="3" t="s">
        <v>4952</v>
      </c>
      <c r="H434" s="2"/>
      <c r="I434" s="2" t="s">
        <v>93</v>
      </c>
      <c r="J434" s="3" t="s">
        <v>4953</v>
      </c>
      <c r="K434" s="2" t="s">
        <v>2512</v>
      </c>
      <c r="L434" s="2" t="s">
        <v>1553</v>
      </c>
      <c r="M434" s="2"/>
      <c r="N434" s="2"/>
      <c r="O434" s="2"/>
      <c r="P434" s="2" t="n">
        <v>38.15</v>
      </c>
      <c r="Q434" s="2" t="n">
        <v>29.6</v>
      </c>
      <c r="R434" s="2" t="s">
        <v>637</v>
      </c>
      <c r="S434" s="2" t="n">
        <v>4</v>
      </c>
      <c r="T434" s="2" t="s">
        <v>4954</v>
      </c>
      <c r="U434" s="2" t="s">
        <v>56</v>
      </c>
      <c r="V434" s="2" t="s">
        <v>57</v>
      </c>
      <c r="W434" s="2" t="s">
        <v>140</v>
      </c>
      <c r="X434" s="2" t="s">
        <v>289</v>
      </c>
      <c r="Y434" s="2"/>
      <c r="Z434" s="2" t="s">
        <v>170</v>
      </c>
      <c r="AA434" s="2"/>
      <c r="AB434" s="2" t="s">
        <v>63</v>
      </c>
      <c r="AC434" s="2" t="s">
        <v>64</v>
      </c>
      <c r="AD434" s="2"/>
      <c r="AE434" s="3" t="s">
        <v>4900</v>
      </c>
      <c r="AF434" s="3" t="s">
        <v>4955</v>
      </c>
      <c r="AG434" s="2"/>
      <c r="AH434" s="2" t="s">
        <v>113</v>
      </c>
      <c r="AI434" s="3" t="s">
        <v>4956</v>
      </c>
      <c r="AJ434" s="3" t="s">
        <v>4957</v>
      </c>
      <c r="AK434" s="2" t="n">
        <v>614833</v>
      </c>
      <c r="AL434" s="3" t="s">
        <v>4958</v>
      </c>
      <c r="AM434" s="2"/>
      <c r="AN434" s="2"/>
      <c r="AO434" s="3"/>
      <c r="AP434" s="3"/>
      <c r="AQ434" s="2"/>
    </row>
    <row r="435" customFormat="false" ht="35.05" hidden="false" customHeight="false" outlineLevel="0" collapsed="false">
      <c r="A435" s="2" t="n">
        <v>434</v>
      </c>
      <c r="B435" s="2" t="s">
        <v>4959</v>
      </c>
      <c r="C435" s="2" t="s">
        <v>4738</v>
      </c>
      <c r="D435" s="2" t="s">
        <v>4738</v>
      </c>
      <c r="E435" s="2" t="s">
        <v>4960</v>
      </c>
      <c r="F435" s="2" t="s">
        <v>4961</v>
      </c>
      <c r="G435" s="3" t="s">
        <v>4962</v>
      </c>
      <c r="H435" s="2"/>
      <c r="I435" s="2" t="s">
        <v>93</v>
      </c>
      <c r="J435" s="3" t="s">
        <v>4963</v>
      </c>
      <c r="K435" s="2" t="s">
        <v>2512</v>
      </c>
      <c r="L435" s="2" t="s">
        <v>1553</v>
      </c>
      <c r="M435" s="2"/>
      <c r="N435" s="2"/>
      <c r="O435" s="2"/>
      <c r="P435" s="2" t="n">
        <v>38.25</v>
      </c>
      <c r="Q435" s="2" t="n">
        <v>29.75</v>
      </c>
      <c r="R435" s="2" t="s">
        <v>637</v>
      </c>
      <c r="S435" s="2" t="n">
        <v>-200</v>
      </c>
      <c r="T435" s="2" t="s">
        <v>194</v>
      </c>
      <c r="U435" s="2" t="s">
        <v>56</v>
      </c>
      <c r="V435" s="2" t="s">
        <v>78</v>
      </c>
      <c r="W435" s="2" t="s">
        <v>195</v>
      </c>
      <c r="X435" s="2" t="s">
        <v>246</v>
      </c>
      <c r="Y435" s="2" t="s">
        <v>4964</v>
      </c>
      <c r="Z435" s="2" t="s">
        <v>2168</v>
      </c>
      <c r="AA435" s="2"/>
      <c r="AB435" s="2" t="s">
        <v>63</v>
      </c>
      <c r="AC435" s="2" t="s">
        <v>64</v>
      </c>
      <c r="AD435" s="2"/>
      <c r="AE435" s="3" t="s">
        <v>4965</v>
      </c>
      <c r="AF435" s="3" t="s">
        <v>4966</v>
      </c>
      <c r="AG435" s="2"/>
      <c r="AH435" s="2" t="s">
        <v>113</v>
      </c>
      <c r="AI435" s="3" t="s">
        <v>4967</v>
      </c>
      <c r="AJ435" s="3" t="s">
        <v>4968</v>
      </c>
      <c r="AK435" s="2"/>
      <c r="AL435" s="3" t="s">
        <v>4969</v>
      </c>
      <c r="AM435" s="2"/>
      <c r="AN435" s="2"/>
      <c r="AO435" s="3"/>
      <c r="AP435" s="3"/>
      <c r="AQ435" s="2"/>
    </row>
    <row r="436" customFormat="false" ht="46.25" hidden="false" customHeight="false" outlineLevel="0" collapsed="false">
      <c r="A436" s="2" t="n">
        <v>435</v>
      </c>
      <c r="B436" s="2" t="s">
        <v>4970</v>
      </c>
      <c r="C436" s="2" t="s">
        <v>4738</v>
      </c>
      <c r="D436" s="2" t="s">
        <v>4738</v>
      </c>
      <c r="E436" s="2" t="s">
        <v>4971</v>
      </c>
      <c r="F436" s="2" t="s">
        <v>4972</v>
      </c>
      <c r="G436" s="3" t="s">
        <v>4973</v>
      </c>
      <c r="H436" s="2" t="s">
        <v>4974</v>
      </c>
      <c r="I436" s="2" t="s">
        <v>123</v>
      </c>
      <c r="J436" s="3" t="s">
        <v>4975</v>
      </c>
      <c r="K436" s="2" t="s">
        <v>2512</v>
      </c>
      <c r="L436" s="2" t="s">
        <v>1553</v>
      </c>
      <c r="M436" s="2"/>
      <c r="N436" s="2"/>
      <c r="O436" s="2" t="s">
        <v>53</v>
      </c>
      <c r="P436" s="2" t="n">
        <v>38.32</v>
      </c>
      <c r="Q436" s="2" t="n">
        <v>29.8486</v>
      </c>
      <c r="R436" s="2" t="s">
        <v>54</v>
      </c>
      <c r="S436" s="2" t="n">
        <v>-150</v>
      </c>
      <c r="T436" s="2" t="s">
        <v>2075</v>
      </c>
      <c r="U436" s="2" t="s">
        <v>139</v>
      </c>
      <c r="V436" s="2" t="s">
        <v>97</v>
      </c>
      <c r="W436" s="2" t="s">
        <v>195</v>
      </c>
      <c r="X436" s="2" t="s">
        <v>246</v>
      </c>
      <c r="Y436" s="2" t="s">
        <v>4976</v>
      </c>
      <c r="Z436" s="2" t="s">
        <v>2215</v>
      </c>
      <c r="AA436" s="2"/>
      <c r="AB436" s="2" t="s">
        <v>81</v>
      </c>
      <c r="AC436" s="2"/>
      <c r="AD436" s="2"/>
      <c r="AE436" s="3"/>
      <c r="AF436" s="3" t="s">
        <v>4977</v>
      </c>
      <c r="AG436" s="2"/>
      <c r="AH436" s="2" t="s">
        <v>54</v>
      </c>
      <c r="AI436" s="3" t="s">
        <v>4978</v>
      </c>
      <c r="AJ436" s="3" t="s">
        <v>4979</v>
      </c>
      <c r="AK436" s="2" t="n">
        <v>609382</v>
      </c>
      <c r="AL436" s="3" t="s">
        <v>4980</v>
      </c>
      <c r="AM436" s="2"/>
      <c r="AN436" s="2"/>
      <c r="AO436" s="3" t="s">
        <v>4981</v>
      </c>
      <c r="AP436" s="3" t="s">
        <v>4982</v>
      </c>
      <c r="AQ436" s="2" t="s">
        <v>151</v>
      </c>
    </row>
    <row r="437" customFormat="false" ht="23.85" hidden="false" customHeight="false" outlineLevel="0" collapsed="false">
      <c r="A437" s="2" t="n">
        <v>436</v>
      </c>
      <c r="B437" s="2" t="s">
        <v>4983</v>
      </c>
      <c r="C437" s="2" t="s">
        <v>4738</v>
      </c>
      <c r="D437" s="2" t="s">
        <v>4738</v>
      </c>
      <c r="E437" s="2" t="s">
        <v>4984</v>
      </c>
      <c r="F437" s="2" t="s">
        <v>4985</v>
      </c>
      <c r="G437" s="3" t="s">
        <v>4986</v>
      </c>
      <c r="H437" s="2" t="s">
        <v>4987</v>
      </c>
      <c r="I437" s="2" t="s">
        <v>49</v>
      </c>
      <c r="J437" s="3" t="s">
        <v>4988</v>
      </c>
      <c r="K437" s="2" t="s">
        <v>4775</v>
      </c>
      <c r="L437" s="2" t="s">
        <v>1553</v>
      </c>
      <c r="M437" s="2"/>
      <c r="N437" s="2"/>
      <c r="O437" s="2" t="s">
        <v>53</v>
      </c>
      <c r="P437" s="2" t="n">
        <v>37.8892</v>
      </c>
      <c r="Q437" s="2" t="n">
        <v>29.8094</v>
      </c>
      <c r="R437" s="2" t="s">
        <v>95</v>
      </c>
      <c r="S437" s="2" t="n">
        <v>100</v>
      </c>
      <c r="T437" s="2" t="s">
        <v>2260</v>
      </c>
      <c r="U437" s="2" t="s">
        <v>56</v>
      </c>
      <c r="V437" s="2" t="s">
        <v>78</v>
      </c>
      <c r="W437" s="2" t="s">
        <v>140</v>
      </c>
      <c r="X437" s="2" t="s">
        <v>289</v>
      </c>
      <c r="Y437" s="2"/>
      <c r="Z437" s="2" t="s">
        <v>170</v>
      </c>
      <c r="AA437" s="2"/>
      <c r="AB437" s="2" t="s">
        <v>63</v>
      </c>
      <c r="AC437" s="2" t="s">
        <v>64</v>
      </c>
      <c r="AD437" s="2"/>
      <c r="AE437" s="3" t="s">
        <v>4989</v>
      </c>
      <c r="AF437" s="3" t="s">
        <v>4990</v>
      </c>
      <c r="AG437" s="2"/>
      <c r="AH437" s="2" t="s">
        <v>113</v>
      </c>
      <c r="AI437" s="3" t="s">
        <v>4991</v>
      </c>
      <c r="AJ437" s="3" t="s">
        <v>4992</v>
      </c>
      <c r="AK437" s="2" t="n">
        <v>638743</v>
      </c>
      <c r="AL437" s="3" t="s">
        <v>4993</v>
      </c>
      <c r="AM437" s="2"/>
      <c r="AN437" s="2"/>
      <c r="AO437" s="3"/>
      <c r="AP437" s="3"/>
      <c r="AQ437" s="2"/>
    </row>
    <row r="438" customFormat="false" ht="46.25" hidden="false" customHeight="false" outlineLevel="0" collapsed="false">
      <c r="A438" s="2" t="n">
        <v>437</v>
      </c>
      <c r="B438" s="2" t="s">
        <v>4994</v>
      </c>
      <c r="C438" s="2" t="s">
        <v>4738</v>
      </c>
      <c r="D438" s="2" t="s">
        <v>4738</v>
      </c>
      <c r="E438" s="2" t="s">
        <v>4995</v>
      </c>
      <c r="F438" s="2" t="s">
        <v>4996</v>
      </c>
      <c r="G438" s="3" t="s">
        <v>4997</v>
      </c>
      <c r="H438" s="2" t="s">
        <v>4998</v>
      </c>
      <c r="I438" s="2" t="s">
        <v>123</v>
      </c>
      <c r="J438" s="3" t="s">
        <v>4999</v>
      </c>
      <c r="K438" s="2" t="s">
        <v>4775</v>
      </c>
      <c r="L438" s="2" t="s">
        <v>1553</v>
      </c>
      <c r="M438" s="2" t="s">
        <v>4998</v>
      </c>
      <c r="N438" s="2"/>
      <c r="O438" s="2" t="s">
        <v>53</v>
      </c>
      <c r="P438" s="2" t="n">
        <v>38.0701</v>
      </c>
      <c r="Q438" s="2" t="n">
        <v>30.1716</v>
      </c>
      <c r="R438" s="2" t="s">
        <v>54</v>
      </c>
      <c r="S438" s="2" t="n">
        <v>-270</v>
      </c>
      <c r="T438" s="2" t="s">
        <v>2847</v>
      </c>
      <c r="U438" s="2" t="s">
        <v>139</v>
      </c>
      <c r="V438" s="2" t="s">
        <v>57</v>
      </c>
      <c r="W438" s="2" t="s">
        <v>195</v>
      </c>
      <c r="X438" s="2" t="s">
        <v>246</v>
      </c>
      <c r="Y438" s="2" t="s">
        <v>2473</v>
      </c>
      <c r="Z438" s="2" t="s">
        <v>2168</v>
      </c>
      <c r="AA438" s="2"/>
      <c r="AB438" s="2" t="s">
        <v>63</v>
      </c>
      <c r="AC438" s="2" t="s">
        <v>452</v>
      </c>
      <c r="AD438" s="2"/>
      <c r="AE438" s="3" t="s">
        <v>5000</v>
      </c>
      <c r="AF438" s="3" t="s">
        <v>5001</v>
      </c>
      <c r="AG438" s="2"/>
      <c r="AH438" s="2" t="s">
        <v>54</v>
      </c>
      <c r="AI438" s="3" t="s">
        <v>5002</v>
      </c>
      <c r="AJ438" s="3" t="s">
        <v>5003</v>
      </c>
      <c r="AK438" s="2" t="n">
        <v>638751</v>
      </c>
      <c r="AL438" s="3" t="s">
        <v>5004</v>
      </c>
      <c r="AM438" s="2"/>
      <c r="AN438" s="2"/>
      <c r="AO438" s="3"/>
      <c r="AP438" s="3"/>
      <c r="AQ438" s="2"/>
    </row>
    <row r="439" customFormat="false" ht="57.45" hidden="false" customHeight="false" outlineLevel="0" collapsed="false">
      <c r="A439" s="2" t="n">
        <v>438</v>
      </c>
      <c r="B439" s="2" t="s">
        <v>5005</v>
      </c>
      <c r="C439" s="2" t="s">
        <v>4738</v>
      </c>
      <c r="D439" s="2" t="s">
        <v>4738</v>
      </c>
      <c r="E439" s="2" t="s">
        <v>5006</v>
      </c>
      <c r="F439" s="2" t="s">
        <v>1940</v>
      </c>
      <c r="G439" s="3"/>
      <c r="H439" s="2"/>
      <c r="I439" s="2" t="s">
        <v>74</v>
      </c>
      <c r="J439" s="3" t="s">
        <v>5007</v>
      </c>
      <c r="K439" s="2" t="s">
        <v>4775</v>
      </c>
      <c r="L439" s="2" t="s">
        <v>1553</v>
      </c>
      <c r="M439" s="2"/>
      <c r="N439" s="2"/>
      <c r="O439" s="2"/>
      <c r="P439" s="2" t="n">
        <v>38.2412</v>
      </c>
      <c r="Q439" s="2" t="n">
        <v>30.4906</v>
      </c>
      <c r="R439" s="2" t="s">
        <v>95</v>
      </c>
      <c r="S439" s="2" t="n">
        <v>0</v>
      </c>
      <c r="T439" s="2" t="s">
        <v>5008</v>
      </c>
      <c r="U439" s="2" t="s">
        <v>56</v>
      </c>
      <c r="V439" s="2" t="s">
        <v>78</v>
      </c>
      <c r="W439" s="2" t="s">
        <v>140</v>
      </c>
      <c r="X439" s="2" t="s">
        <v>169</v>
      </c>
      <c r="Y439" s="2"/>
      <c r="Z439" s="2" t="s">
        <v>170</v>
      </c>
      <c r="AA439" s="2"/>
      <c r="AB439" s="2" t="s">
        <v>81</v>
      </c>
      <c r="AC439" s="2"/>
      <c r="AD439" s="2"/>
      <c r="AE439" s="3"/>
      <c r="AF439" s="3" t="s">
        <v>5009</v>
      </c>
      <c r="AG439" s="2"/>
      <c r="AH439" s="2" t="s">
        <v>54</v>
      </c>
      <c r="AI439" s="3" t="s">
        <v>5010</v>
      </c>
      <c r="AJ439" s="3" t="s">
        <v>5011</v>
      </c>
      <c r="AK439" s="2" t="n">
        <v>609471</v>
      </c>
      <c r="AL439" s="3" t="s">
        <v>5012</v>
      </c>
      <c r="AM439" s="2"/>
      <c r="AN439" s="2"/>
      <c r="AO439" s="3" t="s">
        <v>5013</v>
      </c>
      <c r="AP439" s="3" t="s">
        <v>5014</v>
      </c>
      <c r="AQ439" s="2" t="s">
        <v>89</v>
      </c>
    </row>
    <row r="440" customFormat="false" ht="23.85" hidden="false" customHeight="false" outlineLevel="0" collapsed="false">
      <c r="A440" s="2" t="n">
        <v>439</v>
      </c>
      <c r="B440" s="2" t="s">
        <v>5015</v>
      </c>
      <c r="C440" s="2" t="s">
        <v>4738</v>
      </c>
      <c r="D440" s="2" t="s">
        <v>4738</v>
      </c>
      <c r="E440" s="2" t="s">
        <v>5016</v>
      </c>
      <c r="F440" s="2" t="s">
        <v>5017</v>
      </c>
      <c r="G440" s="3"/>
      <c r="H440" s="2" t="s">
        <v>5018</v>
      </c>
      <c r="I440" s="2" t="s">
        <v>49</v>
      </c>
      <c r="J440" s="3" t="s">
        <v>5019</v>
      </c>
      <c r="K440" s="2" t="s">
        <v>4775</v>
      </c>
      <c r="L440" s="2" t="s">
        <v>1553</v>
      </c>
      <c r="M440" s="2"/>
      <c r="N440" s="2"/>
      <c r="O440" s="2" t="s">
        <v>53</v>
      </c>
      <c r="P440" s="2" t="n">
        <v>38.3324</v>
      </c>
      <c r="Q440" s="2" t="n">
        <v>30.1486</v>
      </c>
      <c r="R440" s="2" t="s">
        <v>95</v>
      </c>
      <c r="S440" s="2" t="n">
        <v>100</v>
      </c>
      <c r="T440" s="2" t="s">
        <v>2260</v>
      </c>
      <c r="U440" s="2" t="s">
        <v>56</v>
      </c>
      <c r="V440" s="2" t="s">
        <v>78</v>
      </c>
      <c r="W440" s="2" t="s">
        <v>140</v>
      </c>
      <c r="X440" s="2" t="s">
        <v>289</v>
      </c>
      <c r="Y440" s="2"/>
      <c r="Z440" s="2" t="s">
        <v>170</v>
      </c>
      <c r="AA440" s="2"/>
      <c r="AB440" s="2" t="s">
        <v>63</v>
      </c>
      <c r="AC440" s="2" t="s">
        <v>64</v>
      </c>
      <c r="AD440" s="2"/>
      <c r="AE440" s="3" t="s">
        <v>4900</v>
      </c>
      <c r="AF440" s="3" t="s">
        <v>5020</v>
      </c>
      <c r="AG440" s="2"/>
      <c r="AH440" s="2" t="s">
        <v>54</v>
      </c>
      <c r="AI440" s="3" t="s">
        <v>5021</v>
      </c>
      <c r="AJ440" s="3" t="s">
        <v>5022</v>
      </c>
      <c r="AK440" s="2" t="n">
        <v>609535</v>
      </c>
      <c r="AL440" s="3" t="s">
        <v>5023</v>
      </c>
      <c r="AM440" s="2"/>
      <c r="AN440" s="2"/>
      <c r="AO440" s="3"/>
      <c r="AP440" s="3"/>
      <c r="AQ440" s="2"/>
    </row>
    <row r="441" customFormat="false" ht="46.25" hidden="false" customHeight="false" outlineLevel="0" collapsed="false">
      <c r="A441" s="2" t="n">
        <v>440</v>
      </c>
      <c r="B441" s="2" t="s">
        <v>5024</v>
      </c>
      <c r="C441" s="2" t="s">
        <v>4738</v>
      </c>
      <c r="D441" s="2" t="s">
        <v>4738</v>
      </c>
      <c r="E441" s="2" t="s">
        <v>5025</v>
      </c>
      <c r="F441" s="2" t="s">
        <v>5026</v>
      </c>
      <c r="G441" s="3" t="s">
        <v>5027</v>
      </c>
      <c r="H441" s="2" t="s">
        <v>5028</v>
      </c>
      <c r="I441" s="2" t="s">
        <v>49</v>
      </c>
      <c r="J441" s="3" t="s">
        <v>5029</v>
      </c>
      <c r="K441" s="2" t="s">
        <v>4775</v>
      </c>
      <c r="L441" s="2" t="s">
        <v>1553</v>
      </c>
      <c r="M441" s="2"/>
      <c r="N441" s="2"/>
      <c r="O441" s="2" t="s">
        <v>53</v>
      </c>
      <c r="P441" s="2" t="n">
        <v>38.4824</v>
      </c>
      <c r="Q441" s="2" t="n">
        <v>30.105</v>
      </c>
      <c r="R441" s="2" t="s">
        <v>95</v>
      </c>
      <c r="S441" s="2" t="n">
        <v>0</v>
      </c>
      <c r="T441" s="2" t="s">
        <v>5008</v>
      </c>
      <c r="U441" s="2" t="s">
        <v>56</v>
      </c>
      <c r="V441" s="2" t="s">
        <v>78</v>
      </c>
      <c r="W441" s="2" t="s">
        <v>140</v>
      </c>
      <c r="X441" s="2" t="s">
        <v>169</v>
      </c>
      <c r="Y441" s="2"/>
      <c r="Z441" s="2" t="s">
        <v>170</v>
      </c>
      <c r="AA441" s="2"/>
      <c r="AB441" s="2" t="s">
        <v>81</v>
      </c>
      <c r="AC441" s="2"/>
      <c r="AD441" s="2"/>
      <c r="AE441" s="3"/>
      <c r="AF441" s="3" t="s">
        <v>5030</v>
      </c>
      <c r="AG441" s="2"/>
      <c r="AH441" s="2" t="s">
        <v>54</v>
      </c>
      <c r="AI441" s="3" t="s">
        <v>5031</v>
      </c>
      <c r="AJ441" s="3" t="s">
        <v>5032</v>
      </c>
      <c r="AK441" s="2" t="n">
        <v>609378</v>
      </c>
      <c r="AL441" s="3" t="s">
        <v>5033</v>
      </c>
      <c r="AM441" s="2"/>
      <c r="AN441" s="2"/>
      <c r="AO441" s="3" t="s">
        <v>5034</v>
      </c>
      <c r="AP441" s="3" t="s">
        <v>5035</v>
      </c>
      <c r="AQ441" s="2" t="s">
        <v>151</v>
      </c>
    </row>
    <row r="442" customFormat="false" ht="23.85" hidden="false" customHeight="false" outlineLevel="0" collapsed="false">
      <c r="A442" s="2" t="n">
        <v>441</v>
      </c>
      <c r="B442" s="2" t="s">
        <v>5036</v>
      </c>
      <c r="C442" s="2" t="s">
        <v>4738</v>
      </c>
      <c r="D442" s="2" t="s">
        <v>4738</v>
      </c>
      <c r="E442" s="2" t="s">
        <v>5037</v>
      </c>
      <c r="F442" s="2" t="s">
        <v>4867</v>
      </c>
      <c r="G442" s="3" t="s">
        <v>5038</v>
      </c>
      <c r="H442" s="2" t="s">
        <v>5039</v>
      </c>
      <c r="I442" s="2" t="s">
        <v>49</v>
      </c>
      <c r="J442" s="3" t="s">
        <v>5040</v>
      </c>
      <c r="K442" s="2" t="s">
        <v>4775</v>
      </c>
      <c r="L442" s="2" t="s">
        <v>1553</v>
      </c>
      <c r="M442" s="2"/>
      <c r="N442" s="2"/>
      <c r="O442" s="2" t="s">
        <v>53</v>
      </c>
      <c r="P442" s="2" t="n">
        <v>38.4618</v>
      </c>
      <c r="Q442" s="2" t="n">
        <v>30.1977</v>
      </c>
      <c r="R442" s="2" t="s">
        <v>54</v>
      </c>
      <c r="S442" s="2" t="n">
        <v>100</v>
      </c>
      <c r="T442" s="2" t="s">
        <v>2260</v>
      </c>
      <c r="U442" s="2" t="s">
        <v>56</v>
      </c>
      <c r="V442" s="2" t="s">
        <v>78</v>
      </c>
      <c r="W442" s="2" t="s">
        <v>140</v>
      </c>
      <c r="X442" s="2" t="s">
        <v>289</v>
      </c>
      <c r="Y442" s="2"/>
      <c r="Z442" s="2" t="s">
        <v>170</v>
      </c>
      <c r="AA442" s="2"/>
      <c r="AB442" s="2" t="s">
        <v>63</v>
      </c>
      <c r="AC442" s="2" t="s">
        <v>64</v>
      </c>
      <c r="AD442" s="2"/>
      <c r="AE442" s="3" t="s">
        <v>5041</v>
      </c>
      <c r="AF442" s="3" t="s">
        <v>5042</v>
      </c>
      <c r="AG442" s="2"/>
      <c r="AH442" s="2" t="s">
        <v>54</v>
      </c>
      <c r="AI442" s="3" t="s">
        <v>5043</v>
      </c>
      <c r="AJ442" s="3" t="s">
        <v>5044</v>
      </c>
      <c r="AK442" s="2" t="n">
        <v>609403</v>
      </c>
      <c r="AL442" s="3" t="s">
        <v>5045</v>
      </c>
      <c r="AM442" s="2"/>
      <c r="AN442" s="2"/>
      <c r="AO442" s="3"/>
      <c r="AP442" s="3"/>
      <c r="AQ442" s="2"/>
    </row>
    <row r="443" customFormat="false" ht="23.85" hidden="false" customHeight="false" outlineLevel="0" collapsed="false">
      <c r="A443" s="2" t="n">
        <v>442</v>
      </c>
      <c r="B443" s="2" t="s">
        <v>5046</v>
      </c>
      <c r="C443" s="2" t="s">
        <v>4738</v>
      </c>
      <c r="D443" s="2" t="s">
        <v>4738</v>
      </c>
      <c r="E443" s="2" t="s">
        <v>5047</v>
      </c>
      <c r="F443" s="2" t="s">
        <v>5048</v>
      </c>
      <c r="G443" s="3" t="s">
        <v>5049</v>
      </c>
      <c r="H443" s="2"/>
      <c r="I443" s="2" t="s">
        <v>74</v>
      </c>
      <c r="J443" s="3" t="s">
        <v>5050</v>
      </c>
      <c r="K443" s="2" t="s">
        <v>4775</v>
      </c>
      <c r="L443" s="2" t="s">
        <v>1553</v>
      </c>
      <c r="M443" s="2"/>
      <c r="N443" s="2"/>
      <c r="O443" s="2"/>
      <c r="P443" s="2" t="n">
        <v>38.4515</v>
      </c>
      <c r="Q443" s="2" t="n">
        <v>29.9588</v>
      </c>
      <c r="R443" s="2" t="s">
        <v>95</v>
      </c>
      <c r="S443" s="2" t="n">
        <v>100</v>
      </c>
      <c r="T443" s="2" t="s">
        <v>2260</v>
      </c>
      <c r="U443" s="2" t="s">
        <v>56</v>
      </c>
      <c r="V443" s="2" t="s">
        <v>78</v>
      </c>
      <c r="W443" s="2" t="s">
        <v>140</v>
      </c>
      <c r="X443" s="2" t="s">
        <v>289</v>
      </c>
      <c r="Y443" s="2"/>
      <c r="Z443" s="2" t="s">
        <v>170</v>
      </c>
      <c r="AA443" s="2"/>
      <c r="AB443" s="2" t="s">
        <v>63</v>
      </c>
      <c r="AC443" s="2" t="s">
        <v>64</v>
      </c>
      <c r="AD443" s="2"/>
      <c r="AE443" s="3" t="s">
        <v>4900</v>
      </c>
      <c r="AF443" s="3" t="s">
        <v>5051</v>
      </c>
      <c r="AG443" s="2"/>
      <c r="AH443" s="2" t="s">
        <v>54</v>
      </c>
      <c r="AI443" s="3"/>
      <c r="AJ443" s="3" t="s">
        <v>5052</v>
      </c>
      <c r="AK443" s="2" t="n">
        <v>609489</v>
      </c>
      <c r="AL443" s="3" t="s">
        <v>5053</v>
      </c>
      <c r="AM443" s="2"/>
      <c r="AN443" s="2"/>
      <c r="AO443" s="3"/>
      <c r="AP443" s="3"/>
      <c r="AQ443" s="2"/>
    </row>
    <row r="444" customFormat="false" ht="15" hidden="false" customHeight="false" outlineLevel="0" collapsed="false">
      <c r="A444" s="2" t="n">
        <v>443</v>
      </c>
      <c r="B444" s="2" t="s">
        <v>5054</v>
      </c>
      <c r="C444" s="2" t="s">
        <v>4738</v>
      </c>
      <c r="D444" s="2" t="s">
        <v>4738</v>
      </c>
      <c r="E444" s="2" t="s">
        <v>5055</v>
      </c>
      <c r="F444" s="2" t="s">
        <v>5056</v>
      </c>
      <c r="G444" s="3" t="s">
        <v>5057</v>
      </c>
      <c r="H444" s="2" t="s">
        <v>5058</v>
      </c>
      <c r="I444" s="2" t="s">
        <v>49</v>
      </c>
      <c r="J444" s="3" t="s">
        <v>5059</v>
      </c>
      <c r="K444" s="2" t="s">
        <v>4775</v>
      </c>
      <c r="L444" s="2" t="s">
        <v>1553</v>
      </c>
      <c r="M444" s="2"/>
      <c r="N444" s="2"/>
      <c r="O444" s="2" t="s">
        <v>53</v>
      </c>
      <c r="P444" s="2" t="n">
        <v>38.53</v>
      </c>
      <c r="Q444" s="2" t="n">
        <v>30.1745</v>
      </c>
      <c r="R444" s="2" t="s">
        <v>95</v>
      </c>
      <c r="S444" s="2" t="n">
        <v>100</v>
      </c>
      <c r="T444" s="2" t="s">
        <v>2260</v>
      </c>
      <c r="U444" s="2" t="s">
        <v>56</v>
      </c>
      <c r="V444" s="2" t="s">
        <v>78</v>
      </c>
      <c r="W444" s="2" t="s">
        <v>140</v>
      </c>
      <c r="X444" s="2" t="s">
        <v>289</v>
      </c>
      <c r="Y444" s="2"/>
      <c r="Z444" s="2" t="s">
        <v>170</v>
      </c>
      <c r="AA444" s="2"/>
      <c r="AB444" s="2" t="s">
        <v>63</v>
      </c>
      <c r="AC444" s="2" t="s">
        <v>64</v>
      </c>
      <c r="AD444" s="2"/>
      <c r="AE444" s="3" t="s">
        <v>4900</v>
      </c>
      <c r="AF444" s="3" t="s">
        <v>5060</v>
      </c>
      <c r="AG444" s="2"/>
      <c r="AH444" s="2" t="s">
        <v>54</v>
      </c>
      <c r="AI444" s="3"/>
      <c r="AJ444" s="3" t="s">
        <v>5061</v>
      </c>
      <c r="AK444" s="2" t="n">
        <v>609345</v>
      </c>
      <c r="AL444" s="3" t="s">
        <v>3709</v>
      </c>
      <c r="AM444" s="2"/>
      <c r="AN444" s="2"/>
      <c r="AO444" s="3"/>
      <c r="AP444" s="3"/>
      <c r="AQ444" s="2"/>
    </row>
    <row r="445" customFormat="false" ht="23.85" hidden="false" customHeight="false" outlineLevel="0" collapsed="false">
      <c r="A445" s="2" t="n">
        <v>444</v>
      </c>
      <c r="B445" s="2" t="s">
        <v>5062</v>
      </c>
      <c r="C445" s="2" t="s">
        <v>4738</v>
      </c>
      <c r="D445" s="2" t="s">
        <v>4738</v>
      </c>
      <c r="E445" s="2" t="s">
        <v>5063</v>
      </c>
      <c r="F445" s="2" t="s">
        <v>5064</v>
      </c>
      <c r="G445" s="3" t="s">
        <v>5065</v>
      </c>
      <c r="H445" s="2"/>
      <c r="I445" s="2" t="s">
        <v>93</v>
      </c>
      <c r="J445" s="3" t="s">
        <v>5066</v>
      </c>
      <c r="K445" s="2" t="s">
        <v>4775</v>
      </c>
      <c r="L445" s="2" t="s">
        <v>1553</v>
      </c>
      <c r="M445" s="2"/>
      <c r="N445" s="2"/>
      <c r="O445" s="2"/>
      <c r="P445" s="2" t="n">
        <v>38.45</v>
      </c>
      <c r="Q445" s="2" t="n">
        <v>30.05</v>
      </c>
      <c r="R445" s="2" t="s">
        <v>637</v>
      </c>
      <c r="S445" s="2" t="n">
        <v>100</v>
      </c>
      <c r="T445" s="2" t="s">
        <v>2260</v>
      </c>
      <c r="U445" s="2" t="s">
        <v>56</v>
      </c>
      <c r="V445" s="2" t="s">
        <v>78</v>
      </c>
      <c r="W445" s="2" t="s">
        <v>140</v>
      </c>
      <c r="X445" s="2" t="s">
        <v>289</v>
      </c>
      <c r="Y445" s="2"/>
      <c r="Z445" s="2" t="s">
        <v>170</v>
      </c>
      <c r="AA445" s="2"/>
      <c r="AB445" s="2" t="s">
        <v>63</v>
      </c>
      <c r="AC445" s="2" t="s">
        <v>64</v>
      </c>
      <c r="AD445" s="2"/>
      <c r="AE445" s="3" t="s">
        <v>4900</v>
      </c>
      <c r="AF445" s="3" t="s">
        <v>5067</v>
      </c>
      <c r="AG445" s="2"/>
      <c r="AH445" s="2" t="s">
        <v>263</v>
      </c>
      <c r="AI445" s="3" t="s">
        <v>5068</v>
      </c>
      <c r="AJ445" s="3" t="s">
        <v>5069</v>
      </c>
      <c r="AK445" s="2" t="n">
        <v>614781</v>
      </c>
      <c r="AL445" s="3" t="s">
        <v>5070</v>
      </c>
      <c r="AM445" s="2"/>
      <c r="AN445" s="2"/>
      <c r="AO445" s="3"/>
      <c r="AP445" s="3"/>
      <c r="AQ445" s="2"/>
    </row>
    <row r="446" customFormat="false" ht="35.05" hidden="false" customHeight="false" outlineLevel="0" collapsed="false">
      <c r="A446" s="2" t="n">
        <v>445</v>
      </c>
      <c r="B446" s="2" t="s">
        <v>5071</v>
      </c>
      <c r="C446" s="2" t="s">
        <v>4738</v>
      </c>
      <c r="D446" s="2" t="s">
        <v>4738</v>
      </c>
      <c r="E446" s="2" t="s">
        <v>5072</v>
      </c>
      <c r="F446" s="2" t="s">
        <v>5073</v>
      </c>
      <c r="G446" s="3"/>
      <c r="H446" s="2"/>
      <c r="I446" s="2" t="s">
        <v>93</v>
      </c>
      <c r="J446" s="3" t="s">
        <v>5074</v>
      </c>
      <c r="K446" s="2" t="s">
        <v>4775</v>
      </c>
      <c r="L446" s="2" t="s">
        <v>1553</v>
      </c>
      <c r="M446" s="2"/>
      <c r="N446" s="2"/>
      <c r="O446" s="2"/>
      <c r="P446" s="2" t="n">
        <v>38.35</v>
      </c>
      <c r="Q446" s="2" t="n">
        <v>30.4</v>
      </c>
      <c r="R446" s="2" t="s">
        <v>637</v>
      </c>
      <c r="S446" s="2" t="n">
        <v>-250</v>
      </c>
      <c r="T446" s="2" t="s">
        <v>2189</v>
      </c>
      <c r="U446" s="2" t="s">
        <v>139</v>
      </c>
      <c r="V446" s="2" t="s">
        <v>78</v>
      </c>
      <c r="W446" s="2" t="s">
        <v>195</v>
      </c>
      <c r="X446" s="2" t="s">
        <v>246</v>
      </c>
      <c r="Y446" s="2" t="s">
        <v>5075</v>
      </c>
      <c r="Z446" s="2" t="s">
        <v>1793</v>
      </c>
      <c r="AA446" s="2"/>
      <c r="AB446" s="2" t="s">
        <v>81</v>
      </c>
      <c r="AC446" s="2"/>
      <c r="AD446" s="2"/>
      <c r="AE446" s="3"/>
      <c r="AF446" s="3" t="s">
        <v>5076</v>
      </c>
      <c r="AG446" s="2"/>
      <c r="AH446" s="2" t="s">
        <v>113</v>
      </c>
      <c r="AI446" s="3" t="s">
        <v>5077</v>
      </c>
      <c r="AJ446" s="3" t="s">
        <v>5078</v>
      </c>
      <c r="AK446" s="2" t="n">
        <v>614738</v>
      </c>
      <c r="AL446" s="3" t="s">
        <v>5079</v>
      </c>
      <c r="AM446" s="2"/>
      <c r="AN446" s="2"/>
      <c r="AO446" s="3" t="s">
        <v>5080</v>
      </c>
      <c r="AP446" s="3" t="s">
        <v>5081</v>
      </c>
      <c r="AQ446" s="2" t="s">
        <v>106</v>
      </c>
    </row>
    <row r="447" customFormat="false" ht="23.85" hidden="false" customHeight="false" outlineLevel="0" collapsed="false">
      <c r="A447" s="2" t="n">
        <v>446</v>
      </c>
      <c r="B447" s="2" t="s">
        <v>5082</v>
      </c>
      <c r="C447" s="2" t="s">
        <v>4738</v>
      </c>
      <c r="D447" s="2" t="s">
        <v>4738</v>
      </c>
      <c r="E447" s="2" t="s">
        <v>5083</v>
      </c>
      <c r="F447" s="2" t="s">
        <v>5084</v>
      </c>
      <c r="G447" s="3" t="s">
        <v>5085</v>
      </c>
      <c r="H447" s="2"/>
      <c r="I447" s="2" t="s">
        <v>93</v>
      </c>
      <c r="J447" s="3" t="s">
        <v>5086</v>
      </c>
      <c r="K447" s="2" t="s">
        <v>4775</v>
      </c>
      <c r="L447" s="2" t="s">
        <v>1553</v>
      </c>
      <c r="M447" s="2"/>
      <c r="N447" s="2"/>
      <c r="O447" s="2"/>
      <c r="P447" s="2" t="n">
        <v>38.7</v>
      </c>
      <c r="Q447" s="2" t="n">
        <v>30.04</v>
      </c>
      <c r="R447" s="2" t="s">
        <v>637</v>
      </c>
      <c r="S447" s="2" t="n">
        <v>640</v>
      </c>
      <c r="T447" s="2" t="s">
        <v>819</v>
      </c>
      <c r="U447" s="2" t="s">
        <v>56</v>
      </c>
      <c r="V447" s="2" t="s">
        <v>78</v>
      </c>
      <c r="W447" s="2" t="s">
        <v>304</v>
      </c>
      <c r="X447" s="2" t="s">
        <v>169</v>
      </c>
      <c r="Y447" s="2"/>
      <c r="Z447" s="2" t="s">
        <v>170</v>
      </c>
      <c r="AA447" s="2"/>
      <c r="AB447" s="2" t="s">
        <v>81</v>
      </c>
      <c r="AC447" s="2"/>
      <c r="AD447" s="2"/>
      <c r="AE447" s="3"/>
      <c r="AF447" s="3" t="s">
        <v>5087</v>
      </c>
      <c r="AG447" s="2"/>
      <c r="AH447" s="2" t="s">
        <v>263</v>
      </c>
      <c r="AI447" s="3" t="s">
        <v>5088</v>
      </c>
      <c r="AJ447" s="3" t="s">
        <v>5089</v>
      </c>
      <c r="AK447" s="2" t="n">
        <v>614608</v>
      </c>
      <c r="AL447" s="3" t="s">
        <v>5090</v>
      </c>
      <c r="AM447" s="2"/>
      <c r="AN447" s="2"/>
      <c r="AO447" s="3" t="s">
        <v>5091</v>
      </c>
      <c r="AP447" s="3" t="s">
        <v>5092</v>
      </c>
      <c r="AQ447" s="2" t="s">
        <v>106</v>
      </c>
    </row>
    <row r="448" customFormat="false" ht="23.85" hidden="false" customHeight="false" outlineLevel="0" collapsed="false">
      <c r="A448" s="2" t="n">
        <v>447</v>
      </c>
      <c r="B448" s="2" t="s">
        <v>5093</v>
      </c>
      <c r="C448" s="2" t="s">
        <v>4738</v>
      </c>
      <c r="D448" s="2" t="s">
        <v>4738</v>
      </c>
      <c r="E448" s="2" t="s">
        <v>5094</v>
      </c>
      <c r="F448" s="2" t="s">
        <v>5095</v>
      </c>
      <c r="G448" s="3" t="s">
        <v>5096</v>
      </c>
      <c r="H448" s="2"/>
      <c r="I448" s="2" t="s">
        <v>74</v>
      </c>
      <c r="J448" s="3" t="s">
        <v>5097</v>
      </c>
      <c r="K448" s="2" t="s">
        <v>4775</v>
      </c>
      <c r="L448" s="2" t="s">
        <v>1553</v>
      </c>
      <c r="M448" s="2"/>
      <c r="N448" s="2"/>
      <c r="O448" s="2"/>
      <c r="P448" s="2" t="n">
        <v>38.743</v>
      </c>
      <c r="Q448" s="2" t="n">
        <v>30.1908</v>
      </c>
      <c r="R448" s="2" t="s">
        <v>95</v>
      </c>
      <c r="S448" s="2" t="n">
        <v>100</v>
      </c>
      <c r="T448" s="2" t="s">
        <v>2260</v>
      </c>
      <c r="U448" s="2" t="s">
        <v>56</v>
      </c>
      <c r="V448" s="2" t="s">
        <v>78</v>
      </c>
      <c r="W448" s="2" t="s">
        <v>140</v>
      </c>
      <c r="X448" s="2" t="s">
        <v>289</v>
      </c>
      <c r="Y448" s="2"/>
      <c r="Z448" s="2" t="s">
        <v>170</v>
      </c>
      <c r="AA448" s="2"/>
      <c r="AB448" s="2" t="s">
        <v>63</v>
      </c>
      <c r="AC448" s="2" t="s">
        <v>64</v>
      </c>
      <c r="AD448" s="2"/>
      <c r="AE448" s="3" t="s">
        <v>4900</v>
      </c>
      <c r="AF448" s="3" t="s">
        <v>5098</v>
      </c>
      <c r="AG448" s="2"/>
      <c r="AH448" s="2" t="s">
        <v>113</v>
      </c>
      <c r="AI448" s="3" t="s">
        <v>5099</v>
      </c>
      <c r="AJ448" s="3" t="s">
        <v>5100</v>
      </c>
      <c r="AK448" s="2" t="n">
        <v>609433</v>
      </c>
      <c r="AL448" s="3" t="s">
        <v>5101</v>
      </c>
      <c r="AM448" s="2"/>
      <c r="AN448" s="2"/>
      <c r="AO448" s="3"/>
      <c r="AP448" s="3"/>
      <c r="AQ448" s="2"/>
    </row>
    <row r="449" customFormat="false" ht="35.05" hidden="false" customHeight="false" outlineLevel="0" collapsed="false">
      <c r="A449" s="2" t="n">
        <v>448</v>
      </c>
      <c r="B449" s="2" t="s">
        <v>5102</v>
      </c>
      <c r="C449" s="2" t="s">
        <v>4738</v>
      </c>
      <c r="D449" s="2" t="s">
        <v>4738</v>
      </c>
      <c r="E449" s="2" t="s">
        <v>5103</v>
      </c>
      <c r="F449" s="2" t="s">
        <v>5104</v>
      </c>
      <c r="G449" s="3"/>
      <c r="H449" s="2" t="s">
        <v>5105</v>
      </c>
      <c r="I449" s="2" t="s">
        <v>123</v>
      </c>
      <c r="J449" s="3" t="s">
        <v>5106</v>
      </c>
      <c r="K449" s="2" t="s">
        <v>4775</v>
      </c>
      <c r="L449" s="2" t="s">
        <v>1553</v>
      </c>
      <c r="M449" s="2" t="s">
        <v>5105</v>
      </c>
      <c r="N449" s="2"/>
      <c r="O449" s="2" t="s">
        <v>53</v>
      </c>
      <c r="P449" s="2" t="n">
        <v>38.534</v>
      </c>
      <c r="Q449" s="2" t="n">
        <v>30.5461</v>
      </c>
      <c r="R449" s="2" t="s">
        <v>54</v>
      </c>
      <c r="S449" s="2" t="n">
        <v>-200</v>
      </c>
      <c r="T449" s="2" t="s">
        <v>194</v>
      </c>
      <c r="U449" s="2" t="s">
        <v>56</v>
      </c>
      <c r="V449" s="2" t="s">
        <v>78</v>
      </c>
      <c r="W449" s="2" t="s">
        <v>195</v>
      </c>
      <c r="X449" s="2" t="s">
        <v>246</v>
      </c>
      <c r="Y449" s="2" t="s">
        <v>5107</v>
      </c>
      <c r="Z449" s="2" t="s">
        <v>248</v>
      </c>
      <c r="AA449" s="2"/>
      <c r="AB449" s="2" t="s">
        <v>63</v>
      </c>
      <c r="AC449" s="2" t="s">
        <v>64</v>
      </c>
      <c r="AD449" s="2"/>
      <c r="AE449" s="3" t="s">
        <v>5108</v>
      </c>
      <c r="AF449" s="3" t="s">
        <v>5109</v>
      </c>
      <c r="AG449" s="2"/>
      <c r="AH449" s="2" t="s">
        <v>54</v>
      </c>
      <c r="AI449" s="3" t="s">
        <v>5110</v>
      </c>
      <c r="AJ449" s="3" t="s">
        <v>5111</v>
      </c>
      <c r="AK449" s="2" t="n">
        <v>609538</v>
      </c>
      <c r="AL449" s="3" t="s">
        <v>5112</v>
      </c>
      <c r="AM449" s="2"/>
      <c r="AN449" s="2"/>
      <c r="AO449" s="3"/>
      <c r="AP449" s="3"/>
      <c r="AQ449" s="2"/>
    </row>
    <row r="450" customFormat="false" ht="23.85" hidden="false" customHeight="false" outlineLevel="0" collapsed="false">
      <c r="A450" s="2" t="n">
        <v>449</v>
      </c>
      <c r="B450" s="2" t="s">
        <v>5113</v>
      </c>
      <c r="C450" s="2" t="s">
        <v>4738</v>
      </c>
      <c r="D450" s="2" t="s">
        <v>4738</v>
      </c>
      <c r="E450" s="2" t="s">
        <v>5114</v>
      </c>
      <c r="F450" s="2" t="s">
        <v>5115</v>
      </c>
      <c r="G450" s="3"/>
      <c r="H450" s="2"/>
      <c r="I450" s="2" t="s">
        <v>93</v>
      </c>
      <c r="J450" s="3" t="s">
        <v>5116</v>
      </c>
      <c r="K450" s="2" t="s">
        <v>4775</v>
      </c>
      <c r="L450" s="2" t="s">
        <v>1553</v>
      </c>
      <c r="M450" s="2"/>
      <c r="N450" s="2"/>
      <c r="O450" s="2"/>
      <c r="P450" s="2" t="n">
        <v>38.55</v>
      </c>
      <c r="Q450" s="2" t="n">
        <v>30.45</v>
      </c>
      <c r="R450" s="2" t="s">
        <v>637</v>
      </c>
      <c r="S450" s="2" t="n">
        <v>640</v>
      </c>
      <c r="T450" s="2" t="s">
        <v>819</v>
      </c>
      <c r="U450" s="2" t="s">
        <v>56</v>
      </c>
      <c r="V450" s="2" t="s">
        <v>78</v>
      </c>
      <c r="W450" s="2" t="s">
        <v>304</v>
      </c>
      <c r="X450" s="2" t="s">
        <v>289</v>
      </c>
      <c r="Y450" s="2"/>
      <c r="Z450" s="2" t="s">
        <v>170</v>
      </c>
      <c r="AA450" s="2"/>
      <c r="AB450" s="2" t="s">
        <v>63</v>
      </c>
      <c r="AC450" s="2" t="s">
        <v>64</v>
      </c>
      <c r="AD450" s="2"/>
      <c r="AE450" s="3" t="s">
        <v>4900</v>
      </c>
      <c r="AF450" s="3" t="s">
        <v>5117</v>
      </c>
      <c r="AG450" s="2"/>
      <c r="AH450" s="2" t="s">
        <v>263</v>
      </c>
      <c r="AI450" s="3" t="s">
        <v>5118</v>
      </c>
      <c r="AJ450" s="3" t="s">
        <v>5119</v>
      </c>
      <c r="AK450" s="2" t="n">
        <v>614594</v>
      </c>
      <c r="AL450" s="3" t="s">
        <v>5120</v>
      </c>
      <c r="AM450" s="2"/>
      <c r="AN450" s="2"/>
      <c r="AO450" s="3"/>
      <c r="AP450" s="3"/>
      <c r="AQ450" s="2"/>
    </row>
    <row r="451" customFormat="false" ht="23.85" hidden="false" customHeight="false" outlineLevel="0" collapsed="false">
      <c r="A451" s="2" t="n">
        <v>450</v>
      </c>
      <c r="B451" s="2" t="s">
        <v>5121</v>
      </c>
      <c r="C451" s="2" t="s">
        <v>4738</v>
      </c>
      <c r="D451" s="2" t="s">
        <v>4738</v>
      </c>
      <c r="E451" s="2" t="s">
        <v>5122</v>
      </c>
      <c r="F451" s="2" t="s">
        <v>5123</v>
      </c>
      <c r="G451" s="3"/>
      <c r="H451" s="2" t="s">
        <v>5124</v>
      </c>
      <c r="I451" s="2" t="s">
        <v>49</v>
      </c>
      <c r="J451" s="3" t="s">
        <v>5125</v>
      </c>
      <c r="K451" s="2" t="s">
        <v>4775</v>
      </c>
      <c r="L451" s="2" t="s">
        <v>1553</v>
      </c>
      <c r="M451" s="2"/>
      <c r="N451" s="2"/>
      <c r="O451" s="2" t="s">
        <v>53</v>
      </c>
      <c r="P451" s="2" t="n">
        <v>38.6978</v>
      </c>
      <c r="Q451" s="2" t="n">
        <v>30.5694</v>
      </c>
      <c r="R451" s="2" t="s">
        <v>54</v>
      </c>
      <c r="S451" s="2" t="n">
        <v>0</v>
      </c>
      <c r="T451" s="2" t="s">
        <v>5008</v>
      </c>
      <c r="U451" s="2" t="s">
        <v>56</v>
      </c>
      <c r="V451" s="2" t="s">
        <v>78</v>
      </c>
      <c r="W451" s="2" t="s">
        <v>140</v>
      </c>
      <c r="X451" s="2" t="s">
        <v>289</v>
      </c>
      <c r="Y451" s="2"/>
      <c r="Z451" s="2" t="s">
        <v>170</v>
      </c>
      <c r="AA451" s="2"/>
      <c r="AB451" s="2" t="s">
        <v>63</v>
      </c>
      <c r="AC451" s="2" t="s">
        <v>64</v>
      </c>
      <c r="AD451" s="2"/>
      <c r="AE451" s="3" t="s">
        <v>5126</v>
      </c>
      <c r="AF451" s="3" t="s">
        <v>5127</v>
      </c>
      <c r="AG451" s="2"/>
      <c r="AH451" s="2" t="s">
        <v>54</v>
      </c>
      <c r="AI451" s="3" t="s">
        <v>5099</v>
      </c>
      <c r="AJ451" s="3" t="s">
        <v>5128</v>
      </c>
      <c r="AK451" s="2" t="n">
        <v>609511</v>
      </c>
      <c r="AL451" s="3" t="s">
        <v>5129</v>
      </c>
      <c r="AM451" s="2"/>
      <c r="AN451" s="2"/>
      <c r="AO451" s="3"/>
      <c r="AP451" s="3"/>
      <c r="AQ451" s="2"/>
    </row>
    <row r="452" customFormat="false" ht="68.65" hidden="false" customHeight="false" outlineLevel="0" collapsed="false">
      <c r="A452" s="2" t="n">
        <v>451</v>
      </c>
      <c r="B452" s="2" t="s">
        <v>5130</v>
      </c>
      <c r="C452" s="2" t="s">
        <v>4738</v>
      </c>
      <c r="D452" s="2" t="s">
        <v>4738</v>
      </c>
      <c r="E452" s="2" t="s">
        <v>5131</v>
      </c>
      <c r="F452" s="2" t="s">
        <v>5132</v>
      </c>
      <c r="G452" s="3" t="s">
        <v>5133</v>
      </c>
      <c r="H452" s="2" t="s">
        <v>4775</v>
      </c>
      <c r="I452" s="2" t="s">
        <v>123</v>
      </c>
      <c r="J452" s="3" t="s">
        <v>5134</v>
      </c>
      <c r="K452" s="2" t="s">
        <v>4775</v>
      </c>
      <c r="L452" s="2" t="s">
        <v>1553</v>
      </c>
      <c r="M452" s="2" t="s">
        <v>581</v>
      </c>
      <c r="N452" s="2" t="s">
        <v>63</v>
      </c>
      <c r="O452" s="2" t="s">
        <v>53</v>
      </c>
      <c r="P452" s="2" t="n">
        <v>38.7589</v>
      </c>
      <c r="Q452" s="2" t="n">
        <v>30.546</v>
      </c>
      <c r="R452" s="2" t="s">
        <v>54</v>
      </c>
      <c r="S452" s="2" t="n">
        <v>900</v>
      </c>
      <c r="T452" s="2" t="s">
        <v>437</v>
      </c>
      <c r="U452" s="2" t="s">
        <v>56</v>
      </c>
      <c r="V452" s="2" t="s">
        <v>78</v>
      </c>
      <c r="W452" s="2" t="s">
        <v>304</v>
      </c>
      <c r="X452" s="2" t="s">
        <v>169</v>
      </c>
      <c r="Y452" s="2"/>
      <c r="Z452" s="2" t="s">
        <v>170</v>
      </c>
      <c r="AA452" s="2"/>
      <c r="AB452" s="2" t="s">
        <v>81</v>
      </c>
      <c r="AC452" s="2"/>
      <c r="AD452" s="2"/>
      <c r="AE452" s="3" t="s">
        <v>5135</v>
      </c>
      <c r="AF452" s="3" t="s">
        <v>5136</v>
      </c>
      <c r="AG452" s="2"/>
      <c r="AH452" s="2" t="s">
        <v>113</v>
      </c>
      <c r="AI452" s="3" t="s">
        <v>5137</v>
      </c>
      <c r="AJ452" s="3" t="s">
        <v>5138</v>
      </c>
      <c r="AK452" s="2" t="n">
        <v>609295</v>
      </c>
      <c r="AL452" s="3" t="s">
        <v>5139</v>
      </c>
      <c r="AM452" s="2"/>
      <c r="AN452" s="2"/>
      <c r="AO452" s="3" t="s">
        <v>5140</v>
      </c>
      <c r="AP452" s="3" t="s">
        <v>5141</v>
      </c>
      <c r="AQ452" s="2" t="s">
        <v>89</v>
      </c>
    </row>
    <row r="453" customFormat="false" ht="35.05" hidden="false" customHeight="false" outlineLevel="0" collapsed="false">
      <c r="A453" s="2" t="n">
        <v>452</v>
      </c>
      <c r="B453" s="2" t="s">
        <v>5142</v>
      </c>
      <c r="C453" s="2" t="s">
        <v>4738</v>
      </c>
      <c r="D453" s="2" t="s">
        <v>4738</v>
      </c>
      <c r="E453" s="2" t="s">
        <v>5143</v>
      </c>
      <c r="F453" s="2" t="s">
        <v>5144</v>
      </c>
      <c r="G453" s="3" t="s">
        <v>5145</v>
      </c>
      <c r="H453" s="2" t="s">
        <v>5146</v>
      </c>
      <c r="I453" s="2" t="s">
        <v>123</v>
      </c>
      <c r="J453" s="3" t="s">
        <v>5147</v>
      </c>
      <c r="K453" s="2" t="s">
        <v>4775</v>
      </c>
      <c r="L453" s="2" t="s">
        <v>1553</v>
      </c>
      <c r="M453" s="2"/>
      <c r="N453" s="2"/>
      <c r="O453" s="2" t="s">
        <v>53</v>
      </c>
      <c r="P453" s="2" t="n">
        <v>38.8562</v>
      </c>
      <c r="Q453" s="2" t="n">
        <v>30.5492</v>
      </c>
      <c r="R453" s="2" t="s">
        <v>54</v>
      </c>
      <c r="S453" s="2" t="n">
        <v>451</v>
      </c>
      <c r="T453" s="2" t="s">
        <v>2373</v>
      </c>
      <c r="U453" s="2" t="s">
        <v>56</v>
      </c>
      <c r="V453" s="2" t="s">
        <v>245</v>
      </c>
      <c r="W453" s="2" t="s">
        <v>304</v>
      </c>
      <c r="X453" s="2" t="s">
        <v>289</v>
      </c>
      <c r="Y453" s="2"/>
      <c r="Z453" s="2" t="s">
        <v>170</v>
      </c>
      <c r="AA453" s="2"/>
      <c r="AB453" s="2" t="s">
        <v>63</v>
      </c>
      <c r="AC453" s="2" t="s">
        <v>64</v>
      </c>
      <c r="AD453" s="2"/>
      <c r="AE453" s="3" t="s">
        <v>5148</v>
      </c>
      <c r="AF453" s="3" t="s">
        <v>4901</v>
      </c>
      <c r="AG453" s="2"/>
      <c r="AH453" s="2" t="s">
        <v>54</v>
      </c>
      <c r="AI453" s="3" t="s">
        <v>5149</v>
      </c>
      <c r="AJ453" s="3" t="s">
        <v>5150</v>
      </c>
      <c r="AK453" s="2" t="n">
        <v>609415</v>
      </c>
      <c r="AL453" s="3" t="s">
        <v>5151</v>
      </c>
      <c r="AM453" s="2"/>
      <c r="AN453" s="2"/>
      <c r="AO453" s="3"/>
      <c r="AP453" s="3"/>
      <c r="AQ453" s="2"/>
    </row>
    <row r="454" customFormat="false" ht="46.25" hidden="false" customHeight="false" outlineLevel="0" collapsed="false">
      <c r="A454" s="2" t="n">
        <v>453</v>
      </c>
      <c r="B454" s="2" t="s">
        <v>5152</v>
      </c>
      <c r="C454" s="2" t="s">
        <v>4738</v>
      </c>
      <c r="D454" s="2" t="s">
        <v>4738</v>
      </c>
      <c r="E454" s="2" t="s">
        <v>5153</v>
      </c>
      <c r="F454" s="2" t="s">
        <v>5154</v>
      </c>
      <c r="G454" s="3" t="s">
        <v>5155</v>
      </c>
      <c r="H454" s="2" t="s">
        <v>5156</v>
      </c>
      <c r="I454" s="2" t="s">
        <v>123</v>
      </c>
      <c r="J454" s="3" t="s">
        <v>5157</v>
      </c>
      <c r="K454" s="2" t="s">
        <v>4775</v>
      </c>
      <c r="L454" s="2" t="s">
        <v>1553</v>
      </c>
      <c r="M454" s="2" t="s">
        <v>5156</v>
      </c>
      <c r="N454" s="2"/>
      <c r="O454" s="2" t="s">
        <v>53</v>
      </c>
      <c r="P454" s="2" t="n">
        <v>38.8624</v>
      </c>
      <c r="Q454" s="2" t="n">
        <v>30.7522</v>
      </c>
      <c r="R454" s="2" t="s">
        <v>54</v>
      </c>
      <c r="S454" s="2" t="n">
        <v>-300</v>
      </c>
      <c r="T454" s="2" t="s">
        <v>1942</v>
      </c>
      <c r="U454" s="2" t="s">
        <v>139</v>
      </c>
      <c r="V454" s="2" t="s">
        <v>78</v>
      </c>
      <c r="W454" s="2" t="s">
        <v>195</v>
      </c>
      <c r="X454" s="2" t="s">
        <v>246</v>
      </c>
      <c r="Y454" s="2" t="s">
        <v>5158</v>
      </c>
      <c r="Z454" s="2" t="s">
        <v>248</v>
      </c>
      <c r="AA454" s="2"/>
      <c r="AB454" s="2" t="s">
        <v>81</v>
      </c>
      <c r="AC454" s="2"/>
      <c r="AD454" s="2"/>
      <c r="AE454" s="3"/>
      <c r="AF454" s="3" t="s">
        <v>5159</v>
      </c>
      <c r="AG454" s="2"/>
      <c r="AH454" s="2" t="s">
        <v>54</v>
      </c>
      <c r="AI454" s="3" t="s">
        <v>5160</v>
      </c>
      <c r="AJ454" s="3" t="s">
        <v>5161</v>
      </c>
      <c r="AK454" s="2" t="n">
        <v>609366</v>
      </c>
      <c r="AL454" s="3" t="s">
        <v>5162</v>
      </c>
      <c r="AM454" s="2"/>
      <c r="AN454" s="2"/>
      <c r="AO454" s="3" t="s">
        <v>5163</v>
      </c>
      <c r="AP454" s="3" t="s">
        <v>5164</v>
      </c>
      <c r="AQ454" s="2" t="s">
        <v>151</v>
      </c>
    </row>
    <row r="455" customFormat="false" ht="35.05" hidden="false" customHeight="false" outlineLevel="0" collapsed="false">
      <c r="A455" s="2" t="n">
        <v>454</v>
      </c>
      <c r="B455" s="2" t="s">
        <v>5165</v>
      </c>
      <c r="C455" s="2" t="s">
        <v>4738</v>
      </c>
      <c r="D455" s="2" t="s">
        <v>4738</v>
      </c>
      <c r="E455" s="2" t="s">
        <v>5166</v>
      </c>
      <c r="F455" s="2" t="s">
        <v>5167</v>
      </c>
      <c r="G455" s="3"/>
      <c r="H455" s="2"/>
      <c r="I455" s="2" t="s">
        <v>93</v>
      </c>
      <c r="J455" s="3" t="s">
        <v>5168</v>
      </c>
      <c r="K455" s="2" t="s">
        <v>4775</v>
      </c>
      <c r="L455" s="2" t="s">
        <v>1553</v>
      </c>
      <c r="M455" s="2"/>
      <c r="N455" s="2"/>
      <c r="O455" s="2"/>
      <c r="P455" s="2" t="n">
        <v>38.72</v>
      </c>
      <c r="Q455" s="2" t="n">
        <v>30.85</v>
      </c>
      <c r="R455" s="2" t="s">
        <v>637</v>
      </c>
      <c r="S455" s="2" t="n">
        <v>359</v>
      </c>
      <c r="T455" s="2" t="s">
        <v>5169</v>
      </c>
      <c r="U455" s="2" t="s">
        <v>56</v>
      </c>
      <c r="V455" s="2" t="s">
        <v>245</v>
      </c>
      <c r="W455" s="2" t="s">
        <v>304</v>
      </c>
      <c r="X455" s="2" t="s">
        <v>141</v>
      </c>
      <c r="Y455" s="2" t="s">
        <v>5170</v>
      </c>
      <c r="Z455" s="2" t="s">
        <v>143</v>
      </c>
      <c r="AA455" s="2"/>
      <c r="AB455" s="2" t="s">
        <v>81</v>
      </c>
      <c r="AC455" s="2"/>
      <c r="AD455" s="2"/>
      <c r="AE455" s="3"/>
      <c r="AF455" s="3" t="s">
        <v>5171</v>
      </c>
      <c r="AG455" s="2"/>
      <c r="AH455" s="2" t="s">
        <v>113</v>
      </c>
      <c r="AI455" s="3" t="s">
        <v>5172</v>
      </c>
      <c r="AJ455" s="3" t="s">
        <v>5173</v>
      </c>
      <c r="AK455" s="2" t="n">
        <v>614619</v>
      </c>
      <c r="AL455" s="3" t="s">
        <v>5174</v>
      </c>
      <c r="AM455" s="2"/>
      <c r="AN455" s="2"/>
      <c r="AO455" s="3" t="s">
        <v>826</v>
      </c>
      <c r="AP455" s="3" t="s">
        <v>5175</v>
      </c>
      <c r="AQ455" s="2" t="s">
        <v>106</v>
      </c>
    </row>
    <row r="456" customFormat="false" ht="46.25" hidden="false" customHeight="false" outlineLevel="0" collapsed="false">
      <c r="A456" s="2" t="n">
        <v>455</v>
      </c>
      <c r="B456" s="2" t="s">
        <v>5176</v>
      </c>
      <c r="C456" s="2" t="s">
        <v>4738</v>
      </c>
      <c r="D456" s="2" t="s">
        <v>4738</v>
      </c>
      <c r="E456" s="2" t="s">
        <v>5177</v>
      </c>
      <c r="F456" s="2" t="s">
        <v>5178</v>
      </c>
      <c r="G456" s="3"/>
      <c r="H456" s="2" t="s">
        <v>5179</v>
      </c>
      <c r="I456" s="2" t="s">
        <v>123</v>
      </c>
      <c r="J456" s="3" t="s">
        <v>5180</v>
      </c>
      <c r="K456" s="2" t="s">
        <v>4775</v>
      </c>
      <c r="L456" s="2" t="s">
        <v>1553</v>
      </c>
      <c r="M456" s="2" t="s">
        <v>5179</v>
      </c>
      <c r="N456" s="2"/>
      <c r="O456" s="2" t="s">
        <v>5</v>
      </c>
      <c r="P456" s="2" t="n">
        <v>38.7126</v>
      </c>
      <c r="Q456" s="2" t="n">
        <v>31.0485</v>
      </c>
      <c r="R456" s="2" t="s">
        <v>54</v>
      </c>
      <c r="S456" s="2" t="n">
        <v>451</v>
      </c>
      <c r="T456" s="2" t="s">
        <v>2373</v>
      </c>
      <c r="U456" s="2" t="s">
        <v>56</v>
      </c>
      <c r="V456" s="2" t="s">
        <v>245</v>
      </c>
      <c r="W456" s="2" t="s">
        <v>304</v>
      </c>
      <c r="X456" s="2" t="s">
        <v>169</v>
      </c>
      <c r="Y456" s="2"/>
      <c r="Z456" s="2" t="s">
        <v>170</v>
      </c>
      <c r="AA456" s="2"/>
      <c r="AB456" s="2" t="s">
        <v>81</v>
      </c>
      <c r="AC456" s="2"/>
      <c r="AD456" s="2"/>
      <c r="AE456" s="3"/>
      <c r="AF456" s="3" t="s">
        <v>5181</v>
      </c>
      <c r="AG456" s="2"/>
      <c r="AH456" s="2" t="s">
        <v>54</v>
      </c>
      <c r="AI456" s="3" t="s">
        <v>5182</v>
      </c>
      <c r="AJ456" s="3" t="s">
        <v>5183</v>
      </c>
      <c r="AK456" s="2" t="n">
        <v>609506</v>
      </c>
      <c r="AL456" s="3" t="s">
        <v>5184</v>
      </c>
      <c r="AM456" s="2"/>
      <c r="AN456" s="2" t="s">
        <v>200</v>
      </c>
      <c r="AO456" s="3" t="s">
        <v>5185</v>
      </c>
      <c r="AP456" s="3" t="s">
        <v>5186</v>
      </c>
      <c r="AQ456" s="2" t="s">
        <v>151</v>
      </c>
    </row>
    <row r="457" customFormat="false" ht="23.85" hidden="false" customHeight="false" outlineLevel="0" collapsed="false">
      <c r="A457" s="2" t="n">
        <v>456</v>
      </c>
      <c r="B457" s="2" t="s">
        <v>5187</v>
      </c>
      <c r="C457" s="2" t="s">
        <v>4738</v>
      </c>
      <c r="D457" s="2" t="s">
        <v>4738</v>
      </c>
      <c r="E457" s="2" t="s">
        <v>5188</v>
      </c>
      <c r="F457" s="2" t="s">
        <v>5189</v>
      </c>
      <c r="G457" s="3"/>
      <c r="H457" s="2"/>
      <c r="I457" s="2" t="s">
        <v>74</v>
      </c>
      <c r="J457" s="3" t="s">
        <v>5190</v>
      </c>
      <c r="K457" s="2" t="s">
        <v>4775</v>
      </c>
      <c r="L457" s="2" t="s">
        <v>1553</v>
      </c>
      <c r="M457" s="2"/>
      <c r="N457" s="2"/>
      <c r="O457" s="2"/>
      <c r="P457" s="2" t="n">
        <v>38.532</v>
      </c>
      <c r="Q457" s="2" t="n">
        <v>31.1988</v>
      </c>
      <c r="R457" s="2" t="s">
        <v>95</v>
      </c>
      <c r="S457" s="2" t="n">
        <v>451</v>
      </c>
      <c r="T457" s="2" t="s">
        <v>2373</v>
      </c>
      <c r="U457" s="2" t="s">
        <v>56</v>
      </c>
      <c r="V457" s="2" t="s">
        <v>245</v>
      </c>
      <c r="W457" s="2" t="s">
        <v>304</v>
      </c>
      <c r="X457" s="2" t="s">
        <v>289</v>
      </c>
      <c r="Y457" s="2"/>
      <c r="Z457" s="2" t="s">
        <v>170</v>
      </c>
      <c r="AA457" s="2"/>
      <c r="AB457" s="2" t="s">
        <v>63</v>
      </c>
      <c r="AC457" s="2" t="s">
        <v>64</v>
      </c>
      <c r="AD457" s="2"/>
      <c r="AE457" s="3" t="s">
        <v>4900</v>
      </c>
      <c r="AF457" s="3" t="s">
        <v>5191</v>
      </c>
      <c r="AG457" s="2"/>
      <c r="AH457" s="2" t="s">
        <v>263</v>
      </c>
      <c r="AI457" s="3" t="s">
        <v>5192</v>
      </c>
      <c r="AJ457" s="3" t="s">
        <v>5193</v>
      </c>
      <c r="AK457" s="2" t="n">
        <v>609332</v>
      </c>
      <c r="AL457" s="3" t="s">
        <v>5194</v>
      </c>
      <c r="AM457" s="2"/>
      <c r="AN457" s="2"/>
      <c r="AO457" s="3"/>
      <c r="AP457" s="3"/>
      <c r="AQ457" s="2"/>
    </row>
    <row r="458" customFormat="false" ht="23.85" hidden="false" customHeight="false" outlineLevel="0" collapsed="false">
      <c r="A458" s="2" t="n">
        <v>457</v>
      </c>
      <c r="B458" s="2" t="s">
        <v>5195</v>
      </c>
      <c r="C458" s="2" t="s">
        <v>4738</v>
      </c>
      <c r="D458" s="2" t="s">
        <v>4738</v>
      </c>
      <c r="E458" s="2" t="s">
        <v>5196</v>
      </c>
      <c r="F458" s="2" t="s">
        <v>5197</v>
      </c>
      <c r="G458" s="3"/>
      <c r="H458" s="2"/>
      <c r="I458" s="2" t="s">
        <v>74</v>
      </c>
      <c r="J458" s="3" t="s">
        <v>5198</v>
      </c>
      <c r="K458" s="2" t="s">
        <v>4775</v>
      </c>
      <c r="L458" s="2" t="s">
        <v>1553</v>
      </c>
      <c r="M458" s="2"/>
      <c r="N458" s="2"/>
      <c r="O458" s="2"/>
      <c r="P458" s="2" t="n">
        <v>38.8946</v>
      </c>
      <c r="Q458" s="2" t="n">
        <v>31.0655</v>
      </c>
      <c r="R458" s="2" t="s">
        <v>95</v>
      </c>
      <c r="S458" s="2" t="n">
        <v>787</v>
      </c>
      <c r="T458" s="2" t="s">
        <v>464</v>
      </c>
      <c r="U458" s="2" t="s">
        <v>56</v>
      </c>
      <c r="V458" s="2" t="s">
        <v>245</v>
      </c>
      <c r="W458" s="2" t="s">
        <v>304</v>
      </c>
      <c r="X458" s="2" t="s">
        <v>169</v>
      </c>
      <c r="Y458" s="2"/>
      <c r="Z458" s="2" t="s">
        <v>170</v>
      </c>
      <c r="AA458" s="2"/>
      <c r="AB458" s="2" t="s">
        <v>81</v>
      </c>
      <c r="AC458" s="2"/>
      <c r="AD458" s="2"/>
      <c r="AE458" s="3"/>
      <c r="AF458" s="3" t="s">
        <v>5199</v>
      </c>
      <c r="AG458" s="2"/>
      <c r="AH458" s="2" t="s">
        <v>263</v>
      </c>
      <c r="AI458" s="3" t="s">
        <v>5200</v>
      </c>
      <c r="AJ458" s="3" t="s">
        <v>5201</v>
      </c>
      <c r="AK458" s="2" t="n">
        <v>609503</v>
      </c>
      <c r="AL458" s="3" t="s">
        <v>2645</v>
      </c>
      <c r="AM458" s="2"/>
      <c r="AN458" s="2"/>
      <c r="AO458" s="3" t="s">
        <v>5202</v>
      </c>
      <c r="AP458" s="3" t="s">
        <v>5203</v>
      </c>
      <c r="AQ458" s="2" t="s">
        <v>106</v>
      </c>
    </row>
    <row r="459" customFormat="false" ht="35.05" hidden="false" customHeight="false" outlineLevel="0" collapsed="false">
      <c r="A459" s="2" t="n">
        <v>458</v>
      </c>
      <c r="B459" s="2" t="s">
        <v>5204</v>
      </c>
      <c r="C459" s="2" t="s">
        <v>4738</v>
      </c>
      <c r="D459" s="2" t="s">
        <v>4738</v>
      </c>
      <c r="E459" s="2" t="s">
        <v>5205</v>
      </c>
      <c r="F459" s="2" t="s">
        <v>5206</v>
      </c>
      <c r="G459" s="3"/>
      <c r="H459" s="2" t="s">
        <v>2954</v>
      </c>
      <c r="I459" s="2" t="s">
        <v>49</v>
      </c>
      <c r="J459" s="3" t="s">
        <v>5207</v>
      </c>
      <c r="K459" s="2" t="s">
        <v>4775</v>
      </c>
      <c r="L459" s="2" t="s">
        <v>1553</v>
      </c>
      <c r="M459" s="2"/>
      <c r="N459" s="2"/>
      <c r="O459" s="2" t="s">
        <v>53</v>
      </c>
      <c r="P459" s="2" t="n">
        <v>39.0202</v>
      </c>
      <c r="Q459" s="2" t="n">
        <v>31.2956</v>
      </c>
      <c r="R459" s="2" t="s">
        <v>54</v>
      </c>
      <c r="S459" s="2" t="n">
        <v>-150</v>
      </c>
      <c r="T459" s="2" t="s">
        <v>2075</v>
      </c>
      <c r="U459" s="2" t="s">
        <v>56</v>
      </c>
      <c r="V459" s="2" t="s">
        <v>78</v>
      </c>
      <c r="W459" s="2" t="s">
        <v>195</v>
      </c>
      <c r="X459" s="2" t="s">
        <v>289</v>
      </c>
      <c r="Y459" s="2"/>
      <c r="Z459" s="2" t="s">
        <v>170</v>
      </c>
      <c r="AA459" s="2"/>
      <c r="AB459" s="2" t="s">
        <v>63</v>
      </c>
      <c r="AC459" s="2" t="s">
        <v>77</v>
      </c>
      <c r="AD459" s="2"/>
      <c r="AE459" s="3" t="s">
        <v>5208</v>
      </c>
      <c r="AF459" s="3" t="s">
        <v>5209</v>
      </c>
      <c r="AG459" s="2"/>
      <c r="AH459" s="2" t="s">
        <v>54</v>
      </c>
      <c r="AI459" s="3" t="s">
        <v>5210</v>
      </c>
      <c r="AJ459" s="3" t="s">
        <v>5211</v>
      </c>
      <c r="AK459" s="2" t="n">
        <v>609302</v>
      </c>
      <c r="AL459" s="3" t="s">
        <v>5212</v>
      </c>
      <c r="AM459" s="2"/>
      <c r="AN459" s="2"/>
      <c r="AO459" s="3"/>
      <c r="AP459" s="3"/>
      <c r="AQ459" s="2"/>
    </row>
    <row r="460" customFormat="false" ht="23.85" hidden="false" customHeight="false" outlineLevel="0" collapsed="false">
      <c r="A460" s="2" t="n">
        <v>459</v>
      </c>
      <c r="B460" s="2" t="s">
        <v>5213</v>
      </c>
      <c r="C460" s="2" t="s">
        <v>4738</v>
      </c>
      <c r="D460" s="2" t="s">
        <v>4738</v>
      </c>
      <c r="E460" s="2" t="s">
        <v>5214</v>
      </c>
      <c r="F460" s="2" t="s">
        <v>5215</v>
      </c>
      <c r="G460" s="3"/>
      <c r="H460" s="2" t="s">
        <v>5216</v>
      </c>
      <c r="I460" s="2" t="s">
        <v>49</v>
      </c>
      <c r="J460" s="3" t="s">
        <v>5217</v>
      </c>
      <c r="K460" s="2" t="s">
        <v>4775</v>
      </c>
      <c r="L460" s="2" t="s">
        <v>1553</v>
      </c>
      <c r="M460" s="2"/>
      <c r="N460" s="2"/>
      <c r="O460" s="2" t="s">
        <v>53</v>
      </c>
      <c r="P460" s="2" t="n">
        <v>39.2556</v>
      </c>
      <c r="Q460" s="2" t="n">
        <v>31.2573</v>
      </c>
      <c r="R460" s="2" t="s">
        <v>54</v>
      </c>
      <c r="S460" s="2" t="n">
        <v>325</v>
      </c>
      <c r="T460" s="2" t="s">
        <v>5218</v>
      </c>
      <c r="U460" s="2" t="s">
        <v>139</v>
      </c>
      <c r="V460" s="2" t="s">
        <v>57</v>
      </c>
      <c r="W460" s="2" t="s">
        <v>140</v>
      </c>
      <c r="X460" s="2" t="s">
        <v>141</v>
      </c>
      <c r="Y460" s="2" t="s">
        <v>652</v>
      </c>
      <c r="Z460" s="2" t="s">
        <v>143</v>
      </c>
      <c r="AA460" s="2"/>
      <c r="AB460" s="2" t="s">
        <v>63</v>
      </c>
      <c r="AC460" s="2" t="s">
        <v>64</v>
      </c>
      <c r="AD460" s="2"/>
      <c r="AE460" s="3" t="s">
        <v>5219</v>
      </c>
      <c r="AF460" s="3" t="s">
        <v>5220</v>
      </c>
      <c r="AG460" s="2"/>
      <c r="AH460" s="2" t="s">
        <v>54</v>
      </c>
      <c r="AI460" s="3" t="s">
        <v>5221</v>
      </c>
      <c r="AJ460" s="3" t="s">
        <v>5222</v>
      </c>
      <c r="AK460" s="2" t="n">
        <v>609488</v>
      </c>
      <c r="AL460" s="3" t="s">
        <v>5223</v>
      </c>
      <c r="AM460" s="2"/>
      <c r="AN460" s="2"/>
      <c r="AO460" s="3"/>
      <c r="AP460" s="3"/>
      <c r="AQ460" s="2"/>
    </row>
    <row r="461" customFormat="false" ht="46.25" hidden="false" customHeight="false" outlineLevel="0" collapsed="false">
      <c r="A461" s="2" t="n">
        <v>460</v>
      </c>
      <c r="B461" s="2" t="s">
        <v>5224</v>
      </c>
      <c r="C461" s="2" t="s">
        <v>4738</v>
      </c>
      <c r="D461" s="2" t="s">
        <v>4738</v>
      </c>
      <c r="E461" s="2" t="s">
        <v>5225</v>
      </c>
      <c r="F461" s="2" t="s">
        <v>5226</v>
      </c>
      <c r="G461" s="3" t="s">
        <v>5227</v>
      </c>
      <c r="H461" s="2"/>
      <c r="I461" s="2" t="s">
        <v>74</v>
      </c>
      <c r="J461" s="3" t="s">
        <v>5228</v>
      </c>
      <c r="K461" s="2" t="s">
        <v>5229</v>
      </c>
      <c r="L461" s="2" t="s">
        <v>1553</v>
      </c>
      <c r="M461" s="2"/>
      <c r="N461" s="2"/>
      <c r="O461" s="2"/>
      <c r="P461" s="2" t="n">
        <v>38.95</v>
      </c>
      <c r="Q461" s="2" t="n">
        <v>30.06</v>
      </c>
      <c r="R461" s="2" t="s">
        <v>95</v>
      </c>
      <c r="S461" s="2" t="n">
        <v>77</v>
      </c>
      <c r="T461" s="2" t="s">
        <v>1361</v>
      </c>
      <c r="U461" s="2" t="s">
        <v>56</v>
      </c>
      <c r="V461" s="2" t="s">
        <v>78</v>
      </c>
      <c r="W461" s="2" t="s">
        <v>140</v>
      </c>
      <c r="X461" s="2" t="s">
        <v>289</v>
      </c>
      <c r="Y461" s="2"/>
      <c r="Z461" s="2" t="s">
        <v>170</v>
      </c>
      <c r="AA461" s="2"/>
      <c r="AB461" s="2" t="s">
        <v>63</v>
      </c>
      <c r="AC461" s="2" t="s">
        <v>64</v>
      </c>
      <c r="AD461" s="2"/>
      <c r="AE461" s="3" t="s">
        <v>4900</v>
      </c>
      <c r="AF461" s="3" t="s">
        <v>5230</v>
      </c>
      <c r="AG461" s="2"/>
      <c r="AH461" s="2" t="s">
        <v>113</v>
      </c>
      <c r="AI461" s="3" t="s">
        <v>5231</v>
      </c>
      <c r="AJ461" s="3" t="s">
        <v>5232</v>
      </c>
      <c r="AK461" s="2" t="n">
        <v>614635</v>
      </c>
      <c r="AL461" s="3" t="s">
        <v>5233</v>
      </c>
      <c r="AM461" s="2"/>
      <c r="AN461" s="2"/>
      <c r="AO461" s="3"/>
      <c r="AP461" s="3"/>
      <c r="AQ461" s="2"/>
    </row>
    <row r="462" customFormat="false" ht="23.85" hidden="false" customHeight="false" outlineLevel="0" collapsed="false">
      <c r="A462" s="2" t="n">
        <v>461</v>
      </c>
      <c r="B462" s="2" t="s">
        <v>5234</v>
      </c>
      <c r="C462" s="2" t="s">
        <v>4738</v>
      </c>
      <c r="D462" s="2" t="s">
        <v>4738</v>
      </c>
      <c r="E462" s="2" t="s">
        <v>5235</v>
      </c>
      <c r="F462" s="2" t="s">
        <v>5236</v>
      </c>
      <c r="G462" s="3" t="s">
        <v>5237</v>
      </c>
      <c r="H462" s="2"/>
      <c r="I462" s="2" t="s">
        <v>74</v>
      </c>
      <c r="J462" s="3" t="s">
        <v>5238</v>
      </c>
      <c r="K462" s="2" t="s">
        <v>5229</v>
      </c>
      <c r="L462" s="2" t="s">
        <v>1553</v>
      </c>
      <c r="M462" s="2"/>
      <c r="N462" s="2"/>
      <c r="O462" s="2"/>
      <c r="P462" s="2" t="n">
        <v>38.9074</v>
      </c>
      <c r="Q462" s="2" t="n">
        <v>29.9132</v>
      </c>
      <c r="R462" s="2" t="s">
        <v>95</v>
      </c>
      <c r="S462" s="2" t="n">
        <v>100</v>
      </c>
      <c r="T462" s="2" t="s">
        <v>2260</v>
      </c>
      <c r="U462" s="2" t="s">
        <v>56</v>
      </c>
      <c r="V462" s="2" t="s">
        <v>78</v>
      </c>
      <c r="W462" s="2" t="s">
        <v>140</v>
      </c>
      <c r="X462" s="2" t="s">
        <v>289</v>
      </c>
      <c r="Y462" s="2"/>
      <c r="Z462" s="2" t="s">
        <v>170</v>
      </c>
      <c r="AA462" s="2"/>
      <c r="AB462" s="2" t="s">
        <v>63</v>
      </c>
      <c r="AC462" s="2" t="s">
        <v>64</v>
      </c>
      <c r="AD462" s="2"/>
      <c r="AE462" s="3" t="s">
        <v>4900</v>
      </c>
      <c r="AF462" s="3" t="s">
        <v>5239</v>
      </c>
      <c r="AG462" s="2"/>
      <c r="AH462" s="2" t="s">
        <v>113</v>
      </c>
      <c r="AI462" s="3" t="s">
        <v>5240</v>
      </c>
      <c r="AJ462" s="3" t="s">
        <v>5241</v>
      </c>
      <c r="AK462" s="2" t="n">
        <v>609298</v>
      </c>
      <c r="AL462" s="3" t="s">
        <v>5053</v>
      </c>
      <c r="AM462" s="2"/>
      <c r="AN462" s="2"/>
      <c r="AO462" s="3"/>
      <c r="AP462" s="3"/>
      <c r="AQ462" s="2"/>
    </row>
    <row r="463" customFormat="false" ht="23.85" hidden="false" customHeight="false" outlineLevel="0" collapsed="false">
      <c r="A463" s="2" t="n">
        <v>462</v>
      </c>
      <c r="B463" s="2" t="s">
        <v>5242</v>
      </c>
      <c r="C463" s="2" t="s">
        <v>4738</v>
      </c>
      <c r="D463" s="2" t="s">
        <v>4738</v>
      </c>
      <c r="E463" s="2" t="s">
        <v>5243</v>
      </c>
      <c r="F463" s="2" t="s">
        <v>5244</v>
      </c>
      <c r="G463" s="3"/>
      <c r="H463" s="2"/>
      <c r="I463" s="2" t="s">
        <v>74</v>
      </c>
      <c r="J463" s="3" t="s">
        <v>5245</v>
      </c>
      <c r="K463" s="2" t="s">
        <v>5229</v>
      </c>
      <c r="L463" s="2" t="s">
        <v>1553</v>
      </c>
      <c r="M463" s="2"/>
      <c r="N463" s="2"/>
      <c r="O463" s="2"/>
      <c r="P463" s="2" t="n">
        <v>39.0246</v>
      </c>
      <c r="Q463" s="2" t="n">
        <v>29.9834</v>
      </c>
      <c r="R463" s="2" t="s">
        <v>95</v>
      </c>
      <c r="S463" s="2" t="n">
        <v>100</v>
      </c>
      <c r="T463" s="2" t="s">
        <v>2260</v>
      </c>
      <c r="U463" s="2" t="s">
        <v>56</v>
      </c>
      <c r="V463" s="2" t="s">
        <v>78</v>
      </c>
      <c r="W463" s="2" t="s">
        <v>140</v>
      </c>
      <c r="X463" s="2" t="s">
        <v>289</v>
      </c>
      <c r="Y463" s="2"/>
      <c r="Z463" s="2" t="s">
        <v>170</v>
      </c>
      <c r="AA463" s="2"/>
      <c r="AB463" s="2" t="s">
        <v>63</v>
      </c>
      <c r="AC463" s="2" t="s">
        <v>64</v>
      </c>
      <c r="AD463" s="2"/>
      <c r="AE463" s="3" t="s">
        <v>5246</v>
      </c>
      <c r="AF463" s="3" t="s">
        <v>5247</v>
      </c>
      <c r="AG463" s="2"/>
      <c r="AH463" s="2" t="s">
        <v>54</v>
      </c>
      <c r="AI463" s="3" t="s">
        <v>5248</v>
      </c>
      <c r="AJ463" s="3" t="s">
        <v>5249</v>
      </c>
      <c r="AK463" s="2" t="n">
        <v>609314</v>
      </c>
      <c r="AL463" s="3" t="s">
        <v>5250</v>
      </c>
      <c r="AM463" s="2"/>
      <c r="AN463" s="2"/>
      <c r="AO463" s="3"/>
      <c r="AP463" s="3"/>
      <c r="AQ463" s="2"/>
    </row>
    <row r="464" customFormat="false" ht="23.85" hidden="false" customHeight="false" outlineLevel="0" collapsed="false">
      <c r="A464" s="2" t="n">
        <v>463</v>
      </c>
      <c r="B464" s="2" t="s">
        <v>5251</v>
      </c>
      <c r="C464" s="2" t="s">
        <v>4738</v>
      </c>
      <c r="D464" s="2" t="s">
        <v>4738</v>
      </c>
      <c r="E464" s="2" t="s">
        <v>5252</v>
      </c>
      <c r="F464" s="2" t="s">
        <v>3585</v>
      </c>
      <c r="G464" s="3"/>
      <c r="H464" s="2"/>
      <c r="I464" s="2" t="s">
        <v>93</v>
      </c>
      <c r="J464" s="3" t="s">
        <v>5253</v>
      </c>
      <c r="K464" s="2" t="s">
        <v>5229</v>
      </c>
      <c r="L464" s="2" t="s">
        <v>1553</v>
      </c>
      <c r="M464" s="2"/>
      <c r="N464" s="2"/>
      <c r="O464" s="2"/>
      <c r="P464" s="2" t="n">
        <v>39.11</v>
      </c>
      <c r="Q464" s="2" t="n">
        <v>29.8</v>
      </c>
      <c r="R464" s="2" t="s">
        <v>637</v>
      </c>
      <c r="S464" s="2" t="n">
        <v>440</v>
      </c>
      <c r="T464" s="2" t="s">
        <v>5254</v>
      </c>
      <c r="U464" s="2" t="s">
        <v>139</v>
      </c>
      <c r="V464" s="2" t="s">
        <v>97</v>
      </c>
      <c r="W464" s="2" t="s">
        <v>304</v>
      </c>
      <c r="X464" s="2" t="s">
        <v>141</v>
      </c>
      <c r="Y464" s="2" t="s">
        <v>5255</v>
      </c>
      <c r="Z464" s="2" t="s">
        <v>559</v>
      </c>
      <c r="AA464" s="2"/>
      <c r="AB464" s="2" t="s">
        <v>81</v>
      </c>
      <c r="AC464" s="2"/>
      <c r="AD464" s="2"/>
      <c r="AE464" s="3"/>
      <c r="AF464" s="3" t="s">
        <v>5256</v>
      </c>
      <c r="AG464" s="2"/>
      <c r="AH464" s="2" t="s">
        <v>263</v>
      </c>
      <c r="AI464" s="3" t="s">
        <v>5257</v>
      </c>
      <c r="AJ464" s="3" t="s">
        <v>5258</v>
      </c>
      <c r="AK464" s="2" t="n">
        <v>614653</v>
      </c>
      <c r="AL464" s="3" t="s">
        <v>5259</v>
      </c>
      <c r="AM464" s="2"/>
      <c r="AN464" s="2"/>
      <c r="AO464" s="3" t="s">
        <v>5260</v>
      </c>
      <c r="AP464" s="3" t="s">
        <v>5261</v>
      </c>
      <c r="AQ464" s="2" t="s">
        <v>106</v>
      </c>
    </row>
    <row r="465" customFormat="false" ht="23.85" hidden="false" customHeight="false" outlineLevel="0" collapsed="false">
      <c r="A465" s="2" t="n">
        <v>464</v>
      </c>
      <c r="B465" s="2" t="s">
        <v>5262</v>
      </c>
      <c r="C465" s="2" t="s">
        <v>4738</v>
      </c>
      <c r="D465" s="2" t="s">
        <v>4738</v>
      </c>
      <c r="E465" s="2" t="s">
        <v>5263</v>
      </c>
      <c r="F465" s="2" t="s">
        <v>5264</v>
      </c>
      <c r="G465" s="3" t="s">
        <v>5265</v>
      </c>
      <c r="H465" s="2" t="s">
        <v>5229</v>
      </c>
      <c r="I465" s="2" t="s">
        <v>123</v>
      </c>
      <c r="J465" s="3" t="s">
        <v>5266</v>
      </c>
      <c r="K465" s="2" t="s">
        <v>5229</v>
      </c>
      <c r="L465" s="2" t="s">
        <v>1553</v>
      </c>
      <c r="M465" s="2" t="s">
        <v>581</v>
      </c>
      <c r="N465" s="2" t="s">
        <v>63</v>
      </c>
      <c r="O465" s="2" t="s">
        <v>422</v>
      </c>
      <c r="P465" s="2" t="n">
        <v>39.4181</v>
      </c>
      <c r="Q465" s="2" t="n">
        <v>29.9845</v>
      </c>
      <c r="R465" s="2" t="s">
        <v>54</v>
      </c>
      <c r="S465" s="2" t="n">
        <v>0</v>
      </c>
      <c r="T465" s="2" t="s">
        <v>5008</v>
      </c>
      <c r="U465" s="2" t="s">
        <v>56</v>
      </c>
      <c r="V465" s="2" t="s">
        <v>78</v>
      </c>
      <c r="W465" s="2" t="s">
        <v>140</v>
      </c>
      <c r="X465" s="2" t="s">
        <v>289</v>
      </c>
      <c r="Y465" s="2"/>
      <c r="Z465" s="2" t="s">
        <v>170</v>
      </c>
      <c r="AA465" s="2"/>
      <c r="AB465" s="2" t="s">
        <v>63</v>
      </c>
      <c r="AC465" s="2" t="s">
        <v>64</v>
      </c>
      <c r="AD465" s="2"/>
      <c r="AE465" s="3" t="s">
        <v>5267</v>
      </c>
      <c r="AF465" s="3" t="s">
        <v>5268</v>
      </c>
      <c r="AG465" s="2"/>
      <c r="AH465" s="2" t="s">
        <v>54</v>
      </c>
      <c r="AI465" s="3" t="s">
        <v>5269</v>
      </c>
      <c r="AJ465" s="3" t="s">
        <v>5270</v>
      </c>
      <c r="AK465" s="2" t="n">
        <v>609444</v>
      </c>
      <c r="AL465" s="3" t="s">
        <v>5271</v>
      </c>
      <c r="AM465" s="2"/>
      <c r="AN465" s="2" t="s">
        <v>200</v>
      </c>
      <c r="AO465" s="3"/>
      <c r="AP465" s="3"/>
      <c r="AQ465" s="2"/>
    </row>
    <row r="466" customFormat="false" ht="23.85" hidden="false" customHeight="false" outlineLevel="0" collapsed="false">
      <c r="A466" s="2" t="n">
        <v>465</v>
      </c>
      <c r="B466" s="2" t="s">
        <v>5272</v>
      </c>
      <c r="C466" s="2" t="s">
        <v>4738</v>
      </c>
      <c r="D466" s="2" t="s">
        <v>4738</v>
      </c>
      <c r="E466" s="2" t="s">
        <v>5273</v>
      </c>
      <c r="F466" s="2" t="s">
        <v>5274</v>
      </c>
      <c r="G466" s="3" t="s">
        <v>5275</v>
      </c>
      <c r="H466" s="2" t="s">
        <v>5276</v>
      </c>
      <c r="I466" s="2" t="s">
        <v>123</v>
      </c>
      <c r="J466" s="3" t="s">
        <v>5277</v>
      </c>
      <c r="K466" s="2" t="s">
        <v>5229</v>
      </c>
      <c r="L466" s="2" t="s">
        <v>1553</v>
      </c>
      <c r="M466" s="2" t="s">
        <v>5276</v>
      </c>
      <c r="N466" s="2"/>
      <c r="O466" s="2" t="s">
        <v>53</v>
      </c>
      <c r="P466" s="2" t="n">
        <v>39.2013</v>
      </c>
      <c r="Q466" s="2" t="n">
        <v>29.6094</v>
      </c>
      <c r="R466" s="2" t="s">
        <v>54</v>
      </c>
      <c r="S466" s="2" t="n">
        <v>-200</v>
      </c>
      <c r="T466" s="2" t="s">
        <v>194</v>
      </c>
      <c r="U466" s="2" t="s">
        <v>56</v>
      </c>
      <c r="V466" s="2" t="s">
        <v>78</v>
      </c>
      <c r="W466" s="2" t="s">
        <v>195</v>
      </c>
      <c r="X466" s="2" t="s">
        <v>289</v>
      </c>
      <c r="Y466" s="2"/>
      <c r="Z466" s="2" t="s">
        <v>170</v>
      </c>
      <c r="AA466" s="2"/>
      <c r="AB466" s="2" t="s">
        <v>63</v>
      </c>
      <c r="AC466" s="2" t="s">
        <v>77</v>
      </c>
      <c r="AD466" s="2"/>
      <c r="AE466" s="3" t="s">
        <v>5278</v>
      </c>
      <c r="AF466" s="3" t="s">
        <v>5279</v>
      </c>
      <c r="AG466" s="2"/>
      <c r="AH466" s="2" t="s">
        <v>54</v>
      </c>
      <c r="AI466" s="3" t="s">
        <v>5280</v>
      </c>
      <c r="AJ466" s="3" t="s">
        <v>5281</v>
      </c>
      <c r="AK466" s="2" t="n">
        <v>609292</v>
      </c>
      <c r="AL466" s="3" t="s">
        <v>5282</v>
      </c>
      <c r="AM466" s="2"/>
      <c r="AN466" s="2"/>
      <c r="AO466" s="3"/>
      <c r="AP466" s="3"/>
      <c r="AQ466" s="2"/>
    </row>
    <row r="467" customFormat="false" ht="23.85" hidden="false" customHeight="false" outlineLevel="0" collapsed="false">
      <c r="A467" s="2" t="n">
        <v>466</v>
      </c>
      <c r="B467" s="2" t="s">
        <v>5283</v>
      </c>
      <c r="C467" s="2" t="s">
        <v>4738</v>
      </c>
      <c r="D467" s="2" t="s">
        <v>4738</v>
      </c>
      <c r="E467" s="2" t="s">
        <v>5284</v>
      </c>
      <c r="F467" s="2" t="s">
        <v>5285</v>
      </c>
      <c r="G467" s="3" t="s">
        <v>5286</v>
      </c>
      <c r="H467" s="2" t="s">
        <v>5287</v>
      </c>
      <c r="I467" s="2" t="s">
        <v>123</v>
      </c>
      <c r="J467" s="3" t="s">
        <v>5288</v>
      </c>
      <c r="K467" s="2" t="s">
        <v>5229</v>
      </c>
      <c r="L467" s="2" t="s">
        <v>1553</v>
      </c>
      <c r="M467" s="2"/>
      <c r="N467" s="2"/>
      <c r="O467" s="2" t="s">
        <v>422</v>
      </c>
      <c r="P467" s="2" t="n">
        <v>39.039</v>
      </c>
      <c r="Q467" s="2" t="n">
        <v>29.418</v>
      </c>
      <c r="R467" s="2" t="s">
        <v>54</v>
      </c>
      <c r="S467" s="2" t="n">
        <v>-100</v>
      </c>
      <c r="T467" s="2" t="s">
        <v>2084</v>
      </c>
      <c r="U467" s="2" t="s">
        <v>56</v>
      </c>
      <c r="V467" s="2" t="s">
        <v>78</v>
      </c>
      <c r="W467" s="2" t="s">
        <v>195</v>
      </c>
      <c r="X467" s="2" t="s">
        <v>289</v>
      </c>
      <c r="Y467" s="2"/>
      <c r="Z467" s="2" t="s">
        <v>170</v>
      </c>
      <c r="AA467" s="2"/>
      <c r="AB467" s="2" t="s">
        <v>63</v>
      </c>
      <c r="AC467" s="2" t="s">
        <v>64</v>
      </c>
      <c r="AD467" s="2"/>
      <c r="AE467" s="3" t="s">
        <v>5289</v>
      </c>
      <c r="AF467" s="3" t="s">
        <v>5290</v>
      </c>
      <c r="AG467" s="2"/>
      <c r="AH467" s="2" t="s">
        <v>54</v>
      </c>
      <c r="AI467" s="3" t="s">
        <v>5291</v>
      </c>
      <c r="AJ467" s="3" t="s">
        <v>5292</v>
      </c>
      <c r="AK467" s="2" t="n">
        <v>609420</v>
      </c>
      <c r="AL467" s="3" t="s">
        <v>5293</v>
      </c>
      <c r="AM467" s="2"/>
      <c r="AN467" s="2" t="s">
        <v>200</v>
      </c>
      <c r="AO467" s="3"/>
      <c r="AP467" s="3"/>
      <c r="AQ467" s="2"/>
    </row>
    <row r="468" customFormat="false" ht="15" hidden="false" customHeight="false" outlineLevel="0" collapsed="false">
      <c r="A468" s="2" t="n">
        <v>467</v>
      </c>
      <c r="B468" s="2" t="s">
        <v>5294</v>
      </c>
      <c r="C468" s="2" t="s">
        <v>4738</v>
      </c>
      <c r="D468" s="2" t="s">
        <v>4738</v>
      </c>
      <c r="E468" s="2" t="s">
        <v>5295</v>
      </c>
      <c r="F468" s="2" t="s">
        <v>5296</v>
      </c>
      <c r="G468" s="3" t="s">
        <v>5297</v>
      </c>
      <c r="H468" s="2" t="s">
        <v>5298</v>
      </c>
      <c r="I468" s="2" t="s">
        <v>123</v>
      </c>
      <c r="J468" s="3" t="s">
        <v>5299</v>
      </c>
      <c r="K468" s="2" t="s">
        <v>5229</v>
      </c>
      <c r="L468" s="2" t="s">
        <v>1553</v>
      </c>
      <c r="M468" s="2" t="s">
        <v>5298</v>
      </c>
      <c r="N468" s="2"/>
      <c r="O468" s="2" t="s">
        <v>422</v>
      </c>
      <c r="P468" s="2" t="n">
        <v>39.0922</v>
      </c>
      <c r="Q468" s="2" t="n">
        <v>28.9785</v>
      </c>
      <c r="R468" s="2" t="s">
        <v>54</v>
      </c>
      <c r="S468" s="2" t="n">
        <v>100</v>
      </c>
      <c r="T468" s="2" t="s">
        <v>2260</v>
      </c>
      <c r="U468" s="2" t="s">
        <v>56</v>
      </c>
      <c r="V468" s="2" t="s">
        <v>78</v>
      </c>
      <c r="W468" s="2" t="s">
        <v>140</v>
      </c>
      <c r="X468" s="2" t="s">
        <v>289</v>
      </c>
      <c r="Y468" s="2"/>
      <c r="Z468" s="2" t="s">
        <v>170</v>
      </c>
      <c r="AA468" s="2"/>
      <c r="AB468" s="2" t="s">
        <v>63</v>
      </c>
      <c r="AC468" s="2" t="s">
        <v>64</v>
      </c>
      <c r="AD468" s="2"/>
      <c r="AE468" s="3" t="s">
        <v>5300</v>
      </c>
      <c r="AF468" s="3" t="s">
        <v>5301</v>
      </c>
      <c r="AG468" s="2"/>
      <c r="AH468" s="2" t="s">
        <v>54</v>
      </c>
      <c r="AI468" s="3" t="s">
        <v>5099</v>
      </c>
      <c r="AJ468" s="3" t="s">
        <v>5302</v>
      </c>
      <c r="AK468" s="2" t="n">
        <v>609537</v>
      </c>
      <c r="AL468" s="3" t="s">
        <v>5053</v>
      </c>
      <c r="AM468" s="2"/>
      <c r="AN468" s="2" t="s">
        <v>200</v>
      </c>
      <c r="AO468" s="3"/>
      <c r="AP468" s="3"/>
      <c r="AQ468" s="2"/>
    </row>
    <row r="469" customFormat="false" ht="23.85" hidden="false" customHeight="false" outlineLevel="0" collapsed="false">
      <c r="A469" s="2" t="n">
        <v>468</v>
      </c>
      <c r="B469" s="2" t="s">
        <v>5303</v>
      </c>
      <c r="C469" s="2" t="s">
        <v>4738</v>
      </c>
      <c r="D469" s="2" t="s">
        <v>4738</v>
      </c>
      <c r="E469" s="2" t="s">
        <v>5304</v>
      </c>
      <c r="F469" s="2" t="s">
        <v>5305</v>
      </c>
      <c r="G469" s="3" t="s">
        <v>5306</v>
      </c>
      <c r="H469" s="2" t="s">
        <v>5307</v>
      </c>
      <c r="I469" s="2" t="s">
        <v>49</v>
      </c>
      <c r="J469" s="3" t="s">
        <v>5308</v>
      </c>
      <c r="K469" s="2" t="s">
        <v>5229</v>
      </c>
      <c r="L469" s="2" t="s">
        <v>1553</v>
      </c>
      <c r="M469" s="2"/>
      <c r="N469" s="2"/>
      <c r="O469" s="2" t="s">
        <v>53</v>
      </c>
      <c r="P469" s="2" t="n">
        <v>39.1533</v>
      </c>
      <c r="Q469" s="2" t="n">
        <v>28.864</v>
      </c>
      <c r="R469" s="2" t="s">
        <v>54</v>
      </c>
      <c r="S469" s="2" t="n">
        <v>100</v>
      </c>
      <c r="T469" s="2" t="s">
        <v>2260</v>
      </c>
      <c r="U469" s="2" t="s">
        <v>56</v>
      </c>
      <c r="V469" s="2" t="s">
        <v>78</v>
      </c>
      <c r="W469" s="2" t="s">
        <v>140</v>
      </c>
      <c r="X469" s="2" t="s">
        <v>289</v>
      </c>
      <c r="Y469" s="2"/>
      <c r="Z469" s="2" t="s">
        <v>170</v>
      </c>
      <c r="AA469" s="2"/>
      <c r="AB469" s="2" t="s">
        <v>63</v>
      </c>
      <c r="AC469" s="2" t="s">
        <v>64</v>
      </c>
      <c r="AD469" s="2"/>
      <c r="AE469" s="3" t="s">
        <v>5246</v>
      </c>
      <c r="AF469" s="3" t="s">
        <v>5309</v>
      </c>
      <c r="AG469" s="2"/>
      <c r="AH469" s="2" t="s">
        <v>54</v>
      </c>
      <c r="AI469" s="3" t="s">
        <v>5310</v>
      </c>
      <c r="AJ469" s="3" t="s">
        <v>5311</v>
      </c>
      <c r="AK469" s="2" t="n">
        <v>609305</v>
      </c>
      <c r="AL469" s="3" t="s">
        <v>5312</v>
      </c>
      <c r="AM469" s="2"/>
      <c r="AN469" s="2"/>
      <c r="AO469" s="3"/>
      <c r="AP469" s="3"/>
      <c r="AQ469" s="2"/>
    </row>
    <row r="470" customFormat="false" ht="23.85" hidden="false" customHeight="false" outlineLevel="0" collapsed="false">
      <c r="A470" s="2" t="n">
        <v>469</v>
      </c>
      <c r="B470" s="2" t="s">
        <v>5313</v>
      </c>
      <c r="C470" s="2" t="s">
        <v>4738</v>
      </c>
      <c r="D470" s="2" t="s">
        <v>4738</v>
      </c>
      <c r="E470" s="2" t="s">
        <v>5314</v>
      </c>
      <c r="F470" s="2" t="s">
        <v>5315</v>
      </c>
      <c r="G470" s="3"/>
      <c r="H470" s="2"/>
      <c r="I470" s="2" t="s">
        <v>74</v>
      </c>
      <c r="J470" s="3" t="s">
        <v>5316</v>
      </c>
      <c r="K470" s="2" t="s">
        <v>5229</v>
      </c>
      <c r="L470" s="2" t="s">
        <v>1553</v>
      </c>
      <c r="M470" s="2"/>
      <c r="N470" s="2"/>
      <c r="O470" s="2"/>
      <c r="P470" s="2" t="n">
        <v>39.3746</v>
      </c>
      <c r="Q470" s="2" t="n">
        <v>29.3241</v>
      </c>
      <c r="R470" s="2" t="s">
        <v>95</v>
      </c>
      <c r="S470" s="2" t="n">
        <v>30</v>
      </c>
      <c r="T470" s="2" t="s">
        <v>5317</v>
      </c>
      <c r="U470" s="2" t="s">
        <v>139</v>
      </c>
      <c r="V470" s="2" t="s">
        <v>78</v>
      </c>
      <c r="W470" s="2" t="s">
        <v>140</v>
      </c>
      <c r="X470" s="2" t="s">
        <v>141</v>
      </c>
      <c r="Y470" s="2" t="s">
        <v>5318</v>
      </c>
      <c r="Z470" s="2" t="s">
        <v>143</v>
      </c>
      <c r="AA470" s="2"/>
      <c r="AB470" s="2" t="s">
        <v>81</v>
      </c>
      <c r="AC470" s="2"/>
      <c r="AD470" s="2"/>
      <c r="AE470" s="3"/>
      <c r="AF470" s="3" t="s">
        <v>5319</v>
      </c>
      <c r="AG470" s="2"/>
      <c r="AH470" s="2" t="s">
        <v>113</v>
      </c>
      <c r="AI470" s="3" t="s">
        <v>5320</v>
      </c>
      <c r="AJ470" s="3" t="s">
        <v>5321</v>
      </c>
      <c r="AK470" s="2" t="n">
        <v>609557</v>
      </c>
      <c r="AL470" s="3" t="s">
        <v>5322</v>
      </c>
      <c r="AM470" s="2"/>
      <c r="AN470" s="2"/>
      <c r="AO470" s="3" t="s">
        <v>5323</v>
      </c>
      <c r="AP470" s="3" t="s">
        <v>5324</v>
      </c>
      <c r="AQ470" s="2" t="s">
        <v>106</v>
      </c>
    </row>
    <row r="471" customFormat="false" ht="23.85" hidden="false" customHeight="false" outlineLevel="0" collapsed="false">
      <c r="A471" s="2" t="n">
        <v>470</v>
      </c>
      <c r="B471" s="2" t="s">
        <v>5325</v>
      </c>
      <c r="C471" s="2" t="s">
        <v>4738</v>
      </c>
      <c r="D471" s="2" t="s">
        <v>4738</v>
      </c>
      <c r="E471" s="2" t="s">
        <v>5326</v>
      </c>
      <c r="F471" s="2" t="s">
        <v>5327</v>
      </c>
      <c r="G471" s="3" t="s">
        <v>5328</v>
      </c>
      <c r="H471" s="2"/>
      <c r="I471" s="2" t="s">
        <v>74</v>
      </c>
      <c r="J471" s="3" t="s">
        <v>5329</v>
      </c>
      <c r="K471" s="2" t="s">
        <v>5330</v>
      </c>
      <c r="L471" s="2" t="s">
        <v>3931</v>
      </c>
      <c r="M471" s="2"/>
      <c r="N471" s="2"/>
      <c r="O471" s="2"/>
      <c r="P471" s="2" t="n">
        <v>39.2052</v>
      </c>
      <c r="Q471" s="2" t="n">
        <v>30.3762</v>
      </c>
      <c r="R471" s="2" t="s">
        <v>95</v>
      </c>
      <c r="S471" s="2" t="n">
        <v>640</v>
      </c>
      <c r="T471" s="2" t="s">
        <v>819</v>
      </c>
      <c r="U471" s="2" t="s">
        <v>56</v>
      </c>
      <c r="V471" s="2" t="s">
        <v>78</v>
      </c>
      <c r="W471" s="2" t="s">
        <v>304</v>
      </c>
      <c r="X471" s="2" t="s">
        <v>289</v>
      </c>
      <c r="Y471" s="2"/>
      <c r="Z471" s="2" t="s">
        <v>170</v>
      </c>
      <c r="AA471" s="2"/>
      <c r="AB471" s="2" t="s">
        <v>63</v>
      </c>
      <c r="AC471" s="2" t="s">
        <v>64</v>
      </c>
      <c r="AD471" s="2"/>
      <c r="AE471" s="3" t="s">
        <v>4900</v>
      </c>
      <c r="AF471" s="3" t="s">
        <v>5331</v>
      </c>
      <c r="AG471" s="2"/>
      <c r="AH471" s="2" t="s">
        <v>113</v>
      </c>
      <c r="AI471" s="3" t="s">
        <v>5332</v>
      </c>
      <c r="AJ471" s="3" t="s">
        <v>5333</v>
      </c>
      <c r="AK471" s="2" t="n">
        <v>609460</v>
      </c>
      <c r="AL471" s="3" t="s">
        <v>5334</v>
      </c>
      <c r="AM471" s="2"/>
      <c r="AN471" s="2"/>
      <c r="AO471" s="3"/>
      <c r="AP471" s="3"/>
      <c r="AQ471" s="2"/>
    </row>
    <row r="472" customFormat="false" ht="46.25" hidden="false" customHeight="false" outlineLevel="0" collapsed="false">
      <c r="A472" s="2" t="n">
        <v>471</v>
      </c>
      <c r="B472" s="2" t="s">
        <v>5335</v>
      </c>
      <c r="C472" s="2" t="s">
        <v>4738</v>
      </c>
      <c r="D472" s="2" t="s">
        <v>4738</v>
      </c>
      <c r="E472" s="2" t="s">
        <v>5336</v>
      </c>
      <c r="F472" s="2" t="s">
        <v>1940</v>
      </c>
      <c r="G472" s="3"/>
      <c r="H472" s="2" t="s">
        <v>5337</v>
      </c>
      <c r="I472" s="2" t="s">
        <v>49</v>
      </c>
      <c r="J472" s="3" t="s">
        <v>5338</v>
      </c>
      <c r="K472" s="2" t="s">
        <v>5330</v>
      </c>
      <c r="L472" s="2" t="s">
        <v>3931</v>
      </c>
      <c r="M472" s="2"/>
      <c r="N472" s="2"/>
      <c r="O472" s="2" t="s">
        <v>53</v>
      </c>
      <c r="P472" s="2" t="n">
        <v>39.1715</v>
      </c>
      <c r="Q472" s="2" t="n">
        <v>30.628</v>
      </c>
      <c r="R472" s="2" t="s">
        <v>95</v>
      </c>
      <c r="S472" s="2" t="n">
        <v>77</v>
      </c>
      <c r="T472" s="2" t="s">
        <v>1361</v>
      </c>
      <c r="U472" s="2" t="s">
        <v>56</v>
      </c>
      <c r="V472" s="2" t="s">
        <v>78</v>
      </c>
      <c r="W472" s="2" t="s">
        <v>140</v>
      </c>
      <c r="X472" s="2" t="s">
        <v>169</v>
      </c>
      <c r="Y472" s="2"/>
      <c r="Z472" s="2" t="s">
        <v>170</v>
      </c>
      <c r="AA472" s="2"/>
      <c r="AB472" s="2" t="s">
        <v>81</v>
      </c>
      <c r="AC472" s="2"/>
      <c r="AD472" s="2"/>
      <c r="AE472" s="3"/>
      <c r="AF472" s="3" t="s">
        <v>5339</v>
      </c>
      <c r="AG472" s="2"/>
      <c r="AH472" s="2" t="s">
        <v>263</v>
      </c>
      <c r="AI472" s="3" t="s">
        <v>5340</v>
      </c>
      <c r="AJ472" s="3" t="s">
        <v>5341</v>
      </c>
      <c r="AK472" s="2" t="n">
        <v>609470</v>
      </c>
      <c r="AL472" s="3" t="s">
        <v>5342</v>
      </c>
      <c r="AM472" s="2"/>
      <c r="AN472" s="2"/>
      <c r="AO472" s="3" t="s">
        <v>5343</v>
      </c>
      <c r="AP472" s="3" t="s">
        <v>5344</v>
      </c>
      <c r="AQ472" s="2" t="s">
        <v>89</v>
      </c>
    </row>
    <row r="473" customFormat="false" ht="23.85" hidden="false" customHeight="false" outlineLevel="0" collapsed="false">
      <c r="A473" s="2" t="n">
        <v>472</v>
      </c>
      <c r="B473" s="2" t="s">
        <v>5345</v>
      </c>
      <c r="C473" s="2" t="s">
        <v>4738</v>
      </c>
      <c r="D473" s="2" t="s">
        <v>4738</v>
      </c>
      <c r="E473" s="2" t="s">
        <v>5346</v>
      </c>
      <c r="F473" s="2" t="s">
        <v>5347</v>
      </c>
      <c r="G473" s="3" t="s">
        <v>5348</v>
      </c>
      <c r="H473" s="2" t="s">
        <v>5349</v>
      </c>
      <c r="I473" s="2" t="s">
        <v>123</v>
      </c>
      <c r="J473" s="3" t="s">
        <v>5350</v>
      </c>
      <c r="K473" s="2" t="s">
        <v>5330</v>
      </c>
      <c r="L473" s="2" t="s">
        <v>3931</v>
      </c>
      <c r="M473" s="2" t="s">
        <v>5349</v>
      </c>
      <c r="N473" s="2"/>
      <c r="O473" s="2" t="s">
        <v>53</v>
      </c>
      <c r="P473" s="2" t="n">
        <v>39.4584</v>
      </c>
      <c r="Q473" s="2" t="n">
        <v>30.7072</v>
      </c>
      <c r="R473" s="2" t="s">
        <v>54</v>
      </c>
      <c r="S473" s="2" t="n">
        <v>0</v>
      </c>
      <c r="T473" s="2" t="s">
        <v>5008</v>
      </c>
      <c r="U473" s="2" t="s">
        <v>56</v>
      </c>
      <c r="V473" s="2" t="s">
        <v>78</v>
      </c>
      <c r="W473" s="2" t="s">
        <v>140</v>
      </c>
      <c r="X473" s="2" t="s">
        <v>289</v>
      </c>
      <c r="Y473" s="2"/>
      <c r="Z473" s="2" t="s">
        <v>170</v>
      </c>
      <c r="AA473" s="2"/>
      <c r="AB473" s="2" t="s">
        <v>63</v>
      </c>
      <c r="AC473" s="2" t="s">
        <v>64</v>
      </c>
      <c r="AD473" s="2"/>
      <c r="AE473" s="3" t="s">
        <v>5351</v>
      </c>
      <c r="AF473" s="3" t="s">
        <v>5352</v>
      </c>
      <c r="AG473" s="2"/>
      <c r="AH473" s="2" t="s">
        <v>54</v>
      </c>
      <c r="AI473" s="3" t="s">
        <v>5353</v>
      </c>
      <c r="AJ473" s="3" t="s">
        <v>5354</v>
      </c>
      <c r="AK473" s="2" t="n">
        <v>609484</v>
      </c>
      <c r="AL473" s="3" t="s">
        <v>5355</v>
      </c>
      <c r="AM473" s="2"/>
      <c r="AN473" s="2"/>
      <c r="AO473" s="3"/>
      <c r="AP473" s="3"/>
      <c r="AQ473" s="2"/>
    </row>
    <row r="474" customFormat="false" ht="23.85" hidden="false" customHeight="false" outlineLevel="0" collapsed="false">
      <c r="A474" s="2" t="n">
        <v>473</v>
      </c>
      <c r="B474" s="2" t="s">
        <v>5356</v>
      </c>
      <c r="C474" s="2" t="s">
        <v>4738</v>
      </c>
      <c r="D474" s="2" t="s">
        <v>4738</v>
      </c>
      <c r="E474" s="2" t="s">
        <v>5357</v>
      </c>
      <c r="F474" s="2" t="s">
        <v>5358</v>
      </c>
      <c r="G474" s="3"/>
      <c r="H474" s="2"/>
      <c r="I474" s="2" t="s">
        <v>93</v>
      </c>
      <c r="J474" s="3" t="s">
        <v>5359</v>
      </c>
      <c r="K474" s="2" t="s">
        <v>5330</v>
      </c>
      <c r="L474" s="2" t="s">
        <v>3931</v>
      </c>
      <c r="M474" s="2"/>
      <c r="N474" s="2"/>
      <c r="O474" s="2"/>
      <c r="P474" s="2" t="n">
        <v>39.42</v>
      </c>
      <c r="Q474" s="2" t="n">
        <v>30.62</v>
      </c>
      <c r="R474" s="2" t="s">
        <v>637</v>
      </c>
      <c r="S474" s="2" t="n">
        <v>850</v>
      </c>
      <c r="T474" s="2" t="s">
        <v>5360</v>
      </c>
      <c r="U474" s="2" t="s">
        <v>56</v>
      </c>
      <c r="V474" s="2" t="s">
        <v>78</v>
      </c>
      <c r="W474" s="2" t="s">
        <v>304</v>
      </c>
      <c r="X474" s="2" t="s">
        <v>169</v>
      </c>
      <c r="Y474" s="2"/>
      <c r="Z474" s="2" t="s">
        <v>170</v>
      </c>
      <c r="AA474" s="2"/>
      <c r="AB474" s="2" t="s">
        <v>81</v>
      </c>
      <c r="AC474" s="2"/>
      <c r="AD474" s="2"/>
      <c r="AE474" s="3"/>
      <c r="AF474" s="3" t="s">
        <v>5361</v>
      </c>
      <c r="AG474" s="2"/>
      <c r="AH474" s="2" t="s">
        <v>263</v>
      </c>
      <c r="AI474" s="3" t="s">
        <v>5362</v>
      </c>
      <c r="AJ474" s="3" t="s">
        <v>5363</v>
      </c>
      <c r="AK474" s="2"/>
      <c r="AL474" s="3" t="s">
        <v>5364</v>
      </c>
      <c r="AM474" s="2"/>
      <c r="AN474" s="2"/>
      <c r="AO474" s="3" t="s">
        <v>5365</v>
      </c>
      <c r="AP474" s="3" t="s">
        <v>5366</v>
      </c>
      <c r="AQ474" s="2" t="s">
        <v>106</v>
      </c>
    </row>
    <row r="475" customFormat="false" ht="35.05" hidden="false" customHeight="false" outlineLevel="0" collapsed="false">
      <c r="A475" s="2" t="n">
        <v>474</v>
      </c>
      <c r="B475" s="2" t="s">
        <v>5367</v>
      </c>
      <c r="C475" s="2" t="s">
        <v>4738</v>
      </c>
      <c r="D475" s="2" t="s">
        <v>4738</v>
      </c>
      <c r="E475" s="2" t="s">
        <v>5368</v>
      </c>
      <c r="F475" s="2" t="s">
        <v>5369</v>
      </c>
      <c r="G475" s="3" t="s">
        <v>5370</v>
      </c>
      <c r="H475" s="2" t="s">
        <v>5330</v>
      </c>
      <c r="I475" s="2" t="s">
        <v>123</v>
      </c>
      <c r="J475" s="3" t="s">
        <v>5371</v>
      </c>
      <c r="K475" s="2" t="s">
        <v>5330</v>
      </c>
      <c r="L475" s="2" t="s">
        <v>3931</v>
      </c>
      <c r="M475" s="2" t="s">
        <v>5372</v>
      </c>
      <c r="N475" s="2" t="s">
        <v>63</v>
      </c>
      <c r="O475" s="2" t="s">
        <v>53</v>
      </c>
      <c r="P475" s="2" t="n">
        <v>39.7749</v>
      </c>
      <c r="Q475" s="2" t="n">
        <v>30.5168</v>
      </c>
      <c r="R475" s="2" t="s">
        <v>54</v>
      </c>
      <c r="S475" s="2" t="n">
        <v>0</v>
      </c>
      <c r="T475" s="2" t="s">
        <v>5008</v>
      </c>
      <c r="U475" s="2" t="s">
        <v>56</v>
      </c>
      <c r="V475" s="2" t="s">
        <v>78</v>
      </c>
      <c r="W475" s="2" t="s">
        <v>140</v>
      </c>
      <c r="X475" s="2" t="s">
        <v>289</v>
      </c>
      <c r="Y475" s="2"/>
      <c r="Z475" s="2" t="s">
        <v>170</v>
      </c>
      <c r="AA475" s="2"/>
      <c r="AB475" s="2" t="s">
        <v>63</v>
      </c>
      <c r="AC475" s="2" t="s">
        <v>77</v>
      </c>
      <c r="AD475" s="2"/>
      <c r="AE475" s="3" t="s">
        <v>5373</v>
      </c>
      <c r="AF475" s="3" t="s">
        <v>5374</v>
      </c>
      <c r="AG475" s="2"/>
      <c r="AH475" s="2" t="s">
        <v>54</v>
      </c>
      <c r="AI475" s="3" t="s">
        <v>5375</v>
      </c>
      <c r="AJ475" s="3" t="s">
        <v>5376</v>
      </c>
      <c r="AK475" s="2" t="n">
        <v>609367</v>
      </c>
      <c r="AL475" s="3" t="s">
        <v>5377</v>
      </c>
      <c r="AM475" s="2"/>
      <c r="AN475" s="2"/>
      <c r="AO475" s="3"/>
      <c r="AP475" s="3"/>
      <c r="AQ475" s="2"/>
    </row>
    <row r="476" customFormat="false" ht="23.85" hidden="false" customHeight="false" outlineLevel="0" collapsed="false">
      <c r="A476" s="2" t="n">
        <v>475</v>
      </c>
      <c r="B476" s="2" t="s">
        <v>5378</v>
      </c>
      <c r="C476" s="2" t="s">
        <v>4738</v>
      </c>
      <c r="D476" s="2" t="s">
        <v>4738</v>
      </c>
      <c r="E476" s="2" t="s">
        <v>5379</v>
      </c>
      <c r="F476" s="2" t="s">
        <v>5380</v>
      </c>
      <c r="G476" s="3" t="s">
        <v>5381</v>
      </c>
      <c r="H476" s="2"/>
      <c r="I476" s="2" t="s">
        <v>74</v>
      </c>
      <c r="J476" s="3" t="s">
        <v>5382</v>
      </c>
      <c r="K476" s="2" t="s">
        <v>5330</v>
      </c>
      <c r="L476" s="2" t="s">
        <v>3931</v>
      </c>
      <c r="M476" s="2"/>
      <c r="N476" s="2"/>
      <c r="O476" s="2"/>
      <c r="P476" s="2" t="n">
        <v>39.8001</v>
      </c>
      <c r="Q476" s="2" t="n">
        <v>30.8452</v>
      </c>
      <c r="R476" s="2" t="s">
        <v>54</v>
      </c>
      <c r="S476" s="2" t="n">
        <v>0</v>
      </c>
      <c r="T476" s="2" t="s">
        <v>5008</v>
      </c>
      <c r="U476" s="2" t="s">
        <v>56</v>
      </c>
      <c r="V476" s="2" t="s">
        <v>78</v>
      </c>
      <c r="W476" s="2" t="s">
        <v>140</v>
      </c>
      <c r="X476" s="2" t="s">
        <v>289</v>
      </c>
      <c r="Y476" s="2"/>
      <c r="Z476" s="2" t="s">
        <v>170</v>
      </c>
      <c r="AA476" s="2"/>
      <c r="AB476" s="2" t="s">
        <v>63</v>
      </c>
      <c r="AC476" s="2" t="s">
        <v>64</v>
      </c>
      <c r="AD476" s="2"/>
      <c r="AE476" s="3" t="s">
        <v>5383</v>
      </c>
      <c r="AF476" s="3" t="s">
        <v>5352</v>
      </c>
      <c r="AG476" s="2"/>
      <c r="AH476" s="2" t="s">
        <v>54</v>
      </c>
      <c r="AI476" s="3"/>
      <c r="AJ476" s="3" t="s">
        <v>5384</v>
      </c>
      <c r="AK476" s="2" t="n">
        <v>609473</v>
      </c>
      <c r="AL476" s="3" t="s">
        <v>5271</v>
      </c>
      <c r="AM476" s="2"/>
      <c r="AN476" s="2"/>
      <c r="AO476" s="3"/>
      <c r="AP476" s="3"/>
      <c r="AQ476" s="2"/>
    </row>
    <row r="477" customFormat="false" ht="23.85" hidden="false" customHeight="false" outlineLevel="0" collapsed="false">
      <c r="A477" s="2" t="n">
        <v>476</v>
      </c>
      <c r="B477" s="2" t="s">
        <v>5385</v>
      </c>
      <c r="C477" s="2" t="s">
        <v>4738</v>
      </c>
      <c r="D477" s="2" t="s">
        <v>4738</v>
      </c>
      <c r="E477" s="2" t="s">
        <v>5386</v>
      </c>
      <c r="F477" s="2" t="s">
        <v>5387</v>
      </c>
      <c r="G477" s="3" t="s">
        <v>5388</v>
      </c>
      <c r="H477" s="2" t="s">
        <v>5389</v>
      </c>
      <c r="I477" s="2" t="s">
        <v>49</v>
      </c>
      <c r="J477" s="3" t="s">
        <v>5390</v>
      </c>
      <c r="K477" s="2" t="s">
        <v>5330</v>
      </c>
      <c r="L477" s="2" t="s">
        <v>3931</v>
      </c>
      <c r="M477" s="2"/>
      <c r="N477" s="2"/>
      <c r="O477" s="2" t="s">
        <v>53</v>
      </c>
      <c r="P477" s="2" t="n">
        <v>39.5174</v>
      </c>
      <c r="Q477" s="2" t="n">
        <v>31.1799</v>
      </c>
      <c r="R477" s="2" t="s">
        <v>54</v>
      </c>
      <c r="S477" s="2" t="n">
        <v>451</v>
      </c>
      <c r="T477" s="2" t="s">
        <v>2373</v>
      </c>
      <c r="U477" s="2" t="s">
        <v>56</v>
      </c>
      <c r="V477" s="2" t="s">
        <v>245</v>
      </c>
      <c r="W477" s="2" t="s">
        <v>304</v>
      </c>
      <c r="X477" s="2" t="s">
        <v>289</v>
      </c>
      <c r="Y477" s="2"/>
      <c r="Z477" s="2" t="s">
        <v>170</v>
      </c>
      <c r="AA477" s="2"/>
      <c r="AB477" s="2" t="s">
        <v>63</v>
      </c>
      <c r="AC477" s="2" t="s">
        <v>64</v>
      </c>
      <c r="AD477" s="2"/>
      <c r="AE477" s="3" t="s">
        <v>4900</v>
      </c>
      <c r="AF477" s="3" t="s">
        <v>5391</v>
      </c>
      <c r="AG477" s="2"/>
      <c r="AH477" s="2" t="s">
        <v>54</v>
      </c>
      <c r="AI477" s="3" t="s">
        <v>5392</v>
      </c>
      <c r="AJ477" s="3" t="s">
        <v>5393</v>
      </c>
      <c r="AK477" s="2" t="n">
        <v>609561</v>
      </c>
      <c r="AL477" s="3" t="s">
        <v>5194</v>
      </c>
      <c r="AM477" s="2"/>
      <c r="AN477" s="2"/>
      <c r="AO477" s="3"/>
      <c r="AP477" s="3"/>
      <c r="AQ477" s="2"/>
    </row>
    <row r="478" customFormat="false" ht="35.05" hidden="false" customHeight="false" outlineLevel="0" collapsed="false">
      <c r="A478" s="2" t="n">
        <v>477</v>
      </c>
      <c r="B478" s="2" t="s">
        <v>5394</v>
      </c>
      <c r="C478" s="2" t="s">
        <v>4738</v>
      </c>
      <c r="D478" s="2" t="s">
        <v>4738</v>
      </c>
      <c r="E478" s="2" t="s">
        <v>5395</v>
      </c>
      <c r="F478" s="2" t="s">
        <v>578</v>
      </c>
      <c r="G478" s="3" t="s">
        <v>5396</v>
      </c>
      <c r="H478" s="2"/>
      <c r="I478" s="2" t="s">
        <v>74</v>
      </c>
      <c r="J478" s="3" t="s">
        <v>5397</v>
      </c>
      <c r="K478" s="2" t="s">
        <v>3930</v>
      </c>
      <c r="L478" s="2" t="s">
        <v>3931</v>
      </c>
      <c r="M478" s="2"/>
      <c r="N478" s="2"/>
      <c r="O478" s="2"/>
      <c r="P478" s="2" t="n">
        <v>38.2262</v>
      </c>
      <c r="Q478" s="2" t="n">
        <v>31.6396</v>
      </c>
      <c r="R478" s="2" t="s">
        <v>95</v>
      </c>
      <c r="S478" s="2" t="n">
        <v>125</v>
      </c>
      <c r="T478" s="2" t="s">
        <v>138</v>
      </c>
      <c r="U478" s="2" t="s">
        <v>139</v>
      </c>
      <c r="V478" s="2" t="s">
        <v>57</v>
      </c>
      <c r="W478" s="2" t="s">
        <v>140</v>
      </c>
      <c r="X478" s="2" t="s">
        <v>141</v>
      </c>
      <c r="Y478" s="2" t="s">
        <v>5398</v>
      </c>
      <c r="Z478" s="2" t="s">
        <v>143</v>
      </c>
      <c r="AA478" s="2"/>
      <c r="AB478" s="2" t="s">
        <v>81</v>
      </c>
      <c r="AC478" s="2"/>
      <c r="AD478" s="2"/>
      <c r="AE478" s="3"/>
      <c r="AF478" s="3" t="s">
        <v>5399</v>
      </c>
      <c r="AG478" s="2"/>
      <c r="AH478" s="2" t="s">
        <v>54</v>
      </c>
      <c r="AI478" s="3" t="s">
        <v>5400</v>
      </c>
      <c r="AJ478" s="3" t="s">
        <v>5401</v>
      </c>
      <c r="AK478" s="2" t="n">
        <v>609397</v>
      </c>
      <c r="AL478" s="3" t="s">
        <v>5402</v>
      </c>
      <c r="AM478" s="2"/>
      <c r="AN478" s="2"/>
      <c r="AO478" s="3" t="s">
        <v>5403</v>
      </c>
      <c r="AP478" s="3" t="s">
        <v>5404</v>
      </c>
      <c r="AQ478" s="2" t="s">
        <v>89</v>
      </c>
    </row>
    <row r="479" customFormat="false" ht="46.25" hidden="false" customHeight="false" outlineLevel="0" collapsed="false">
      <c r="A479" s="2" t="n">
        <v>478</v>
      </c>
      <c r="B479" s="2" t="s">
        <v>5405</v>
      </c>
      <c r="C479" s="2" t="s">
        <v>4738</v>
      </c>
      <c r="D479" s="2" t="s">
        <v>4738</v>
      </c>
      <c r="E479" s="2" t="s">
        <v>5406</v>
      </c>
      <c r="F479" s="2" t="s">
        <v>5407</v>
      </c>
      <c r="G479" s="3" t="s">
        <v>5408</v>
      </c>
      <c r="H479" s="2" t="s">
        <v>5409</v>
      </c>
      <c r="I479" s="2" t="s">
        <v>123</v>
      </c>
      <c r="J479" s="3" t="s">
        <v>5410</v>
      </c>
      <c r="K479" s="2" t="s">
        <v>3930</v>
      </c>
      <c r="L479" s="2" t="s">
        <v>3931</v>
      </c>
      <c r="M479" s="2" t="s">
        <v>5409</v>
      </c>
      <c r="N479" s="2"/>
      <c r="O479" s="2" t="s">
        <v>53</v>
      </c>
      <c r="P479" s="2" t="n">
        <v>38.3567</v>
      </c>
      <c r="Q479" s="2" t="n">
        <v>31.4298</v>
      </c>
      <c r="R479" s="2" t="s">
        <v>54</v>
      </c>
      <c r="S479" s="2" t="n">
        <v>-200</v>
      </c>
      <c r="T479" s="2" t="s">
        <v>194</v>
      </c>
      <c r="U479" s="2" t="s">
        <v>139</v>
      </c>
      <c r="V479" s="2" t="s">
        <v>78</v>
      </c>
      <c r="W479" s="2" t="s">
        <v>195</v>
      </c>
      <c r="X479" s="2" t="s">
        <v>246</v>
      </c>
      <c r="Y479" s="2" t="s">
        <v>5411</v>
      </c>
      <c r="Z479" s="2" t="s">
        <v>1793</v>
      </c>
      <c r="AA479" s="2"/>
      <c r="AB479" s="2" t="s">
        <v>81</v>
      </c>
      <c r="AC479" s="2"/>
      <c r="AD479" s="2"/>
      <c r="AE479" s="3"/>
      <c r="AF479" s="3" t="s">
        <v>5412</v>
      </c>
      <c r="AG479" s="2"/>
      <c r="AH479" s="2" t="s">
        <v>54</v>
      </c>
      <c r="AI479" s="3" t="s">
        <v>5413</v>
      </c>
      <c r="AJ479" s="3" t="s">
        <v>5414</v>
      </c>
      <c r="AK479" s="2" t="n">
        <v>609501</v>
      </c>
      <c r="AL479" s="3" t="s">
        <v>5415</v>
      </c>
      <c r="AM479" s="2"/>
      <c r="AN479" s="2"/>
      <c r="AO479" s="3" t="s">
        <v>5416</v>
      </c>
      <c r="AP479" s="3" t="s">
        <v>5417</v>
      </c>
      <c r="AQ479" s="2" t="s">
        <v>151</v>
      </c>
    </row>
    <row r="480" customFormat="false" ht="46.25" hidden="false" customHeight="false" outlineLevel="0" collapsed="false">
      <c r="A480" s="2" t="n">
        <v>479</v>
      </c>
      <c r="B480" s="2" t="s">
        <v>5418</v>
      </c>
      <c r="C480" s="2" t="s">
        <v>4738</v>
      </c>
      <c r="D480" s="2" t="s">
        <v>4738</v>
      </c>
      <c r="E480" s="2" t="s">
        <v>5419</v>
      </c>
      <c r="F480" s="2" t="s">
        <v>5420</v>
      </c>
      <c r="G480" s="3" t="s">
        <v>5421</v>
      </c>
      <c r="H480" s="2" t="s">
        <v>5422</v>
      </c>
      <c r="I480" s="2" t="s">
        <v>123</v>
      </c>
      <c r="J480" s="3" t="s">
        <v>5423</v>
      </c>
      <c r="K480" s="2" t="s">
        <v>3930</v>
      </c>
      <c r="L480" s="2" t="s">
        <v>3931</v>
      </c>
      <c r="M480" s="2" t="s">
        <v>5422</v>
      </c>
      <c r="N480" s="2"/>
      <c r="O480" s="2" t="s">
        <v>53</v>
      </c>
      <c r="P480" s="2" t="n">
        <v>38.2826</v>
      </c>
      <c r="Q480" s="2" t="n">
        <v>31.9043</v>
      </c>
      <c r="R480" s="2" t="s">
        <v>95</v>
      </c>
      <c r="S480" s="2" t="n">
        <v>-185</v>
      </c>
      <c r="T480" s="2" t="s">
        <v>751</v>
      </c>
      <c r="U480" s="2" t="s">
        <v>139</v>
      </c>
      <c r="V480" s="2" t="s">
        <v>57</v>
      </c>
      <c r="W480" s="2" t="s">
        <v>195</v>
      </c>
      <c r="X480" s="2" t="s">
        <v>246</v>
      </c>
      <c r="Y480" s="2" t="s">
        <v>5424</v>
      </c>
      <c r="Z480" s="2" t="s">
        <v>2215</v>
      </c>
      <c r="AA480" s="2"/>
      <c r="AB480" s="2" t="s">
        <v>63</v>
      </c>
      <c r="AC480" s="2" t="s">
        <v>64</v>
      </c>
      <c r="AD480" s="2"/>
      <c r="AE480" s="3"/>
      <c r="AF480" s="3" t="s">
        <v>5425</v>
      </c>
      <c r="AG480" s="2"/>
      <c r="AH480" s="2" t="s">
        <v>54</v>
      </c>
      <c r="AI480" s="3" t="s">
        <v>5426</v>
      </c>
      <c r="AJ480" s="3" t="s">
        <v>5427</v>
      </c>
      <c r="AK480" s="2" t="n">
        <v>609564</v>
      </c>
      <c r="AL480" s="3" t="s">
        <v>5428</v>
      </c>
      <c r="AM480" s="2"/>
      <c r="AN480" s="2"/>
      <c r="AO480" s="3"/>
      <c r="AP480" s="3"/>
      <c r="AQ480" s="2"/>
    </row>
    <row r="481" customFormat="false" ht="57.45" hidden="false" customHeight="false" outlineLevel="0" collapsed="false">
      <c r="A481" s="2" t="n">
        <v>480</v>
      </c>
      <c r="B481" s="2" t="s">
        <v>5429</v>
      </c>
      <c r="C481" s="2" t="s">
        <v>5430</v>
      </c>
      <c r="D481" s="2" t="s">
        <v>5431</v>
      </c>
      <c r="E481" s="2" t="s">
        <v>5432</v>
      </c>
      <c r="F481" s="2" t="s">
        <v>5433</v>
      </c>
      <c r="G481" s="3" t="s">
        <v>5434</v>
      </c>
      <c r="H481" s="2"/>
      <c r="I481" s="2" t="s">
        <v>74</v>
      </c>
      <c r="J481" s="3" t="s">
        <v>5435</v>
      </c>
      <c r="K481" s="2" t="s">
        <v>5330</v>
      </c>
      <c r="L481" s="2" t="s">
        <v>3931</v>
      </c>
      <c r="M481" s="2"/>
      <c r="N481" s="2"/>
      <c r="O481" s="2"/>
      <c r="P481" s="2" t="n">
        <v>39.5329</v>
      </c>
      <c r="Q481" s="2" t="n">
        <v>31.6285</v>
      </c>
      <c r="R481" s="2" t="s">
        <v>54</v>
      </c>
      <c r="S481" s="2" t="n">
        <v>-25</v>
      </c>
      <c r="T481" s="2" t="s">
        <v>3645</v>
      </c>
      <c r="U481" s="2" t="s">
        <v>139</v>
      </c>
      <c r="V481" s="2" t="s">
        <v>97</v>
      </c>
      <c r="W481" s="2" t="s">
        <v>140</v>
      </c>
      <c r="X481" s="2" t="s">
        <v>141</v>
      </c>
      <c r="Y481" s="2" t="s">
        <v>3646</v>
      </c>
      <c r="Z481" s="2" t="s">
        <v>143</v>
      </c>
      <c r="AA481" s="2"/>
      <c r="AB481" s="2" t="s">
        <v>81</v>
      </c>
      <c r="AC481" s="2"/>
      <c r="AD481" s="2"/>
      <c r="AE481" s="3"/>
      <c r="AF481" s="3" t="s">
        <v>5436</v>
      </c>
      <c r="AG481" s="2" t="s">
        <v>5437</v>
      </c>
      <c r="AH481" s="2" t="s">
        <v>54</v>
      </c>
      <c r="AI481" s="3" t="s">
        <v>5438</v>
      </c>
      <c r="AJ481" s="3" t="s">
        <v>5439</v>
      </c>
      <c r="AK481" s="2" t="n">
        <v>609351</v>
      </c>
      <c r="AL481" s="3" t="s">
        <v>5440</v>
      </c>
      <c r="AM481" s="2"/>
      <c r="AN481" s="2"/>
      <c r="AO481" s="3" t="s">
        <v>5441</v>
      </c>
      <c r="AP481" s="3" t="s">
        <v>5442</v>
      </c>
      <c r="AQ481" s="2" t="s">
        <v>89</v>
      </c>
    </row>
    <row r="482" customFormat="false" ht="35.05" hidden="false" customHeight="false" outlineLevel="0" collapsed="false">
      <c r="A482" s="2" t="n">
        <v>481</v>
      </c>
      <c r="B482" s="2" t="s">
        <v>5443</v>
      </c>
      <c r="C482" s="2" t="s">
        <v>5430</v>
      </c>
      <c r="D482" s="2" t="s">
        <v>5431</v>
      </c>
      <c r="E482" s="2" t="s">
        <v>5444</v>
      </c>
      <c r="F482" s="2" t="s">
        <v>5445</v>
      </c>
      <c r="G482" s="3" t="s">
        <v>3833</v>
      </c>
      <c r="H482" s="2" t="s">
        <v>5446</v>
      </c>
      <c r="I482" s="2" t="s">
        <v>49</v>
      </c>
      <c r="J482" s="3" t="s">
        <v>5447</v>
      </c>
      <c r="K482" s="2" t="s">
        <v>5330</v>
      </c>
      <c r="L482" s="2" t="s">
        <v>3931</v>
      </c>
      <c r="M482" s="2"/>
      <c r="N482" s="2"/>
      <c r="O482" s="2" t="s">
        <v>53</v>
      </c>
      <c r="P482" s="2" t="n">
        <v>39.3329</v>
      </c>
      <c r="Q482" s="2" t="n">
        <v>31.5836</v>
      </c>
      <c r="R482" s="2" t="s">
        <v>54</v>
      </c>
      <c r="S482" s="2" t="n">
        <v>-25</v>
      </c>
      <c r="T482" s="2" t="s">
        <v>3645</v>
      </c>
      <c r="U482" s="2" t="s">
        <v>56</v>
      </c>
      <c r="V482" s="2" t="s">
        <v>97</v>
      </c>
      <c r="W482" s="2" t="s">
        <v>140</v>
      </c>
      <c r="X482" s="2" t="s">
        <v>289</v>
      </c>
      <c r="Y482" s="2"/>
      <c r="Z482" s="2" t="s">
        <v>170</v>
      </c>
      <c r="AA482" s="2"/>
      <c r="AB482" s="2" t="s">
        <v>63</v>
      </c>
      <c r="AC482" s="2" t="s">
        <v>64</v>
      </c>
      <c r="AD482" s="2"/>
      <c r="AE482" s="3" t="s">
        <v>5448</v>
      </c>
      <c r="AF482" s="3" t="s">
        <v>5449</v>
      </c>
      <c r="AG482" s="2" t="s">
        <v>5450</v>
      </c>
      <c r="AH482" s="2" t="s">
        <v>54</v>
      </c>
      <c r="AI482" s="3" t="s">
        <v>5451</v>
      </c>
      <c r="AJ482" s="3" t="s">
        <v>5452</v>
      </c>
      <c r="AK482" s="2" t="n">
        <v>609500</v>
      </c>
      <c r="AL482" s="3" t="s">
        <v>5453</v>
      </c>
      <c r="AM482" s="2"/>
      <c r="AN482" s="2"/>
      <c r="AO482" s="3"/>
      <c r="AP482" s="3"/>
      <c r="AQ482" s="2"/>
    </row>
    <row r="483" customFormat="false" ht="46.25" hidden="false" customHeight="false" outlineLevel="0" collapsed="false">
      <c r="A483" s="2" t="n">
        <v>482</v>
      </c>
      <c r="B483" s="2" t="s">
        <v>5454</v>
      </c>
      <c r="C483" s="2" t="s">
        <v>5430</v>
      </c>
      <c r="D483" s="2" t="s">
        <v>5431</v>
      </c>
      <c r="E483" s="2" t="s">
        <v>5455</v>
      </c>
      <c r="F483" s="2" t="s">
        <v>5456</v>
      </c>
      <c r="G483" s="3" t="s">
        <v>5457</v>
      </c>
      <c r="H483" s="2" t="s">
        <v>5458</v>
      </c>
      <c r="I483" s="2" t="s">
        <v>49</v>
      </c>
      <c r="J483" s="3" t="s">
        <v>5459</v>
      </c>
      <c r="K483" s="2" t="s">
        <v>5330</v>
      </c>
      <c r="L483" s="2" t="s">
        <v>3931</v>
      </c>
      <c r="M483" s="2"/>
      <c r="N483" s="2"/>
      <c r="O483" s="2" t="s">
        <v>53</v>
      </c>
      <c r="P483" s="2" t="n">
        <v>39.3267</v>
      </c>
      <c r="Q483" s="2" t="n">
        <v>31.8464</v>
      </c>
      <c r="R483" s="2" t="s">
        <v>54</v>
      </c>
      <c r="S483" s="2" t="n">
        <v>451</v>
      </c>
      <c r="T483" s="2" t="s">
        <v>2373</v>
      </c>
      <c r="U483" s="2" t="s">
        <v>56</v>
      </c>
      <c r="V483" s="2" t="s">
        <v>245</v>
      </c>
      <c r="W483" s="2" t="s">
        <v>304</v>
      </c>
      <c r="X483" s="2" t="s">
        <v>169</v>
      </c>
      <c r="Y483" s="2"/>
      <c r="Z483" s="2" t="s">
        <v>170</v>
      </c>
      <c r="AA483" s="2"/>
      <c r="AB483" s="2" t="s">
        <v>695</v>
      </c>
      <c r="AC483" s="2" t="s">
        <v>696</v>
      </c>
      <c r="AD483" s="2"/>
      <c r="AE483" s="3"/>
      <c r="AF483" s="3" t="s">
        <v>5460</v>
      </c>
      <c r="AG483" s="2"/>
      <c r="AH483" s="2" t="s">
        <v>54</v>
      </c>
      <c r="AI483" s="3" t="s">
        <v>5461</v>
      </c>
      <c r="AJ483" s="3" t="s">
        <v>5462</v>
      </c>
      <c r="AK483" s="2" t="n">
        <v>609388</v>
      </c>
      <c r="AL483" s="3" t="s">
        <v>5463</v>
      </c>
      <c r="AM483" s="2"/>
      <c r="AN483" s="2"/>
      <c r="AO483" s="3" t="s">
        <v>5464</v>
      </c>
      <c r="AP483" s="3" t="s">
        <v>5465</v>
      </c>
      <c r="AQ483" s="2" t="s">
        <v>151</v>
      </c>
    </row>
    <row r="484" customFormat="false" ht="46.25" hidden="false" customHeight="false" outlineLevel="0" collapsed="false">
      <c r="A484" s="2" t="n">
        <v>483</v>
      </c>
      <c r="B484" s="2" t="s">
        <v>5466</v>
      </c>
      <c r="C484" s="2" t="s">
        <v>5430</v>
      </c>
      <c r="D484" s="2" t="s">
        <v>5431</v>
      </c>
      <c r="E484" s="2" t="s">
        <v>5467</v>
      </c>
      <c r="F484" s="2" t="s">
        <v>5468</v>
      </c>
      <c r="G484" s="3"/>
      <c r="H484" s="2"/>
      <c r="I484" s="2" t="s">
        <v>74</v>
      </c>
      <c r="J484" s="3" t="s">
        <v>5469</v>
      </c>
      <c r="K484" s="2" t="s">
        <v>5330</v>
      </c>
      <c r="L484" s="2" t="s">
        <v>3931</v>
      </c>
      <c r="M484" s="2"/>
      <c r="N484" s="2"/>
      <c r="O484" s="2"/>
      <c r="P484" s="2" t="n">
        <v>39.4551</v>
      </c>
      <c r="Q484" s="2" t="n">
        <v>31.7462</v>
      </c>
      <c r="R484" s="2" t="s">
        <v>95</v>
      </c>
      <c r="S484" s="2" t="n">
        <v>400</v>
      </c>
      <c r="T484" s="2" t="s">
        <v>357</v>
      </c>
      <c r="U484" s="2" t="s">
        <v>139</v>
      </c>
      <c r="V484" s="2" t="s">
        <v>57</v>
      </c>
      <c r="W484" s="2" t="s">
        <v>304</v>
      </c>
      <c r="X484" s="2" t="s">
        <v>141</v>
      </c>
      <c r="Y484" s="2" t="s">
        <v>5470</v>
      </c>
      <c r="Z484" s="2" t="s">
        <v>559</v>
      </c>
      <c r="AA484" s="2"/>
      <c r="AB484" s="2" t="s">
        <v>81</v>
      </c>
      <c r="AC484" s="2"/>
      <c r="AD484" s="2"/>
      <c r="AE484" s="3"/>
      <c r="AF484" s="3" t="s">
        <v>5471</v>
      </c>
      <c r="AG484" s="2"/>
      <c r="AH484" s="2" t="s">
        <v>113</v>
      </c>
      <c r="AI484" s="3" t="s">
        <v>5472</v>
      </c>
      <c r="AJ484" s="3" t="s">
        <v>5473</v>
      </c>
      <c r="AK484" s="2" t="n">
        <v>609377</v>
      </c>
      <c r="AL484" s="3" t="s">
        <v>5474</v>
      </c>
      <c r="AM484" s="2"/>
      <c r="AN484" s="2"/>
      <c r="AO484" s="3" t="s">
        <v>5475</v>
      </c>
      <c r="AP484" s="3" t="s">
        <v>5476</v>
      </c>
      <c r="AQ484" s="2" t="s">
        <v>89</v>
      </c>
    </row>
    <row r="485" customFormat="false" ht="46.25" hidden="false" customHeight="false" outlineLevel="0" collapsed="false">
      <c r="A485" s="2" t="n">
        <v>484</v>
      </c>
      <c r="B485" s="2" t="s">
        <v>5477</v>
      </c>
      <c r="C485" s="2" t="s">
        <v>5430</v>
      </c>
      <c r="D485" s="2" t="s">
        <v>5478</v>
      </c>
      <c r="E485" s="2" t="s">
        <v>5479</v>
      </c>
      <c r="F485" s="2" t="s">
        <v>5480</v>
      </c>
      <c r="G485" s="3" t="s">
        <v>5481</v>
      </c>
      <c r="H485" s="2" t="s">
        <v>4439</v>
      </c>
      <c r="I485" s="2" t="s">
        <v>123</v>
      </c>
      <c r="J485" s="3" t="s">
        <v>5482</v>
      </c>
      <c r="K485" s="2" t="s">
        <v>4439</v>
      </c>
      <c r="L485" s="2" t="s">
        <v>3931</v>
      </c>
      <c r="M485" s="2" t="s">
        <v>581</v>
      </c>
      <c r="N485" s="2" t="s">
        <v>63</v>
      </c>
      <c r="O485" s="2" t="s">
        <v>53</v>
      </c>
      <c r="P485" s="2" t="n">
        <v>37.1825</v>
      </c>
      <c r="Q485" s="2" t="n">
        <v>33.2158</v>
      </c>
      <c r="R485" s="2" t="s">
        <v>54</v>
      </c>
      <c r="S485" s="2" t="n">
        <v>163</v>
      </c>
      <c r="T485" s="2" t="s">
        <v>5483</v>
      </c>
      <c r="U485" s="2" t="s">
        <v>56</v>
      </c>
      <c r="V485" s="2" t="s">
        <v>245</v>
      </c>
      <c r="W485" s="2" t="s">
        <v>140</v>
      </c>
      <c r="X485" s="2" t="s">
        <v>289</v>
      </c>
      <c r="Y485" s="2"/>
      <c r="Z485" s="2" t="s">
        <v>170</v>
      </c>
      <c r="AA485" s="2"/>
      <c r="AB485" s="2" t="s">
        <v>63</v>
      </c>
      <c r="AC485" s="2" t="s">
        <v>64</v>
      </c>
      <c r="AD485" s="2" t="s">
        <v>5484</v>
      </c>
      <c r="AE485" s="3" t="s">
        <v>5485</v>
      </c>
      <c r="AF485" s="3" t="s">
        <v>5486</v>
      </c>
      <c r="AG485" s="2"/>
      <c r="AH485" s="2" t="s">
        <v>54</v>
      </c>
      <c r="AI485" s="3" t="s">
        <v>5487</v>
      </c>
      <c r="AJ485" s="3" t="s">
        <v>5488</v>
      </c>
      <c r="AK485" s="2" t="n">
        <v>648693</v>
      </c>
      <c r="AL485" s="3" t="s">
        <v>5489</v>
      </c>
      <c r="AM485" s="2"/>
      <c r="AN485" s="2"/>
      <c r="AO485" s="3"/>
      <c r="AP485" s="3"/>
      <c r="AQ485" s="2"/>
    </row>
    <row r="486" customFormat="false" ht="23.85" hidden="false" customHeight="false" outlineLevel="0" collapsed="false">
      <c r="A486" s="2" t="n">
        <v>485</v>
      </c>
      <c r="B486" s="2" t="s">
        <v>5490</v>
      </c>
      <c r="C486" s="2" t="s">
        <v>5430</v>
      </c>
      <c r="D486" s="2" t="s">
        <v>5478</v>
      </c>
      <c r="E486" s="2" t="s">
        <v>5491</v>
      </c>
      <c r="F486" s="2" t="s">
        <v>5492</v>
      </c>
      <c r="G486" s="3" t="s">
        <v>5493</v>
      </c>
      <c r="H486" s="2" t="s">
        <v>5494</v>
      </c>
      <c r="I486" s="2" t="s">
        <v>49</v>
      </c>
      <c r="J486" s="3" t="s">
        <v>5495</v>
      </c>
      <c r="K486" s="2" t="s">
        <v>4439</v>
      </c>
      <c r="L486" s="2" t="s">
        <v>3931</v>
      </c>
      <c r="M486" s="2"/>
      <c r="N486" s="2"/>
      <c r="O486" s="2" t="s">
        <v>53</v>
      </c>
      <c r="P486" s="2" t="n">
        <v>37.1979</v>
      </c>
      <c r="Q486" s="2" t="n">
        <v>33.0272</v>
      </c>
      <c r="R486" s="2" t="s">
        <v>54</v>
      </c>
      <c r="S486" s="2" t="n">
        <v>163</v>
      </c>
      <c r="T486" s="2" t="s">
        <v>4684</v>
      </c>
      <c r="U486" s="2" t="s">
        <v>56</v>
      </c>
      <c r="V486" s="2" t="s">
        <v>57</v>
      </c>
      <c r="W486" s="2" t="s">
        <v>140</v>
      </c>
      <c r="X486" s="2" t="s">
        <v>289</v>
      </c>
      <c r="Y486" s="2"/>
      <c r="Z486" s="2" t="s">
        <v>170</v>
      </c>
      <c r="AA486" s="2"/>
      <c r="AB486" s="2" t="s">
        <v>63</v>
      </c>
      <c r="AC486" s="2" t="s">
        <v>64</v>
      </c>
      <c r="AD486" s="2"/>
      <c r="AE486" s="3"/>
      <c r="AF486" s="3" t="s">
        <v>5496</v>
      </c>
      <c r="AG486" s="2"/>
      <c r="AH486" s="2" t="s">
        <v>54</v>
      </c>
      <c r="AI486" s="3" t="s">
        <v>5497</v>
      </c>
      <c r="AJ486" s="3" t="s">
        <v>5498</v>
      </c>
      <c r="AK486" s="2" t="n">
        <v>648648</v>
      </c>
      <c r="AL486" s="3" t="s">
        <v>5499</v>
      </c>
      <c r="AM486" s="2"/>
      <c r="AN486" s="2"/>
      <c r="AO486" s="3"/>
      <c r="AP486" s="3"/>
      <c r="AQ486" s="2"/>
    </row>
    <row r="487" customFormat="false" ht="35.05" hidden="false" customHeight="false" outlineLevel="0" collapsed="false">
      <c r="A487" s="2" t="n">
        <v>486</v>
      </c>
      <c r="B487" s="2" t="s">
        <v>5500</v>
      </c>
      <c r="C487" s="2" t="s">
        <v>5430</v>
      </c>
      <c r="D487" s="2" t="s">
        <v>5478</v>
      </c>
      <c r="E487" s="2" t="s">
        <v>5501</v>
      </c>
      <c r="F487" s="2" t="s">
        <v>5502</v>
      </c>
      <c r="G487" s="3" t="s">
        <v>5503</v>
      </c>
      <c r="H487" s="2"/>
      <c r="I487" s="2" t="s">
        <v>74</v>
      </c>
      <c r="J487" s="3" t="s">
        <v>5504</v>
      </c>
      <c r="K487" s="2" t="s">
        <v>4439</v>
      </c>
      <c r="L487" s="2" t="s">
        <v>3931</v>
      </c>
      <c r="M487" s="2"/>
      <c r="N487" s="2"/>
      <c r="O487" s="2"/>
      <c r="P487" s="2" t="n">
        <v>37.3492</v>
      </c>
      <c r="Q487" s="2" t="n">
        <v>33.3618</v>
      </c>
      <c r="R487" s="2" t="s">
        <v>95</v>
      </c>
      <c r="S487" s="2" t="n">
        <v>45</v>
      </c>
      <c r="T487" s="2" t="s">
        <v>5505</v>
      </c>
      <c r="U487" s="2" t="s">
        <v>56</v>
      </c>
      <c r="V487" s="2" t="s">
        <v>57</v>
      </c>
      <c r="W487" s="2" t="s">
        <v>140</v>
      </c>
      <c r="X487" s="2" t="s">
        <v>289</v>
      </c>
      <c r="Y487" s="2"/>
      <c r="Z487" s="2" t="s">
        <v>170</v>
      </c>
      <c r="AA487" s="2"/>
      <c r="AB487" s="2" t="s">
        <v>63</v>
      </c>
      <c r="AC487" s="2" t="s">
        <v>452</v>
      </c>
      <c r="AD487" s="2"/>
      <c r="AE487" s="3"/>
      <c r="AF487" s="3" t="s">
        <v>5506</v>
      </c>
      <c r="AG487" s="2"/>
      <c r="AH487" s="2" t="s">
        <v>113</v>
      </c>
      <c r="AI487" s="3" t="s">
        <v>5507</v>
      </c>
      <c r="AJ487" s="3" t="s">
        <v>5508</v>
      </c>
      <c r="AK487" s="2" t="n">
        <v>648620</v>
      </c>
      <c r="AL487" s="3" t="s">
        <v>5509</v>
      </c>
      <c r="AM487" s="2"/>
      <c r="AN487" s="2"/>
      <c r="AO487" s="3"/>
      <c r="AP487" s="3"/>
      <c r="AQ487" s="2"/>
    </row>
    <row r="488" customFormat="false" ht="23.85" hidden="false" customHeight="false" outlineLevel="0" collapsed="false">
      <c r="A488" s="2" t="n">
        <v>487</v>
      </c>
      <c r="B488" s="2" t="s">
        <v>5510</v>
      </c>
      <c r="C488" s="2" t="s">
        <v>5430</v>
      </c>
      <c r="D488" s="2" t="s">
        <v>5478</v>
      </c>
      <c r="E488" s="2" t="s">
        <v>5511</v>
      </c>
      <c r="F488" s="2" t="s">
        <v>5512</v>
      </c>
      <c r="G488" s="3" t="s">
        <v>5513</v>
      </c>
      <c r="H488" s="2"/>
      <c r="I488" s="2" t="s">
        <v>74</v>
      </c>
      <c r="J488" s="3" t="s">
        <v>5514</v>
      </c>
      <c r="K488" s="2" t="s">
        <v>4439</v>
      </c>
      <c r="L488" s="2" t="s">
        <v>3931</v>
      </c>
      <c r="M488" s="2"/>
      <c r="N488" s="2"/>
      <c r="O488" s="2"/>
      <c r="P488" s="2" t="n">
        <v>37.4427</v>
      </c>
      <c r="Q488" s="2" t="n">
        <v>33.1088</v>
      </c>
      <c r="R488" s="2" t="s">
        <v>95</v>
      </c>
      <c r="S488" s="2" t="n">
        <v>164</v>
      </c>
      <c r="T488" s="2" t="s">
        <v>5515</v>
      </c>
      <c r="U488" s="2" t="s">
        <v>56</v>
      </c>
      <c r="V488" s="2" t="s">
        <v>57</v>
      </c>
      <c r="W488" s="2" t="s">
        <v>140</v>
      </c>
      <c r="X488" s="2" t="s">
        <v>289</v>
      </c>
      <c r="Y488" s="2"/>
      <c r="Z488" s="2" t="s">
        <v>170</v>
      </c>
      <c r="AA488" s="2"/>
      <c r="AB488" s="2" t="s">
        <v>63</v>
      </c>
      <c r="AC488" s="2" t="s">
        <v>64</v>
      </c>
      <c r="AD488" s="2"/>
      <c r="AE488" s="3"/>
      <c r="AF488" s="3" t="s">
        <v>5516</v>
      </c>
      <c r="AG488" s="2"/>
      <c r="AH488" s="2" t="s">
        <v>113</v>
      </c>
      <c r="AI488" s="3" t="s">
        <v>5517</v>
      </c>
      <c r="AJ488" s="3" t="s">
        <v>5518</v>
      </c>
      <c r="AK488" s="2" t="n">
        <v>648582</v>
      </c>
      <c r="AL488" s="3" t="s">
        <v>5519</v>
      </c>
      <c r="AM488" s="2"/>
      <c r="AN488" s="2"/>
      <c r="AO488" s="3"/>
      <c r="AP488" s="3"/>
      <c r="AQ488" s="2"/>
    </row>
    <row r="489" customFormat="false" ht="35.05" hidden="false" customHeight="false" outlineLevel="0" collapsed="false">
      <c r="A489" s="2" t="n">
        <v>488</v>
      </c>
      <c r="B489" s="2" t="s">
        <v>5520</v>
      </c>
      <c r="C489" s="2" t="s">
        <v>5430</v>
      </c>
      <c r="D489" s="2" t="s">
        <v>5478</v>
      </c>
      <c r="E489" s="2" t="s">
        <v>5521</v>
      </c>
      <c r="F489" s="2" t="s">
        <v>5522</v>
      </c>
      <c r="G489" s="3"/>
      <c r="H489" s="2"/>
      <c r="I489" s="2" t="s">
        <v>74</v>
      </c>
      <c r="J489" s="3" t="s">
        <v>5523</v>
      </c>
      <c r="K489" s="2" t="s">
        <v>4439</v>
      </c>
      <c r="L489" s="2" t="s">
        <v>3931</v>
      </c>
      <c r="M489" s="2"/>
      <c r="N489" s="2"/>
      <c r="O489" s="2"/>
      <c r="P489" s="2" t="n">
        <v>37.4408</v>
      </c>
      <c r="Q489" s="2" t="n">
        <v>33.5175</v>
      </c>
      <c r="R489" s="2" t="s">
        <v>95</v>
      </c>
      <c r="S489" s="2" t="n">
        <v>163</v>
      </c>
      <c r="T489" s="2" t="s">
        <v>4684</v>
      </c>
      <c r="U489" s="2" t="s">
        <v>56</v>
      </c>
      <c r="V489" s="2" t="s">
        <v>57</v>
      </c>
      <c r="W489" s="2" t="s">
        <v>140</v>
      </c>
      <c r="X489" s="2" t="s">
        <v>289</v>
      </c>
      <c r="Y489" s="2"/>
      <c r="Z489" s="2" t="s">
        <v>170</v>
      </c>
      <c r="AA489" s="2"/>
      <c r="AB489" s="2" t="s">
        <v>63</v>
      </c>
      <c r="AC489" s="2" t="s">
        <v>77</v>
      </c>
      <c r="AD489" s="2"/>
      <c r="AE489" s="3" t="s">
        <v>5524</v>
      </c>
      <c r="AF489" s="3" t="s">
        <v>5525</v>
      </c>
      <c r="AG489" s="2"/>
      <c r="AH489" s="2" t="s">
        <v>113</v>
      </c>
      <c r="AI489" s="3" t="s">
        <v>5526</v>
      </c>
      <c r="AJ489" s="3" t="s">
        <v>5527</v>
      </c>
      <c r="AK489" s="2" t="n">
        <v>648644</v>
      </c>
      <c r="AL489" s="3" t="s">
        <v>5528</v>
      </c>
      <c r="AM489" s="2"/>
      <c r="AN489" s="2"/>
      <c r="AO489" s="3"/>
      <c r="AP489" s="3"/>
      <c r="AQ489" s="2"/>
    </row>
    <row r="490" customFormat="false" ht="23.85" hidden="false" customHeight="false" outlineLevel="0" collapsed="false">
      <c r="A490" s="2" t="n">
        <v>489</v>
      </c>
      <c r="B490" s="2" t="s">
        <v>5529</v>
      </c>
      <c r="C490" s="2" t="s">
        <v>5430</v>
      </c>
      <c r="D490" s="2" t="s">
        <v>5478</v>
      </c>
      <c r="E490" s="2" t="s">
        <v>5530</v>
      </c>
      <c r="F490" s="2" t="s">
        <v>5531</v>
      </c>
      <c r="G490" s="3" t="s">
        <v>5532</v>
      </c>
      <c r="H490" s="2"/>
      <c r="I490" s="2" t="s">
        <v>74</v>
      </c>
      <c r="J490" s="3" t="s">
        <v>5533</v>
      </c>
      <c r="K490" s="2" t="s">
        <v>3930</v>
      </c>
      <c r="L490" s="2" t="s">
        <v>3931</v>
      </c>
      <c r="M490" s="2"/>
      <c r="N490" s="2"/>
      <c r="O490" s="2"/>
      <c r="P490" s="2" t="n">
        <v>37.4952</v>
      </c>
      <c r="Q490" s="2" t="n">
        <v>31.9244</v>
      </c>
      <c r="R490" s="2" t="s">
        <v>54</v>
      </c>
      <c r="S490" s="2" t="n">
        <v>325</v>
      </c>
      <c r="T490" s="2" t="s">
        <v>3894</v>
      </c>
      <c r="U490" s="2" t="s">
        <v>56</v>
      </c>
      <c r="V490" s="2" t="s">
        <v>245</v>
      </c>
      <c r="W490" s="2" t="s">
        <v>140</v>
      </c>
      <c r="X490" s="2" t="s">
        <v>289</v>
      </c>
      <c r="Y490" s="2"/>
      <c r="Z490" s="2" t="s">
        <v>170</v>
      </c>
      <c r="AA490" s="2"/>
      <c r="AB490" s="2" t="s">
        <v>63</v>
      </c>
      <c r="AC490" s="2" t="s">
        <v>64</v>
      </c>
      <c r="AD490" s="2"/>
      <c r="AE490" s="3"/>
      <c r="AF490" s="3" t="s">
        <v>5534</v>
      </c>
      <c r="AG490" s="2"/>
      <c r="AH490" s="2" t="s">
        <v>54</v>
      </c>
      <c r="AI490" s="3" t="s">
        <v>5535</v>
      </c>
      <c r="AJ490" s="3" t="s">
        <v>5536</v>
      </c>
      <c r="AK490" s="2" t="n">
        <v>639028</v>
      </c>
      <c r="AL490" s="3" t="s">
        <v>5537</v>
      </c>
      <c r="AM490" s="2"/>
      <c r="AN490" s="2"/>
      <c r="AO490" s="3"/>
      <c r="AP490" s="3"/>
      <c r="AQ490" s="2"/>
    </row>
    <row r="491" customFormat="false" ht="23.85" hidden="false" customHeight="false" outlineLevel="0" collapsed="false">
      <c r="A491" s="2" t="n">
        <v>490</v>
      </c>
      <c r="B491" s="2" t="s">
        <v>5538</v>
      </c>
      <c r="C491" s="2" t="s">
        <v>5430</v>
      </c>
      <c r="D491" s="2" t="s">
        <v>5478</v>
      </c>
      <c r="E491" s="2" t="s">
        <v>5539</v>
      </c>
      <c r="F491" s="2" t="s">
        <v>5540</v>
      </c>
      <c r="G491" s="3" t="s">
        <v>5541</v>
      </c>
      <c r="H491" s="2" t="s">
        <v>5542</v>
      </c>
      <c r="I491" s="2" t="s">
        <v>123</v>
      </c>
      <c r="J491" s="3" t="s">
        <v>5543</v>
      </c>
      <c r="K491" s="2" t="s">
        <v>3930</v>
      </c>
      <c r="L491" s="2" t="s">
        <v>3931</v>
      </c>
      <c r="M491" s="2" t="s">
        <v>5542</v>
      </c>
      <c r="N491" s="2"/>
      <c r="O491" s="2" t="s">
        <v>53</v>
      </c>
      <c r="P491" s="2" t="n">
        <v>37.6791</v>
      </c>
      <c r="Q491" s="2" t="n">
        <v>31.7281</v>
      </c>
      <c r="R491" s="2" t="s">
        <v>95</v>
      </c>
      <c r="S491" s="2" t="n">
        <v>45</v>
      </c>
      <c r="T491" s="2" t="s">
        <v>5505</v>
      </c>
      <c r="U491" s="2" t="s">
        <v>56</v>
      </c>
      <c r="V491" s="2" t="s">
        <v>57</v>
      </c>
      <c r="W491" s="2" t="s">
        <v>140</v>
      </c>
      <c r="X491" s="2" t="s">
        <v>289</v>
      </c>
      <c r="Y491" s="2"/>
      <c r="Z491" s="2" t="s">
        <v>170</v>
      </c>
      <c r="AA491" s="2"/>
      <c r="AB491" s="2" t="s">
        <v>63</v>
      </c>
      <c r="AC491" s="2" t="s">
        <v>64</v>
      </c>
      <c r="AD491" s="2"/>
      <c r="AE491" s="3"/>
      <c r="AF491" s="3" t="s">
        <v>5544</v>
      </c>
      <c r="AG491" s="2"/>
      <c r="AH491" s="2" t="s">
        <v>113</v>
      </c>
      <c r="AI491" s="3" t="s">
        <v>5545</v>
      </c>
      <c r="AJ491" s="3" t="s">
        <v>5546</v>
      </c>
      <c r="AK491" s="2" t="n">
        <v>638997</v>
      </c>
      <c r="AL491" s="3" t="s">
        <v>5547</v>
      </c>
      <c r="AM491" s="2"/>
      <c r="AN491" s="2"/>
      <c r="AO491" s="3"/>
      <c r="AP491" s="3"/>
      <c r="AQ491" s="2"/>
    </row>
    <row r="492" customFormat="false" ht="15" hidden="false" customHeight="false" outlineLevel="0" collapsed="false">
      <c r="A492" s="2" t="n">
        <v>491</v>
      </c>
      <c r="B492" s="2" t="s">
        <v>5548</v>
      </c>
      <c r="C492" s="2" t="s">
        <v>5430</v>
      </c>
      <c r="D492" s="2" t="s">
        <v>5478</v>
      </c>
      <c r="E492" s="2" t="s">
        <v>5549</v>
      </c>
      <c r="F492" s="2" t="s">
        <v>5550</v>
      </c>
      <c r="G492" s="3" t="s">
        <v>5551</v>
      </c>
      <c r="H492" s="2"/>
      <c r="I492" s="2" t="s">
        <v>74</v>
      </c>
      <c r="J492" s="3" t="s">
        <v>5552</v>
      </c>
      <c r="K492" s="2" t="s">
        <v>3930</v>
      </c>
      <c r="L492" s="2" t="s">
        <v>3931</v>
      </c>
      <c r="M492" s="2"/>
      <c r="N492" s="2"/>
      <c r="O492" s="2"/>
      <c r="P492" s="2" t="n">
        <v>37.4891</v>
      </c>
      <c r="Q492" s="2" t="n">
        <v>32.467</v>
      </c>
      <c r="R492" s="2" t="s">
        <v>95</v>
      </c>
      <c r="S492" s="2" t="n">
        <v>381</v>
      </c>
      <c r="T492" s="2" t="s">
        <v>5553</v>
      </c>
      <c r="U492" s="2" t="s">
        <v>56</v>
      </c>
      <c r="V492" s="2" t="s">
        <v>245</v>
      </c>
      <c r="W492" s="2" t="s">
        <v>304</v>
      </c>
      <c r="X492" s="2" t="s">
        <v>289</v>
      </c>
      <c r="Y492" s="2"/>
      <c r="Z492" s="2" t="s">
        <v>170</v>
      </c>
      <c r="AA492" s="2"/>
      <c r="AB492" s="2" t="s">
        <v>63</v>
      </c>
      <c r="AC492" s="2" t="s">
        <v>64</v>
      </c>
      <c r="AD492" s="2"/>
      <c r="AE492" s="3"/>
      <c r="AF492" s="3" t="s">
        <v>5554</v>
      </c>
      <c r="AG492" s="2"/>
      <c r="AH492" s="2" t="s">
        <v>113</v>
      </c>
      <c r="AI492" s="3" t="s">
        <v>5555</v>
      </c>
      <c r="AJ492" s="3" t="s">
        <v>5556</v>
      </c>
      <c r="AK492" s="2" t="n">
        <v>648680</v>
      </c>
      <c r="AL492" s="3" t="s">
        <v>5557</v>
      </c>
      <c r="AM492" s="2"/>
      <c r="AN492" s="2"/>
      <c r="AO492" s="3"/>
      <c r="AP492" s="3"/>
      <c r="AQ492" s="2"/>
    </row>
    <row r="493" customFormat="false" ht="46.25" hidden="false" customHeight="false" outlineLevel="0" collapsed="false">
      <c r="A493" s="2" t="n">
        <v>492</v>
      </c>
      <c r="B493" s="2" t="s">
        <v>5558</v>
      </c>
      <c r="C493" s="2" t="s">
        <v>5430</v>
      </c>
      <c r="D493" s="2" t="s">
        <v>5478</v>
      </c>
      <c r="E493" s="2" t="s">
        <v>5559</v>
      </c>
      <c r="F493" s="2" t="s">
        <v>5560</v>
      </c>
      <c r="G493" s="3" t="s">
        <v>5561</v>
      </c>
      <c r="H493" s="2"/>
      <c r="I493" s="2" t="s">
        <v>74</v>
      </c>
      <c r="J493" s="3" t="s">
        <v>5562</v>
      </c>
      <c r="K493" s="2" t="s">
        <v>3930</v>
      </c>
      <c r="L493" s="2" t="s">
        <v>3931</v>
      </c>
      <c r="M493" s="2"/>
      <c r="N493" s="2"/>
      <c r="O493" s="2"/>
      <c r="P493" s="2" t="n">
        <v>37.5883</v>
      </c>
      <c r="Q493" s="2" t="n">
        <v>32.3445</v>
      </c>
      <c r="R493" s="2" t="s">
        <v>54</v>
      </c>
      <c r="S493" s="2" t="n">
        <v>-6</v>
      </c>
      <c r="T493" s="2" t="s">
        <v>5563</v>
      </c>
      <c r="U493" s="2" t="s">
        <v>139</v>
      </c>
      <c r="V493" s="2" t="s">
        <v>245</v>
      </c>
      <c r="W493" s="2" t="s">
        <v>140</v>
      </c>
      <c r="X493" s="2" t="s">
        <v>141</v>
      </c>
      <c r="Y493" s="2" t="s">
        <v>5564</v>
      </c>
      <c r="Z493" s="2" t="s">
        <v>143</v>
      </c>
      <c r="AA493" s="2"/>
      <c r="AB493" s="2" t="s">
        <v>63</v>
      </c>
      <c r="AC493" s="2" t="s">
        <v>452</v>
      </c>
      <c r="AD493" s="2" t="s">
        <v>5565</v>
      </c>
      <c r="AE493" s="3" t="s">
        <v>5566</v>
      </c>
      <c r="AF493" s="3" t="s">
        <v>5567</v>
      </c>
      <c r="AG493" s="2" t="s">
        <v>5568</v>
      </c>
      <c r="AH493" s="2" t="s">
        <v>54</v>
      </c>
      <c r="AI493" s="3" t="s">
        <v>5569</v>
      </c>
      <c r="AJ493" s="3" t="s">
        <v>5570</v>
      </c>
      <c r="AK493" s="2" t="n">
        <v>648699</v>
      </c>
      <c r="AL493" s="3" t="s">
        <v>5571</v>
      </c>
      <c r="AM493" s="2"/>
      <c r="AN493" s="2"/>
      <c r="AO493" s="3"/>
      <c r="AP493" s="3"/>
      <c r="AQ493" s="2"/>
    </row>
    <row r="494" customFormat="false" ht="57.45" hidden="false" customHeight="false" outlineLevel="0" collapsed="false">
      <c r="A494" s="2" t="n">
        <v>493</v>
      </c>
      <c r="B494" s="2" t="s">
        <v>5572</v>
      </c>
      <c r="C494" s="2" t="s">
        <v>5430</v>
      </c>
      <c r="D494" s="2" t="s">
        <v>5478</v>
      </c>
      <c r="E494" s="2" t="s">
        <v>5573</v>
      </c>
      <c r="F494" s="2" t="s">
        <v>5574</v>
      </c>
      <c r="G494" s="3" t="s">
        <v>5575</v>
      </c>
      <c r="H494" s="2" t="s">
        <v>3930</v>
      </c>
      <c r="I494" s="2" t="s">
        <v>123</v>
      </c>
      <c r="J494" s="3" t="s">
        <v>5576</v>
      </c>
      <c r="K494" s="2" t="s">
        <v>3930</v>
      </c>
      <c r="L494" s="2" t="s">
        <v>3931</v>
      </c>
      <c r="M494" s="2" t="s">
        <v>5577</v>
      </c>
      <c r="N494" s="2" t="s">
        <v>63</v>
      </c>
      <c r="O494" s="2" t="s">
        <v>422</v>
      </c>
      <c r="P494" s="2" t="n">
        <v>37.8725</v>
      </c>
      <c r="Q494" s="2" t="n">
        <v>32.4923</v>
      </c>
      <c r="R494" s="2" t="s">
        <v>54</v>
      </c>
      <c r="S494" s="2" t="n">
        <v>-100</v>
      </c>
      <c r="T494" s="2" t="s">
        <v>2084</v>
      </c>
      <c r="U494" s="2" t="s">
        <v>56</v>
      </c>
      <c r="V494" s="2" t="s">
        <v>78</v>
      </c>
      <c r="W494" s="2" t="s">
        <v>195</v>
      </c>
      <c r="X494" s="2" t="s">
        <v>289</v>
      </c>
      <c r="Y494" s="2"/>
      <c r="Z494" s="2" t="s">
        <v>170</v>
      </c>
      <c r="AA494" s="2"/>
      <c r="AB494" s="2" t="s">
        <v>63</v>
      </c>
      <c r="AC494" s="2" t="s">
        <v>452</v>
      </c>
      <c r="AD494" s="2" t="s">
        <v>5578</v>
      </c>
      <c r="AE494" s="3" t="s">
        <v>5579</v>
      </c>
      <c r="AF494" s="3" t="s">
        <v>5580</v>
      </c>
      <c r="AG494" s="2"/>
      <c r="AH494" s="2" t="s">
        <v>54</v>
      </c>
      <c r="AI494" s="3" t="s">
        <v>5581</v>
      </c>
      <c r="AJ494" s="3" t="s">
        <v>5582</v>
      </c>
      <c r="AK494" s="2" t="n">
        <v>648647</v>
      </c>
      <c r="AL494" s="3" t="s">
        <v>5583</v>
      </c>
      <c r="AM494" s="2"/>
      <c r="AN494" s="2" t="s">
        <v>200</v>
      </c>
      <c r="AO494" s="3"/>
      <c r="AP494" s="3"/>
      <c r="AQ494" s="2"/>
    </row>
    <row r="495" customFormat="false" ht="15" hidden="false" customHeight="false" outlineLevel="0" collapsed="false">
      <c r="A495" s="2" t="n">
        <v>494</v>
      </c>
      <c r="B495" s="2" t="s">
        <v>5584</v>
      </c>
      <c r="C495" s="2" t="s">
        <v>5430</v>
      </c>
      <c r="D495" s="2" t="s">
        <v>5478</v>
      </c>
      <c r="E495" s="2" t="s">
        <v>5585</v>
      </c>
      <c r="F495" s="2" t="s">
        <v>5586</v>
      </c>
      <c r="G495" s="3" t="s">
        <v>5587</v>
      </c>
      <c r="H495" s="2"/>
      <c r="I495" s="2" t="s">
        <v>74</v>
      </c>
      <c r="J495" s="3" t="s">
        <v>5588</v>
      </c>
      <c r="K495" s="2" t="s">
        <v>3930</v>
      </c>
      <c r="L495" s="2" t="s">
        <v>3931</v>
      </c>
      <c r="M495" s="2"/>
      <c r="N495" s="2"/>
      <c r="O495" s="2"/>
      <c r="P495" s="2" t="n">
        <v>37.8991</v>
      </c>
      <c r="Q495" s="2" t="n">
        <v>33.1975</v>
      </c>
      <c r="R495" s="2" t="s">
        <v>95</v>
      </c>
      <c r="S495" s="2" t="n">
        <v>381</v>
      </c>
      <c r="T495" s="2" t="s">
        <v>5553</v>
      </c>
      <c r="U495" s="2" t="s">
        <v>56</v>
      </c>
      <c r="V495" s="2" t="s">
        <v>245</v>
      </c>
      <c r="W495" s="2" t="s">
        <v>304</v>
      </c>
      <c r="X495" s="2" t="s">
        <v>289</v>
      </c>
      <c r="Y495" s="2"/>
      <c r="Z495" s="2" t="s">
        <v>170</v>
      </c>
      <c r="AA495" s="2"/>
      <c r="AB495" s="2" t="s">
        <v>63</v>
      </c>
      <c r="AC495" s="2" t="s">
        <v>64</v>
      </c>
      <c r="AD495" s="2"/>
      <c r="AE495" s="3"/>
      <c r="AF495" s="3" t="s">
        <v>5554</v>
      </c>
      <c r="AG495" s="2"/>
      <c r="AH495" s="2" t="s">
        <v>113</v>
      </c>
      <c r="AI495" s="3"/>
      <c r="AJ495" s="3" t="s">
        <v>5589</v>
      </c>
      <c r="AK495" s="2" t="n">
        <v>648662</v>
      </c>
      <c r="AL495" s="3" t="s">
        <v>5557</v>
      </c>
      <c r="AM495" s="2"/>
      <c r="AN495" s="2"/>
      <c r="AO495" s="3"/>
      <c r="AP495" s="3"/>
      <c r="AQ495" s="2"/>
    </row>
    <row r="496" customFormat="false" ht="23.85" hidden="false" customHeight="false" outlineLevel="0" collapsed="false">
      <c r="A496" s="2" t="n">
        <v>495</v>
      </c>
      <c r="B496" s="2" t="s">
        <v>5590</v>
      </c>
      <c r="C496" s="2" t="s">
        <v>5430</v>
      </c>
      <c r="D496" s="2" t="s">
        <v>5478</v>
      </c>
      <c r="E496" s="2" t="s">
        <v>5591</v>
      </c>
      <c r="F496" s="2" t="s">
        <v>5592</v>
      </c>
      <c r="G496" s="3" t="s">
        <v>5593</v>
      </c>
      <c r="H496" s="2"/>
      <c r="I496" s="2" t="s">
        <v>74</v>
      </c>
      <c r="J496" s="3" t="s">
        <v>5594</v>
      </c>
      <c r="K496" s="2" t="s">
        <v>3930</v>
      </c>
      <c r="L496" s="2" t="s">
        <v>3931</v>
      </c>
      <c r="M496" s="2"/>
      <c r="N496" s="2"/>
      <c r="O496" s="2"/>
      <c r="P496" s="2" t="n">
        <v>37.9751</v>
      </c>
      <c r="Q496" s="2" t="n">
        <v>33.1114</v>
      </c>
      <c r="R496" s="2" t="s">
        <v>95</v>
      </c>
      <c r="S496" s="2" t="n">
        <v>140</v>
      </c>
      <c r="T496" s="2" t="s">
        <v>5595</v>
      </c>
      <c r="U496" s="2" t="s">
        <v>56</v>
      </c>
      <c r="V496" s="2" t="s">
        <v>97</v>
      </c>
      <c r="W496" s="2" t="s">
        <v>140</v>
      </c>
      <c r="X496" s="2" t="s">
        <v>289</v>
      </c>
      <c r="Y496" s="2"/>
      <c r="Z496" s="2" t="s">
        <v>170</v>
      </c>
      <c r="AA496" s="2"/>
      <c r="AB496" s="2" t="s">
        <v>63</v>
      </c>
      <c r="AC496" s="2" t="s">
        <v>64</v>
      </c>
      <c r="AD496" s="2"/>
      <c r="AE496" s="3"/>
      <c r="AF496" s="3" t="s">
        <v>5596</v>
      </c>
      <c r="AG496" s="2"/>
      <c r="AH496" s="2" t="s">
        <v>54</v>
      </c>
      <c r="AI496" s="3" t="s">
        <v>5597</v>
      </c>
      <c r="AJ496" s="3" t="s">
        <v>5598</v>
      </c>
      <c r="AK496" s="2" t="n">
        <v>648780</v>
      </c>
      <c r="AL496" s="3" t="s">
        <v>5599</v>
      </c>
      <c r="AM496" s="2"/>
      <c r="AN496" s="2"/>
      <c r="AO496" s="3"/>
      <c r="AP496" s="3"/>
      <c r="AQ496" s="2"/>
    </row>
    <row r="497" customFormat="false" ht="23.85" hidden="false" customHeight="false" outlineLevel="0" collapsed="false">
      <c r="A497" s="2" t="n">
        <v>496</v>
      </c>
      <c r="B497" s="2" t="s">
        <v>5600</v>
      </c>
      <c r="C497" s="2" t="s">
        <v>5430</v>
      </c>
      <c r="D497" s="2" t="s">
        <v>5478</v>
      </c>
      <c r="E497" s="2" t="s">
        <v>5601</v>
      </c>
      <c r="F497" s="2" t="s">
        <v>5602</v>
      </c>
      <c r="G497" s="3" t="s">
        <v>5603</v>
      </c>
      <c r="H497" s="2"/>
      <c r="I497" s="2" t="s">
        <v>74</v>
      </c>
      <c r="J497" s="3" t="s">
        <v>5604</v>
      </c>
      <c r="K497" s="2" t="s">
        <v>3930</v>
      </c>
      <c r="L497" s="2" t="s">
        <v>3931</v>
      </c>
      <c r="M497" s="2"/>
      <c r="N497" s="2"/>
      <c r="O497" s="2"/>
      <c r="P497" s="2" t="n">
        <v>38.1677</v>
      </c>
      <c r="Q497" s="2" t="n">
        <v>33.0767</v>
      </c>
      <c r="R497" s="2" t="s">
        <v>95</v>
      </c>
      <c r="S497" s="2" t="n">
        <v>570</v>
      </c>
      <c r="T497" s="2" t="s">
        <v>4665</v>
      </c>
      <c r="U497" s="2" t="s">
        <v>56</v>
      </c>
      <c r="V497" s="2" t="s">
        <v>78</v>
      </c>
      <c r="W497" s="2" t="s">
        <v>304</v>
      </c>
      <c r="X497" s="2" t="s">
        <v>289</v>
      </c>
      <c r="Y497" s="2"/>
      <c r="Z497" s="2" t="s">
        <v>170</v>
      </c>
      <c r="AA497" s="2"/>
      <c r="AB497" s="2" t="s">
        <v>63</v>
      </c>
      <c r="AC497" s="2" t="s">
        <v>64</v>
      </c>
      <c r="AD497" s="2"/>
      <c r="AE497" s="3"/>
      <c r="AF497" s="3" t="s">
        <v>5605</v>
      </c>
      <c r="AG497" s="2"/>
      <c r="AH497" s="2" t="s">
        <v>113</v>
      </c>
      <c r="AI497" s="3" t="s">
        <v>5606</v>
      </c>
      <c r="AJ497" s="3" t="s">
        <v>5607</v>
      </c>
      <c r="AK497" s="2" t="n">
        <v>619237</v>
      </c>
      <c r="AL497" s="3" t="s">
        <v>5608</v>
      </c>
      <c r="AM497" s="2"/>
      <c r="AN497" s="2"/>
      <c r="AO497" s="3"/>
      <c r="AP497" s="3"/>
      <c r="AQ497" s="2"/>
    </row>
    <row r="498" customFormat="false" ht="35.05" hidden="false" customHeight="false" outlineLevel="0" collapsed="false">
      <c r="A498" s="2" t="n">
        <v>497</v>
      </c>
      <c r="B498" s="2" t="s">
        <v>5609</v>
      </c>
      <c r="C498" s="2" t="s">
        <v>5430</v>
      </c>
      <c r="D498" s="2" t="s">
        <v>5478</v>
      </c>
      <c r="E498" s="2" t="s">
        <v>5610</v>
      </c>
      <c r="F498" s="2" t="s">
        <v>5611</v>
      </c>
      <c r="G498" s="3" t="s">
        <v>5612</v>
      </c>
      <c r="H498" s="2"/>
      <c r="I498" s="2" t="s">
        <v>93</v>
      </c>
      <c r="J498" s="3" t="s">
        <v>5613</v>
      </c>
      <c r="K498" s="2" t="s">
        <v>3930</v>
      </c>
      <c r="L498" s="2" t="s">
        <v>3931</v>
      </c>
      <c r="M498" s="2"/>
      <c r="N498" s="2"/>
      <c r="O498" s="2"/>
      <c r="P498" s="2" t="n">
        <v>37.75</v>
      </c>
      <c r="Q498" s="2" t="n">
        <v>32.9</v>
      </c>
      <c r="R498" s="2" t="s">
        <v>637</v>
      </c>
      <c r="S498" s="2" t="n">
        <v>470</v>
      </c>
      <c r="T498" s="2" t="s">
        <v>5614</v>
      </c>
      <c r="U498" s="2" t="s">
        <v>139</v>
      </c>
      <c r="V498" s="2" t="s">
        <v>57</v>
      </c>
      <c r="W498" s="2" t="s">
        <v>304</v>
      </c>
      <c r="X498" s="2" t="s">
        <v>289</v>
      </c>
      <c r="Y498" s="2" t="s">
        <v>5615</v>
      </c>
      <c r="Z498" s="2" t="s">
        <v>170</v>
      </c>
      <c r="AA498" s="2"/>
      <c r="AB498" s="2" t="s">
        <v>63</v>
      </c>
      <c r="AC498" s="2" t="s">
        <v>64</v>
      </c>
      <c r="AD498" s="2"/>
      <c r="AE498" s="3"/>
      <c r="AF498" s="3" t="s">
        <v>5616</v>
      </c>
      <c r="AG498" s="2"/>
      <c r="AH498" s="2" t="s">
        <v>263</v>
      </c>
      <c r="AI498" s="3" t="s">
        <v>5617</v>
      </c>
      <c r="AJ498" s="3" t="s">
        <v>5618</v>
      </c>
      <c r="AK498" s="2"/>
      <c r="AL498" s="3" t="s">
        <v>5619</v>
      </c>
      <c r="AM498" s="2"/>
      <c r="AN498" s="2"/>
      <c r="AO498" s="3"/>
      <c r="AP498" s="3"/>
      <c r="AQ498" s="2"/>
    </row>
    <row r="499" customFormat="false" ht="46.25" hidden="false" customHeight="false" outlineLevel="0" collapsed="false">
      <c r="A499" s="2" t="n">
        <v>498</v>
      </c>
      <c r="B499" s="2" t="s">
        <v>5620</v>
      </c>
      <c r="C499" s="2" t="s">
        <v>5430</v>
      </c>
      <c r="D499" s="2" t="s">
        <v>5478</v>
      </c>
      <c r="E499" s="2" t="s">
        <v>5621</v>
      </c>
      <c r="F499" s="2" t="s">
        <v>5622</v>
      </c>
      <c r="G499" s="3" t="s">
        <v>5623</v>
      </c>
      <c r="H499" s="2" t="s">
        <v>5624</v>
      </c>
      <c r="I499" s="2" t="s">
        <v>49</v>
      </c>
      <c r="J499" s="3" t="s">
        <v>5625</v>
      </c>
      <c r="K499" s="2" t="s">
        <v>3930</v>
      </c>
      <c r="L499" s="2" t="s">
        <v>3931</v>
      </c>
      <c r="M499" s="2"/>
      <c r="N499" s="2"/>
      <c r="O499" s="2" t="s">
        <v>5</v>
      </c>
      <c r="P499" s="2" t="n">
        <v>38.1893</v>
      </c>
      <c r="Q499" s="2" t="n">
        <v>32.3761</v>
      </c>
      <c r="R499" s="2" t="s">
        <v>54</v>
      </c>
      <c r="S499" s="2" t="n">
        <v>-270</v>
      </c>
      <c r="T499" s="2" t="s">
        <v>2847</v>
      </c>
      <c r="U499" s="2" t="s">
        <v>139</v>
      </c>
      <c r="V499" s="2" t="s">
        <v>97</v>
      </c>
      <c r="W499" s="2" t="s">
        <v>195</v>
      </c>
      <c r="X499" s="2" t="s">
        <v>246</v>
      </c>
      <c r="Y499" s="2" t="s">
        <v>5626</v>
      </c>
      <c r="Z499" s="2" t="s">
        <v>2168</v>
      </c>
      <c r="AA499" s="2"/>
      <c r="AB499" s="2" t="s">
        <v>81</v>
      </c>
      <c r="AC499" s="2"/>
      <c r="AD499" s="2"/>
      <c r="AE499" s="3"/>
      <c r="AF499" s="3" t="s">
        <v>5627</v>
      </c>
      <c r="AG499" s="2"/>
      <c r="AH499" s="2" t="s">
        <v>54</v>
      </c>
      <c r="AI499" s="3" t="s">
        <v>5628</v>
      </c>
      <c r="AJ499" s="3" t="s">
        <v>5629</v>
      </c>
      <c r="AK499" s="2" t="n">
        <v>619197</v>
      </c>
      <c r="AL499" s="3" t="s">
        <v>5630</v>
      </c>
      <c r="AM499" s="2"/>
      <c r="AN499" s="2" t="s">
        <v>200</v>
      </c>
      <c r="AO499" s="3" t="s">
        <v>5631</v>
      </c>
      <c r="AP499" s="3" t="s">
        <v>5632</v>
      </c>
      <c r="AQ499" s="2" t="s">
        <v>151</v>
      </c>
    </row>
    <row r="500" customFormat="false" ht="23.85" hidden="false" customHeight="false" outlineLevel="0" collapsed="false">
      <c r="A500" s="2" t="n">
        <v>499</v>
      </c>
      <c r="B500" s="2" t="s">
        <v>5633</v>
      </c>
      <c r="C500" s="2" t="s">
        <v>5430</v>
      </c>
      <c r="D500" s="2" t="s">
        <v>5431</v>
      </c>
      <c r="E500" s="2" t="s">
        <v>5634</v>
      </c>
      <c r="F500" s="2" t="s">
        <v>5635</v>
      </c>
      <c r="G500" s="3" t="s">
        <v>5636</v>
      </c>
      <c r="H500" s="2"/>
      <c r="I500" s="2" t="s">
        <v>74</v>
      </c>
      <c r="J500" s="3" t="s">
        <v>5637</v>
      </c>
      <c r="K500" s="2" t="s">
        <v>3930</v>
      </c>
      <c r="L500" s="2" t="s">
        <v>3931</v>
      </c>
      <c r="M500" s="2"/>
      <c r="N500" s="2"/>
      <c r="O500" s="2"/>
      <c r="P500" s="2" t="n">
        <v>38.6148</v>
      </c>
      <c r="Q500" s="2" t="n">
        <v>32.5614</v>
      </c>
      <c r="R500" s="2" t="s">
        <v>95</v>
      </c>
      <c r="S500" s="2" t="n">
        <v>325</v>
      </c>
      <c r="T500" s="2" t="s">
        <v>3894</v>
      </c>
      <c r="U500" s="2" t="s">
        <v>56</v>
      </c>
      <c r="V500" s="2" t="s">
        <v>245</v>
      </c>
      <c r="W500" s="2" t="s">
        <v>140</v>
      </c>
      <c r="X500" s="2" t="s">
        <v>289</v>
      </c>
      <c r="Y500" s="2"/>
      <c r="Z500" s="2" t="s">
        <v>170</v>
      </c>
      <c r="AA500" s="2"/>
      <c r="AB500" s="2" t="s">
        <v>63</v>
      </c>
      <c r="AC500" s="2" t="s">
        <v>64</v>
      </c>
      <c r="AD500" s="2"/>
      <c r="AE500" s="3"/>
      <c r="AF500" s="3" t="s">
        <v>5638</v>
      </c>
      <c r="AG500" s="2"/>
      <c r="AH500" s="2" t="s">
        <v>113</v>
      </c>
      <c r="AI500" s="3" t="s">
        <v>5639</v>
      </c>
      <c r="AJ500" s="3" t="s">
        <v>5640</v>
      </c>
      <c r="AK500" s="2" t="n">
        <v>619154</v>
      </c>
      <c r="AL500" s="3" t="s">
        <v>5641</v>
      </c>
      <c r="AM500" s="2"/>
      <c r="AN500" s="2"/>
      <c r="AO500" s="3"/>
      <c r="AP500" s="3"/>
      <c r="AQ500" s="2"/>
    </row>
    <row r="501" customFormat="false" ht="23.85" hidden="false" customHeight="false" outlineLevel="0" collapsed="false">
      <c r="A501" s="2" t="n">
        <v>500</v>
      </c>
      <c r="B501" s="2" t="s">
        <v>5642</v>
      </c>
      <c r="C501" s="2" t="s">
        <v>5430</v>
      </c>
      <c r="D501" s="2" t="s">
        <v>5431</v>
      </c>
      <c r="E501" s="2" t="s">
        <v>5643</v>
      </c>
      <c r="F501" s="2" t="s">
        <v>5644</v>
      </c>
      <c r="G501" s="3" t="s">
        <v>5645</v>
      </c>
      <c r="H501" s="2"/>
      <c r="I501" s="2" t="s">
        <v>74</v>
      </c>
      <c r="J501" s="3" t="s">
        <v>5646</v>
      </c>
      <c r="K501" s="2" t="s">
        <v>3930</v>
      </c>
      <c r="L501" s="2" t="s">
        <v>3931</v>
      </c>
      <c r="M501" s="2"/>
      <c r="N501" s="2"/>
      <c r="O501" s="2"/>
      <c r="P501" s="2" t="n">
        <v>38.6234</v>
      </c>
      <c r="Q501" s="2" t="n">
        <v>31.8349</v>
      </c>
      <c r="R501" s="2" t="s">
        <v>95</v>
      </c>
      <c r="S501" s="2" t="n">
        <v>527</v>
      </c>
      <c r="T501" s="2" t="s">
        <v>330</v>
      </c>
      <c r="U501" s="2" t="s">
        <v>56</v>
      </c>
      <c r="V501" s="2" t="s">
        <v>57</v>
      </c>
      <c r="W501" s="2" t="s">
        <v>304</v>
      </c>
      <c r="X501" s="2" t="s">
        <v>289</v>
      </c>
      <c r="Y501" s="2"/>
      <c r="Z501" s="2" t="s">
        <v>170</v>
      </c>
      <c r="AA501" s="2"/>
      <c r="AB501" s="2" t="s">
        <v>63</v>
      </c>
      <c r="AC501" s="2" t="s">
        <v>64</v>
      </c>
      <c r="AD501" s="2"/>
      <c r="AE501" s="3"/>
      <c r="AF501" s="3" t="s">
        <v>5647</v>
      </c>
      <c r="AG501" s="2"/>
      <c r="AH501" s="2" t="s">
        <v>113</v>
      </c>
      <c r="AI501" s="3" t="s">
        <v>5648</v>
      </c>
      <c r="AJ501" s="3" t="s">
        <v>5649</v>
      </c>
      <c r="AK501" s="2" t="n">
        <v>609435</v>
      </c>
      <c r="AL501" s="3" t="s">
        <v>5650</v>
      </c>
      <c r="AM501" s="2"/>
      <c r="AN501" s="2"/>
      <c r="AO501" s="3"/>
      <c r="AP501" s="3"/>
      <c r="AQ501" s="2"/>
    </row>
    <row r="502" customFormat="false" ht="23.85" hidden="false" customHeight="false" outlineLevel="0" collapsed="false">
      <c r="A502" s="2" t="n">
        <v>501</v>
      </c>
      <c r="B502" s="2" t="s">
        <v>5651</v>
      </c>
      <c r="C502" s="2" t="s">
        <v>5430</v>
      </c>
      <c r="D502" s="2" t="s">
        <v>5431</v>
      </c>
      <c r="E502" s="2" t="s">
        <v>5652</v>
      </c>
      <c r="F502" s="2" t="s">
        <v>5653</v>
      </c>
      <c r="G502" s="3" t="s">
        <v>5654</v>
      </c>
      <c r="H502" s="2"/>
      <c r="I502" s="2" t="s">
        <v>93</v>
      </c>
      <c r="J502" s="3" t="s">
        <v>5655</v>
      </c>
      <c r="K502" s="2" t="s">
        <v>3930</v>
      </c>
      <c r="L502" s="2" t="s">
        <v>3931</v>
      </c>
      <c r="M502" s="2"/>
      <c r="N502" s="2"/>
      <c r="O502" s="2"/>
      <c r="P502" s="2" t="n">
        <v>38.9</v>
      </c>
      <c r="Q502" s="2" t="n">
        <v>33</v>
      </c>
      <c r="R502" s="2" t="s">
        <v>637</v>
      </c>
      <c r="S502" s="2" t="n">
        <v>390</v>
      </c>
      <c r="T502" s="2" t="s">
        <v>5656</v>
      </c>
      <c r="U502" s="2" t="s">
        <v>56</v>
      </c>
      <c r="V502" s="2" t="s">
        <v>57</v>
      </c>
      <c r="W502" s="2" t="s">
        <v>304</v>
      </c>
      <c r="X502" s="2" t="s">
        <v>289</v>
      </c>
      <c r="Y502" s="2"/>
      <c r="Z502" s="2" t="s">
        <v>170</v>
      </c>
      <c r="AA502" s="2"/>
      <c r="AB502" s="2" t="s">
        <v>63</v>
      </c>
      <c r="AC502" s="2" t="s">
        <v>64</v>
      </c>
      <c r="AD502" s="2"/>
      <c r="AE502" s="3"/>
      <c r="AF502" s="3" t="s">
        <v>5657</v>
      </c>
      <c r="AG502" s="2"/>
      <c r="AH502" s="2" t="s">
        <v>113</v>
      </c>
      <c r="AI502" s="3" t="s">
        <v>5658</v>
      </c>
      <c r="AJ502" s="3" t="s">
        <v>5659</v>
      </c>
      <c r="AK502" s="2"/>
      <c r="AL502" s="3" t="s">
        <v>5660</v>
      </c>
      <c r="AM502" s="2"/>
      <c r="AN502" s="2"/>
      <c r="AO502" s="3"/>
      <c r="AP502" s="3"/>
      <c r="AQ502" s="2"/>
    </row>
    <row r="503" customFormat="false" ht="23.85" hidden="false" customHeight="false" outlineLevel="0" collapsed="false">
      <c r="A503" s="2" t="n">
        <v>502</v>
      </c>
      <c r="B503" s="2" t="s">
        <v>5661</v>
      </c>
      <c r="C503" s="2" t="s">
        <v>5430</v>
      </c>
      <c r="D503" s="2" t="s">
        <v>5431</v>
      </c>
      <c r="E503" s="2" t="s">
        <v>5662</v>
      </c>
      <c r="F503" s="2" t="s">
        <v>5663</v>
      </c>
      <c r="G503" s="3" t="s">
        <v>5664</v>
      </c>
      <c r="H503" s="2"/>
      <c r="I503" s="2" t="s">
        <v>74</v>
      </c>
      <c r="J503" s="3" t="s">
        <v>5665</v>
      </c>
      <c r="K503" s="2" t="s">
        <v>5666</v>
      </c>
      <c r="L503" s="2" t="s">
        <v>3931</v>
      </c>
      <c r="M503" s="2"/>
      <c r="N503" s="2"/>
      <c r="O503" s="2"/>
      <c r="P503" s="2" t="n">
        <v>39.2269</v>
      </c>
      <c r="Q503" s="2" t="n">
        <v>33.033</v>
      </c>
      <c r="R503" s="2" t="s">
        <v>95</v>
      </c>
      <c r="S503" s="2" t="n">
        <v>431</v>
      </c>
      <c r="T503" s="2" t="s">
        <v>2124</v>
      </c>
      <c r="U503" s="2" t="s">
        <v>56</v>
      </c>
      <c r="V503" s="2" t="s">
        <v>245</v>
      </c>
      <c r="W503" s="2" t="s">
        <v>304</v>
      </c>
      <c r="X503" s="2" t="s">
        <v>289</v>
      </c>
      <c r="Y503" s="2"/>
      <c r="Z503" s="2" t="s">
        <v>170</v>
      </c>
      <c r="AA503" s="2"/>
      <c r="AB503" s="2" t="s">
        <v>63</v>
      </c>
      <c r="AC503" s="2" t="s">
        <v>64</v>
      </c>
      <c r="AD503" s="2"/>
      <c r="AE503" s="3" t="s">
        <v>5667</v>
      </c>
      <c r="AF503" s="3" t="s">
        <v>5668</v>
      </c>
      <c r="AG503" s="2"/>
      <c r="AH503" s="2" t="s">
        <v>113</v>
      </c>
      <c r="AI503" s="3" t="s">
        <v>5669</v>
      </c>
      <c r="AJ503" s="3" t="s">
        <v>5670</v>
      </c>
      <c r="AK503" s="2" t="n">
        <v>619188</v>
      </c>
      <c r="AL503" s="3" t="s">
        <v>5671</v>
      </c>
      <c r="AM503" s="2"/>
      <c r="AN503" s="2"/>
      <c r="AO503" s="3"/>
      <c r="AP503" s="3"/>
      <c r="AQ503" s="2"/>
    </row>
    <row r="504" customFormat="false" ht="23.85" hidden="false" customHeight="false" outlineLevel="0" collapsed="false">
      <c r="A504" s="2" t="n">
        <v>503</v>
      </c>
      <c r="B504" s="2" t="s">
        <v>5672</v>
      </c>
      <c r="C504" s="2" t="s">
        <v>5430</v>
      </c>
      <c r="D504" s="2" t="s">
        <v>5431</v>
      </c>
      <c r="E504" s="2" t="s">
        <v>5673</v>
      </c>
      <c r="F504" s="2" t="s">
        <v>5674</v>
      </c>
      <c r="G504" s="3" t="s">
        <v>5675</v>
      </c>
      <c r="H504" s="2" t="s">
        <v>5676</v>
      </c>
      <c r="I504" s="2" t="s">
        <v>49</v>
      </c>
      <c r="J504" s="3" t="s">
        <v>5677</v>
      </c>
      <c r="K504" s="2" t="s">
        <v>5666</v>
      </c>
      <c r="L504" s="2" t="s">
        <v>3931</v>
      </c>
      <c r="M504" s="2"/>
      <c r="N504" s="2"/>
      <c r="O504" s="2" t="s">
        <v>53</v>
      </c>
      <c r="P504" s="2" t="n">
        <v>39.3022</v>
      </c>
      <c r="Q504" s="2" t="n">
        <v>33.3078</v>
      </c>
      <c r="R504" s="2" t="s">
        <v>95</v>
      </c>
      <c r="S504" s="2" t="n">
        <v>343</v>
      </c>
      <c r="T504" s="2" t="s">
        <v>5678</v>
      </c>
      <c r="U504" s="2" t="s">
        <v>56</v>
      </c>
      <c r="V504" s="2" t="s">
        <v>245</v>
      </c>
      <c r="W504" s="2" t="s">
        <v>304</v>
      </c>
      <c r="X504" s="2" t="s">
        <v>289</v>
      </c>
      <c r="Y504" s="2"/>
      <c r="Z504" s="2" t="s">
        <v>170</v>
      </c>
      <c r="AA504" s="2"/>
      <c r="AB504" s="2" t="s">
        <v>63</v>
      </c>
      <c r="AC504" s="2" t="s">
        <v>64</v>
      </c>
      <c r="AD504" s="2"/>
      <c r="AE504" s="3"/>
      <c r="AF504" s="3" t="s">
        <v>5679</v>
      </c>
      <c r="AG504" s="2"/>
      <c r="AH504" s="2" t="s">
        <v>54</v>
      </c>
      <c r="AI504" s="3"/>
      <c r="AJ504" s="3" t="s">
        <v>5680</v>
      </c>
      <c r="AK504" s="2" t="n">
        <v>619118</v>
      </c>
      <c r="AL504" s="3" t="s">
        <v>5681</v>
      </c>
      <c r="AM504" s="2"/>
      <c r="AN504" s="2"/>
      <c r="AO504" s="3"/>
      <c r="AP504" s="3"/>
      <c r="AQ504" s="2"/>
    </row>
    <row r="505" customFormat="false" ht="46.25" hidden="false" customHeight="false" outlineLevel="0" collapsed="false">
      <c r="A505" s="2" t="n">
        <v>504</v>
      </c>
      <c r="B505" s="2" t="s">
        <v>5682</v>
      </c>
      <c r="C505" s="2" t="s">
        <v>5430</v>
      </c>
      <c r="D505" s="2" t="s">
        <v>5431</v>
      </c>
      <c r="E505" s="2" t="s">
        <v>5683</v>
      </c>
      <c r="F505" s="2" t="s">
        <v>5305</v>
      </c>
      <c r="G505" s="3" t="s">
        <v>5684</v>
      </c>
      <c r="H505" s="2" t="s">
        <v>5666</v>
      </c>
      <c r="I505" s="2" t="s">
        <v>123</v>
      </c>
      <c r="J505" s="3" t="s">
        <v>5685</v>
      </c>
      <c r="K505" s="2" t="s">
        <v>5666</v>
      </c>
      <c r="L505" s="2" t="s">
        <v>3931</v>
      </c>
      <c r="M505" s="2" t="s">
        <v>5686</v>
      </c>
      <c r="N505" s="2" t="s">
        <v>63</v>
      </c>
      <c r="O505" s="2" t="s">
        <v>5</v>
      </c>
      <c r="P505" s="2" t="n">
        <v>39.9438</v>
      </c>
      <c r="Q505" s="2" t="n">
        <v>32.8593</v>
      </c>
      <c r="R505" s="2" t="s">
        <v>54</v>
      </c>
      <c r="S505" s="2" t="n">
        <v>-20</v>
      </c>
      <c r="T505" s="2" t="s">
        <v>2920</v>
      </c>
      <c r="U505" s="2" t="s">
        <v>139</v>
      </c>
      <c r="V505" s="2" t="s">
        <v>57</v>
      </c>
      <c r="W505" s="2" t="s">
        <v>140</v>
      </c>
      <c r="X505" s="2" t="s">
        <v>141</v>
      </c>
      <c r="Y505" s="2" t="s">
        <v>5687</v>
      </c>
      <c r="Z505" s="2" t="s">
        <v>143</v>
      </c>
      <c r="AA505" s="2"/>
      <c r="AB505" s="2" t="s">
        <v>63</v>
      </c>
      <c r="AC505" s="2" t="s">
        <v>452</v>
      </c>
      <c r="AD505" s="2"/>
      <c r="AE505" s="3"/>
      <c r="AF505" s="3" t="s">
        <v>5688</v>
      </c>
      <c r="AG505" s="2"/>
      <c r="AH505" s="2" t="s">
        <v>54</v>
      </c>
      <c r="AI505" s="3" t="s">
        <v>5689</v>
      </c>
      <c r="AJ505" s="3" t="s">
        <v>5690</v>
      </c>
      <c r="AK505" s="2" t="n">
        <v>619103</v>
      </c>
      <c r="AL505" s="3" t="s">
        <v>5691</v>
      </c>
      <c r="AM505" s="2"/>
      <c r="AN505" s="2" t="s">
        <v>200</v>
      </c>
      <c r="AO505" s="3"/>
      <c r="AP505" s="3"/>
      <c r="AQ505" s="2"/>
    </row>
    <row r="506" customFormat="false" ht="35.05" hidden="false" customHeight="false" outlineLevel="0" collapsed="false">
      <c r="A506" s="2" t="n">
        <v>505</v>
      </c>
      <c r="B506" s="2" t="s">
        <v>5692</v>
      </c>
      <c r="C506" s="2" t="s">
        <v>5430</v>
      </c>
      <c r="D506" s="2" t="s">
        <v>5431</v>
      </c>
      <c r="E506" s="2" t="s">
        <v>5693</v>
      </c>
      <c r="F506" s="2" t="s">
        <v>5694</v>
      </c>
      <c r="G506" s="3" t="s">
        <v>5695</v>
      </c>
      <c r="H506" s="2"/>
      <c r="I506" s="2" t="s">
        <v>74</v>
      </c>
      <c r="J506" s="3" t="s">
        <v>5696</v>
      </c>
      <c r="K506" s="2" t="s">
        <v>5666</v>
      </c>
      <c r="L506" s="2" t="s">
        <v>3931</v>
      </c>
      <c r="M506" s="2"/>
      <c r="N506" s="2"/>
      <c r="O506" s="2"/>
      <c r="P506" s="2" t="n">
        <v>40.0444</v>
      </c>
      <c r="Q506" s="2" t="n">
        <v>32.249</v>
      </c>
      <c r="R506" s="2" t="s">
        <v>95</v>
      </c>
      <c r="S506" s="2" t="n">
        <v>451</v>
      </c>
      <c r="T506" s="2" t="s">
        <v>2373</v>
      </c>
      <c r="U506" s="2" t="s">
        <v>56</v>
      </c>
      <c r="V506" s="2" t="s">
        <v>245</v>
      </c>
      <c r="W506" s="2" t="s">
        <v>304</v>
      </c>
      <c r="X506" s="2" t="s">
        <v>289</v>
      </c>
      <c r="Y506" s="2"/>
      <c r="Z506" s="2" t="s">
        <v>170</v>
      </c>
      <c r="AA506" s="2"/>
      <c r="AB506" s="2" t="s">
        <v>63</v>
      </c>
      <c r="AC506" s="2" t="s">
        <v>64</v>
      </c>
      <c r="AD506" s="2"/>
      <c r="AE506" s="3"/>
      <c r="AF506" s="3" t="s">
        <v>5697</v>
      </c>
      <c r="AG506" s="2"/>
      <c r="AH506" s="2" t="s">
        <v>54</v>
      </c>
      <c r="AI506" s="3" t="s">
        <v>5698</v>
      </c>
      <c r="AJ506" s="3" t="s">
        <v>5699</v>
      </c>
      <c r="AK506" s="2" t="n">
        <v>845020</v>
      </c>
      <c r="AL506" s="3" t="s">
        <v>5700</v>
      </c>
      <c r="AM506" s="2"/>
      <c r="AN506" s="2"/>
      <c r="AO506" s="3"/>
      <c r="AP506" s="3"/>
      <c r="AQ506" s="2"/>
    </row>
    <row r="507" customFormat="false" ht="35.05" hidden="false" customHeight="false" outlineLevel="0" collapsed="false">
      <c r="A507" s="2" t="n">
        <v>506</v>
      </c>
      <c r="B507" s="2" t="s">
        <v>5701</v>
      </c>
      <c r="C507" s="2" t="s">
        <v>5430</v>
      </c>
      <c r="D507" s="2" t="s">
        <v>5431</v>
      </c>
      <c r="E507" s="2" t="s">
        <v>5702</v>
      </c>
      <c r="F507" s="2" t="s">
        <v>5703</v>
      </c>
      <c r="G507" s="3" t="s">
        <v>5704</v>
      </c>
      <c r="H507" s="2"/>
      <c r="I507" s="2" t="s">
        <v>74</v>
      </c>
      <c r="J507" s="3" t="s">
        <v>5705</v>
      </c>
      <c r="K507" s="2" t="s">
        <v>5666</v>
      </c>
      <c r="L507" s="2" t="s">
        <v>3931</v>
      </c>
      <c r="M507" s="2"/>
      <c r="N507" s="2"/>
      <c r="O507" s="2"/>
      <c r="P507" s="2" t="n">
        <v>40.022</v>
      </c>
      <c r="Q507" s="2" t="n">
        <v>31.9623</v>
      </c>
      <c r="R507" s="2" t="s">
        <v>95</v>
      </c>
      <c r="S507" s="2" t="n">
        <v>451</v>
      </c>
      <c r="T507" s="2" t="s">
        <v>2373</v>
      </c>
      <c r="U507" s="2" t="s">
        <v>56</v>
      </c>
      <c r="V507" s="2" t="s">
        <v>245</v>
      </c>
      <c r="W507" s="2" t="s">
        <v>304</v>
      </c>
      <c r="X507" s="2" t="s">
        <v>289</v>
      </c>
      <c r="Y507" s="2" t="s">
        <v>5706</v>
      </c>
      <c r="Z507" s="2" t="s">
        <v>170</v>
      </c>
      <c r="AA507" s="2"/>
      <c r="AB507" s="2" t="s">
        <v>63</v>
      </c>
      <c r="AC507" s="2" t="s">
        <v>64</v>
      </c>
      <c r="AD507" s="2"/>
      <c r="AE507" s="3"/>
      <c r="AF507" s="3" t="s">
        <v>5707</v>
      </c>
      <c r="AG507" s="2"/>
      <c r="AH507" s="2" t="s">
        <v>54</v>
      </c>
      <c r="AI507" s="3" t="s">
        <v>5708</v>
      </c>
      <c r="AJ507" s="3" t="s">
        <v>5709</v>
      </c>
      <c r="AK507" s="2" t="n">
        <v>609447</v>
      </c>
      <c r="AL507" s="3" t="s">
        <v>5710</v>
      </c>
      <c r="AM507" s="2"/>
      <c r="AN507" s="2"/>
      <c r="AO507" s="3"/>
      <c r="AP507" s="3"/>
      <c r="AQ507" s="2"/>
    </row>
    <row r="508" customFormat="false" ht="35.05" hidden="false" customHeight="false" outlineLevel="0" collapsed="false">
      <c r="A508" s="2" t="n">
        <v>507</v>
      </c>
      <c r="B508" s="2" t="s">
        <v>5711</v>
      </c>
      <c r="C508" s="2" t="s">
        <v>5430</v>
      </c>
      <c r="D508" s="2" t="s">
        <v>5431</v>
      </c>
      <c r="E508" s="2" t="s">
        <v>5712</v>
      </c>
      <c r="F508" s="2" t="s">
        <v>5713</v>
      </c>
      <c r="G508" s="3" t="s">
        <v>5714</v>
      </c>
      <c r="H508" s="2"/>
      <c r="I508" s="2" t="s">
        <v>74</v>
      </c>
      <c r="J508" s="3" t="s">
        <v>5715</v>
      </c>
      <c r="K508" s="2" t="s">
        <v>5666</v>
      </c>
      <c r="L508" s="2" t="s">
        <v>3931</v>
      </c>
      <c r="M508" s="2"/>
      <c r="N508" s="2"/>
      <c r="O508" s="2"/>
      <c r="P508" s="2" t="n">
        <v>40.1071</v>
      </c>
      <c r="Q508" s="2" t="n">
        <v>31.645</v>
      </c>
      <c r="R508" s="2" t="s">
        <v>54</v>
      </c>
      <c r="S508" s="2" t="n">
        <v>-30</v>
      </c>
      <c r="T508" s="2" t="s">
        <v>1496</v>
      </c>
      <c r="U508" s="2" t="s">
        <v>139</v>
      </c>
      <c r="V508" s="2" t="s">
        <v>57</v>
      </c>
      <c r="W508" s="2" t="s">
        <v>140</v>
      </c>
      <c r="X508" s="2" t="s">
        <v>246</v>
      </c>
      <c r="Y508" s="2" t="s">
        <v>5716</v>
      </c>
      <c r="Z508" s="2" t="s">
        <v>1793</v>
      </c>
      <c r="AA508" s="2"/>
      <c r="AB508" s="2" t="s">
        <v>63</v>
      </c>
      <c r="AC508" s="2" t="s">
        <v>452</v>
      </c>
      <c r="AD508" s="2"/>
      <c r="AE508" s="3"/>
      <c r="AF508" s="3" t="s">
        <v>5717</v>
      </c>
      <c r="AG508" s="2"/>
      <c r="AH508" s="2" t="s">
        <v>54</v>
      </c>
      <c r="AI508" s="3" t="s">
        <v>5718</v>
      </c>
      <c r="AJ508" s="3" t="s">
        <v>5719</v>
      </c>
      <c r="AK508" s="2" t="n">
        <v>844935</v>
      </c>
      <c r="AL508" s="3" t="s">
        <v>5720</v>
      </c>
      <c r="AM508" s="2"/>
      <c r="AN508" s="2"/>
      <c r="AO508" s="3"/>
      <c r="AP508" s="3"/>
      <c r="AQ508" s="2"/>
    </row>
    <row r="509" customFormat="false" ht="46.25" hidden="false" customHeight="false" outlineLevel="0" collapsed="false">
      <c r="A509" s="2" t="n">
        <v>508</v>
      </c>
      <c r="B509" s="2" t="s">
        <v>5721</v>
      </c>
      <c r="C509" s="2" t="s">
        <v>5430</v>
      </c>
      <c r="D509" s="2" t="s">
        <v>5431</v>
      </c>
      <c r="E509" s="2" t="s">
        <v>5722</v>
      </c>
      <c r="F509" s="2" t="s">
        <v>5723</v>
      </c>
      <c r="G509" s="3" t="s">
        <v>5724</v>
      </c>
      <c r="H509" s="2"/>
      <c r="I509" s="2" t="s">
        <v>93</v>
      </c>
      <c r="J509" s="3" t="s">
        <v>5725</v>
      </c>
      <c r="K509" s="2" t="s">
        <v>5666</v>
      </c>
      <c r="L509" s="2" t="s">
        <v>3931</v>
      </c>
      <c r="M509" s="2"/>
      <c r="N509" s="2"/>
      <c r="O509" s="2"/>
      <c r="P509" s="2" t="n">
        <v>39.75</v>
      </c>
      <c r="Q509" s="2" t="n">
        <v>32.4</v>
      </c>
      <c r="R509" s="2" t="s">
        <v>637</v>
      </c>
      <c r="S509" s="2" t="n">
        <v>470</v>
      </c>
      <c r="T509" s="2" t="s">
        <v>5614</v>
      </c>
      <c r="U509" s="2" t="s">
        <v>139</v>
      </c>
      <c r="V509" s="2" t="s">
        <v>57</v>
      </c>
      <c r="W509" s="2" t="s">
        <v>304</v>
      </c>
      <c r="X509" s="2" t="s">
        <v>141</v>
      </c>
      <c r="Y509" s="2" t="s">
        <v>5726</v>
      </c>
      <c r="Z509" s="2" t="s">
        <v>559</v>
      </c>
      <c r="AA509" s="2"/>
      <c r="AB509" s="2" t="s">
        <v>81</v>
      </c>
      <c r="AC509" s="2"/>
      <c r="AD509" s="2"/>
      <c r="AE509" s="3"/>
      <c r="AF509" s="3" t="s">
        <v>5727</v>
      </c>
      <c r="AG509" s="2"/>
      <c r="AH509" s="2" t="s">
        <v>263</v>
      </c>
      <c r="AI509" s="3" t="s">
        <v>5728</v>
      </c>
      <c r="AJ509" s="3" t="s">
        <v>5729</v>
      </c>
      <c r="AK509" s="2"/>
      <c r="AL509" s="3" t="s">
        <v>5730</v>
      </c>
      <c r="AM509" s="2"/>
      <c r="AN509" s="2"/>
      <c r="AO509" s="3" t="s">
        <v>5731</v>
      </c>
      <c r="AP509" s="3" t="s">
        <v>5732</v>
      </c>
      <c r="AQ509" s="2" t="s">
        <v>106</v>
      </c>
    </row>
    <row r="510" customFormat="false" ht="46.25" hidden="false" customHeight="false" outlineLevel="0" collapsed="false">
      <c r="A510" s="2" t="n">
        <v>509</v>
      </c>
      <c r="B510" s="2" t="s">
        <v>5733</v>
      </c>
      <c r="C510" s="2" t="s">
        <v>5430</v>
      </c>
      <c r="D510" s="2" t="s">
        <v>5431</v>
      </c>
      <c r="E510" s="2" t="s">
        <v>5734</v>
      </c>
      <c r="F510" s="2" t="s">
        <v>5735</v>
      </c>
      <c r="G510" s="3" t="s">
        <v>5736</v>
      </c>
      <c r="H510" s="2" t="s">
        <v>5737</v>
      </c>
      <c r="I510" s="2" t="s">
        <v>49</v>
      </c>
      <c r="J510" s="3" t="s">
        <v>5738</v>
      </c>
      <c r="K510" s="2" t="s">
        <v>5739</v>
      </c>
      <c r="L510" s="2" t="s">
        <v>3931</v>
      </c>
      <c r="M510" s="2"/>
      <c r="N510" s="2"/>
      <c r="O510" s="2" t="s">
        <v>53</v>
      </c>
      <c r="P510" s="2" t="n">
        <v>39.8583</v>
      </c>
      <c r="Q510" s="2" t="n">
        <v>34.5183</v>
      </c>
      <c r="R510" s="2" t="s">
        <v>54</v>
      </c>
      <c r="S510" s="2" t="n">
        <v>-20</v>
      </c>
      <c r="T510" s="2" t="s">
        <v>2920</v>
      </c>
      <c r="U510" s="2" t="s">
        <v>139</v>
      </c>
      <c r="V510" s="2" t="s">
        <v>57</v>
      </c>
      <c r="W510" s="2" t="s">
        <v>140</v>
      </c>
      <c r="X510" s="2" t="s">
        <v>141</v>
      </c>
      <c r="Y510" s="2" t="s">
        <v>5740</v>
      </c>
      <c r="Z510" s="2" t="s">
        <v>143</v>
      </c>
      <c r="AA510" s="2"/>
      <c r="AB510" s="2" t="s">
        <v>63</v>
      </c>
      <c r="AC510" s="2" t="s">
        <v>452</v>
      </c>
      <c r="AD510" s="2" t="s">
        <v>5741</v>
      </c>
      <c r="AE510" s="3" t="s">
        <v>5742</v>
      </c>
      <c r="AF510" s="3" t="s">
        <v>5743</v>
      </c>
      <c r="AG510" s="2"/>
      <c r="AH510" s="2" t="s">
        <v>54</v>
      </c>
      <c r="AI510" s="3" t="s">
        <v>5744</v>
      </c>
      <c r="AJ510" s="3" t="s">
        <v>5745</v>
      </c>
      <c r="AK510" s="2" t="n">
        <v>619267</v>
      </c>
      <c r="AL510" s="3" t="s">
        <v>5746</v>
      </c>
      <c r="AM510" s="2"/>
      <c r="AN510" s="2"/>
      <c r="AO510" s="3"/>
      <c r="AP510" s="3"/>
      <c r="AQ510" s="2"/>
    </row>
    <row r="511" customFormat="false" ht="91" hidden="false" customHeight="false" outlineLevel="0" collapsed="false">
      <c r="A511" s="2" t="n">
        <v>510</v>
      </c>
      <c r="B511" s="2" t="s">
        <v>5747</v>
      </c>
      <c r="C511" s="2" t="s">
        <v>5748</v>
      </c>
      <c r="D511" s="2" t="s">
        <v>5749</v>
      </c>
      <c r="E511" s="2" t="s">
        <v>5750</v>
      </c>
      <c r="F511" s="2" t="s">
        <v>5751</v>
      </c>
      <c r="G511" s="3" t="s">
        <v>5752</v>
      </c>
      <c r="H511" s="2" t="s">
        <v>5753</v>
      </c>
      <c r="I511" s="2" t="s">
        <v>123</v>
      </c>
      <c r="J511" s="3" t="s">
        <v>5754</v>
      </c>
      <c r="K511" s="2" t="s">
        <v>882</v>
      </c>
      <c r="L511" s="2" t="s">
        <v>723</v>
      </c>
      <c r="M511" s="2"/>
      <c r="N511" s="2"/>
      <c r="O511" s="2" t="s">
        <v>5</v>
      </c>
      <c r="P511" s="2" t="n">
        <v>41.5712</v>
      </c>
      <c r="Q511" s="2" t="n">
        <v>32.0315</v>
      </c>
      <c r="R511" s="2" t="s">
        <v>54</v>
      </c>
      <c r="S511" s="2" t="n">
        <v>-550</v>
      </c>
      <c r="T511" s="2" t="s">
        <v>1373</v>
      </c>
      <c r="U511" s="2" t="s">
        <v>77</v>
      </c>
      <c r="V511" s="2" t="s">
        <v>78</v>
      </c>
      <c r="W511" s="2" t="s">
        <v>58</v>
      </c>
      <c r="X511" s="2" t="s">
        <v>59</v>
      </c>
      <c r="Y511" s="2" t="s">
        <v>111</v>
      </c>
      <c r="Z511" s="2" t="s">
        <v>61</v>
      </c>
      <c r="AA511" s="2" t="s">
        <v>111</v>
      </c>
      <c r="AB511" s="2" t="s">
        <v>81</v>
      </c>
      <c r="AC511" s="2"/>
      <c r="AD511" s="2"/>
      <c r="AE511" s="3"/>
      <c r="AF511" s="3" t="s">
        <v>5755</v>
      </c>
      <c r="AG511" s="2"/>
      <c r="AH511" s="2" t="s">
        <v>54</v>
      </c>
      <c r="AI511" s="3" t="s">
        <v>5756</v>
      </c>
      <c r="AJ511" s="3" t="s">
        <v>5757</v>
      </c>
      <c r="AK511" s="2" t="n">
        <v>845084</v>
      </c>
      <c r="AL511" s="3" t="s">
        <v>5758</v>
      </c>
      <c r="AM511" s="2"/>
      <c r="AN511" s="2" t="s">
        <v>200</v>
      </c>
      <c r="AO511" s="3" t="s">
        <v>5759</v>
      </c>
      <c r="AP511" s="3" t="s">
        <v>5760</v>
      </c>
      <c r="AQ511" s="2" t="s">
        <v>151</v>
      </c>
    </row>
    <row r="512" customFormat="false" ht="46.25" hidden="false" customHeight="false" outlineLevel="0" collapsed="false">
      <c r="A512" s="2" t="n">
        <v>511</v>
      </c>
      <c r="B512" s="2" t="s">
        <v>5761</v>
      </c>
      <c r="C512" s="2" t="s">
        <v>5748</v>
      </c>
      <c r="D512" s="2" t="s">
        <v>5749</v>
      </c>
      <c r="E512" s="2" t="s">
        <v>5762</v>
      </c>
      <c r="F512" s="2" t="s">
        <v>5763</v>
      </c>
      <c r="G512" s="3" t="s">
        <v>5764</v>
      </c>
      <c r="H512" s="2" t="s">
        <v>5765</v>
      </c>
      <c r="I512" s="2" t="s">
        <v>123</v>
      </c>
      <c r="J512" s="3" t="s">
        <v>5766</v>
      </c>
      <c r="K512" s="2" t="s">
        <v>5767</v>
      </c>
      <c r="L512" s="2" t="s">
        <v>723</v>
      </c>
      <c r="M512" s="2" t="s">
        <v>5765</v>
      </c>
      <c r="N512" s="2"/>
      <c r="O512" s="2" t="s">
        <v>5</v>
      </c>
      <c r="P512" s="2" t="n">
        <v>41.747</v>
      </c>
      <c r="Q512" s="2" t="n">
        <v>32.3856</v>
      </c>
      <c r="R512" s="2" t="s">
        <v>54</v>
      </c>
      <c r="S512" s="2" t="n">
        <v>-340</v>
      </c>
      <c r="T512" s="2" t="s">
        <v>2765</v>
      </c>
      <c r="U512" s="2" t="s">
        <v>56</v>
      </c>
      <c r="V512" s="2" t="s">
        <v>97</v>
      </c>
      <c r="W512" s="2" t="s">
        <v>168</v>
      </c>
      <c r="X512" s="2" t="s">
        <v>59</v>
      </c>
      <c r="Y512" s="2" t="s">
        <v>5768</v>
      </c>
      <c r="Z512" s="2" t="s">
        <v>61</v>
      </c>
      <c r="AA512" s="2" t="s">
        <v>5769</v>
      </c>
      <c r="AB512" s="2" t="s">
        <v>63</v>
      </c>
      <c r="AC512" s="2" t="s">
        <v>452</v>
      </c>
      <c r="AD512" s="2"/>
      <c r="AE512" s="3" t="s">
        <v>5770</v>
      </c>
      <c r="AF512" s="3" t="s">
        <v>5771</v>
      </c>
      <c r="AG512" s="2"/>
      <c r="AH512" s="2" t="s">
        <v>54</v>
      </c>
      <c r="AI512" s="3" t="s">
        <v>5772</v>
      </c>
      <c r="AJ512" s="3" t="s">
        <v>5773</v>
      </c>
      <c r="AK512" s="2" t="n">
        <v>844856</v>
      </c>
      <c r="AL512" s="3" t="s">
        <v>5774</v>
      </c>
      <c r="AM512" s="2"/>
      <c r="AN512" s="2" t="s">
        <v>200</v>
      </c>
      <c r="AO512" s="3"/>
      <c r="AP512" s="3"/>
      <c r="AQ512" s="2"/>
    </row>
    <row r="513" customFormat="false" ht="35.05" hidden="false" customHeight="false" outlineLevel="0" collapsed="false">
      <c r="A513" s="2" t="n">
        <v>512</v>
      </c>
      <c r="B513" s="2" t="s">
        <v>5775</v>
      </c>
      <c r="C513" s="2" t="s">
        <v>5748</v>
      </c>
      <c r="D513" s="2" t="s">
        <v>5749</v>
      </c>
      <c r="E513" s="2" t="s">
        <v>5776</v>
      </c>
      <c r="F513" s="2" t="s">
        <v>5777</v>
      </c>
      <c r="G513" s="3"/>
      <c r="H513" s="2" t="s">
        <v>5778</v>
      </c>
      <c r="I513" s="2" t="s">
        <v>49</v>
      </c>
      <c r="J513" s="3" t="s">
        <v>5779</v>
      </c>
      <c r="K513" s="2" t="s">
        <v>5767</v>
      </c>
      <c r="L513" s="2" t="s">
        <v>723</v>
      </c>
      <c r="M513" s="2"/>
      <c r="N513" s="2"/>
      <c r="O513" s="2" t="s">
        <v>53</v>
      </c>
      <c r="P513" s="2" t="n">
        <v>41.8382</v>
      </c>
      <c r="Q513" s="2" t="n">
        <v>32.6511</v>
      </c>
      <c r="R513" s="2" t="s">
        <v>95</v>
      </c>
      <c r="S513" s="2" t="n">
        <v>-350</v>
      </c>
      <c r="T513" s="2" t="s">
        <v>926</v>
      </c>
      <c r="U513" s="2" t="s">
        <v>56</v>
      </c>
      <c r="V513" s="2" t="s">
        <v>78</v>
      </c>
      <c r="W513" s="2" t="s">
        <v>168</v>
      </c>
      <c r="X513" s="2" t="s">
        <v>59</v>
      </c>
      <c r="Y513" s="2" t="s">
        <v>5780</v>
      </c>
      <c r="Z513" s="2" t="s">
        <v>61</v>
      </c>
      <c r="AA513" s="2" t="s">
        <v>5769</v>
      </c>
      <c r="AB513" s="2" t="s">
        <v>63</v>
      </c>
      <c r="AC513" s="2" t="s">
        <v>64</v>
      </c>
      <c r="AD513" s="2"/>
      <c r="AE513" s="3" t="s">
        <v>5781</v>
      </c>
      <c r="AF513" s="3" t="s">
        <v>5782</v>
      </c>
      <c r="AG513" s="2"/>
      <c r="AH513" s="2" t="s">
        <v>113</v>
      </c>
      <c r="AI513" s="3" t="s">
        <v>5783</v>
      </c>
      <c r="AJ513" s="3" t="s">
        <v>5784</v>
      </c>
      <c r="AK513" s="2" t="n">
        <v>844994</v>
      </c>
      <c r="AL513" s="3" t="s">
        <v>5785</v>
      </c>
      <c r="AM513" s="2"/>
      <c r="AN513" s="2"/>
      <c r="AO513" s="3"/>
      <c r="AP513" s="3"/>
      <c r="AQ513" s="2"/>
    </row>
    <row r="514" customFormat="false" ht="35.05" hidden="false" customHeight="false" outlineLevel="0" collapsed="false">
      <c r="A514" s="2" t="n">
        <v>513</v>
      </c>
      <c r="B514" s="2" t="s">
        <v>5786</v>
      </c>
      <c r="C514" s="2" t="s">
        <v>5748</v>
      </c>
      <c r="D514" s="2" t="s">
        <v>5749</v>
      </c>
      <c r="E514" s="2" t="s">
        <v>5787</v>
      </c>
      <c r="F514" s="2" t="s">
        <v>5788</v>
      </c>
      <c r="G514" s="3" t="s">
        <v>5789</v>
      </c>
      <c r="H514" s="2" t="s">
        <v>5790</v>
      </c>
      <c r="I514" s="2" t="s">
        <v>49</v>
      </c>
      <c r="J514" s="3" t="s">
        <v>5791</v>
      </c>
      <c r="K514" s="2" t="s">
        <v>5792</v>
      </c>
      <c r="L514" s="2" t="s">
        <v>723</v>
      </c>
      <c r="M514" s="2"/>
      <c r="N514" s="2"/>
      <c r="O514" s="2" t="s">
        <v>422</v>
      </c>
      <c r="P514" s="2" t="n">
        <v>41.8619</v>
      </c>
      <c r="Q514" s="2" t="n">
        <v>32.8978</v>
      </c>
      <c r="R514" s="2" t="s">
        <v>54</v>
      </c>
      <c r="S514" s="2" t="n">
        <v>-340</v>
      </c>
      <c r="T514" s="2" t="s">
        <v>2765</v>
      </c>
      <c r="U514" s="2" t="s">
        <v>56</v>
      </c>
      <c r="V514" s="2" t="s">
        <v>97</v>
      </c>
      <c r="W514" s="2" t="s">
        <v>168</v>
      </c>
      <c r="X514" s="2" t="s">
        <v>59</v>
      </c>
      <c r="Y514" s="2" t="s">
        <v>5793</v>
      </c>
      <c r="Z514" s="2" t="s">
        <v>61</v>
      </c>
      <c r="AA514" s="2" t="s">
        <v>5794</v>
      </c>
      <c r="AB514" s="2" t="s">
        <v>63</v>
      </c>
      <c r="AC514" s="2" t="s">
        <v>64</v>
      </c>
      <c r="AD514" s="2"/>
      <c r="AE514" s="3" t="s">
        <v>5795</v>
      </c>
      <c r="AF514" s="3" t="s">
        <v>5796</v>
      </c>
      <c r="AG514" s="2"/>
      <c r="AH514" s="2" t="s">
        <v>113</v>
      </c>
      <c r="AI514" s="3" t="s">
        <v>5797</v>
      </c>
      <c r="AJ514" s="3" t="s">
        <v>5798</v>
      </c>
      <c r="AK514" s="2" t="n">
        <v>844997</v>
      </c>
      <c r="AL514" s="3" t="s">
        <v>5799</v>
      </c>
      <c r="AM514" s="2"/>
      <c r="AN514" s="2" t="s">
        <v>200</v>
      </c>
      <c r="AO514" s="3"/>
      <c r="AP514" s="3"/>
      <c r="AQ514" s="2"/>
    </row>
    <row r="515" customFormat="false" ht="23.85" hidden="false" customHeight="false" outlineLevel="0" collapsed="false">
      <c r="A515" s="2" t="n">
        <v>514</v>
      </c>
      <c r="B515" s="2" t="s">
        <v>5800</v>
      </c>
      <c r="C515" s="2" t="s">
        <v>5748</v>
      </c>
      <c r="D515" s="2" t="s">
        <v>5749</v>
      </c>
      <c r="E515" s="2" t="s">
        <v>5801</v>
      </c>
      <c r="F515" s="2" t="s">
        <v>5802</v>
      </c>
      <c r="G515" s="3" t="s">
        <v>5803</v>
      </c>
      <c r="H515" s="2"/>
      <c r="I515" s="2" t="s">
        <v>93</v>
      </c>
      <c r="J515" s="3" t="s">
        <v>5804</v>
      </c>
      <c r="K515" s="2" t="s">
        <v>5792</v>
      </c>
      <c r="L515" s="2" t="s">
        <v>723</v>
      </c>
      <c r="M515" s="2"/>
      <c r="N515" s="2"/>
      <c r="O515" s="2"/>
      <c r="P515" s="2" t="n">
        <v>42.0136</v>
      </c>
      <c r="Q515" s="2" t="n">
        <v>33.3697</v>
      </c>
      <c r="R515" s="2" t="s">
        <v>95</v>
      </c>
      <c r="S515" s="2" t="n">
        <v>-340</v>
      </c>
      <c r="T515" s="2" t="s">
        <v>2765</v>
      </c>
      <c r="U515" s="2" t="s">
        <v>56</v>
      </c>
      <c r="V515" s="2" t="s">
        <v>97</v>
      </c>
      <c r="W515" s="2" t="s">
        <v>168</v>
      </c>
      <c r="X515" s="2" t="s">
        <v>59</v>
      </c>
      <c r="Y515" s="2" t="s">
        <v>5805</v>
      </c>
      <c r="Z515" s="2" t="s">
        <v>61</v>
      </c>
      <c r="AA515" s="2" t="s">
        <v>81</v>
      </c>
      <c r="AB515" s="2" t="s">
        <v>81</v>
      </c>
      <c r="AC515" s="2"/>
      <c r="AD515" s="2"/>
      <c r="AE515" s="3"/>
      <c r="AF515" s="3" t="s">
        <v>5806</v>
      </c>
      <c r="AG515" s="2"/>
      <c r="AH515" s="2" t="s">
        <v>263</v>
      </c>
      <c r="AI515" s="3" t="s">
        <v>5807</v>
      </c>
      <c r="AJ515" s="3" t="s">
        <v>5808</v>
      </c>
      <c r="AK515" s="2" t="n">
        <v>844970</v>
      </c>
      <c r="AL515" s="3" t="s">
        <v>5809</v>
      </c>
      <c r="AM515" s="2"/>
      <c r="AN515" s="2"/>
      <c r="AO515" s="3" t="s">
        <v>5810</v>
      </c>
      <c r="AP515" s="3" t="s">
        <v>5811</v>
      </c>
      <c r="AQ515" s="2" t="s">
        <v>106</v>
      </c>
    </row>
    <row r="516" customFormat="false" ht="46.25" hidden="false" customHeight="false" outlineLevel="0" collapsed="false">
      <c r="A516" s="2" t="n">
        <v>515</v>
      </c>
      <c r="B516" s="2" t="s">
        <v>5812</v>
      </c>
      <c r="C516" s="2" t="s">
        <v>5748</v>
      </c>
      <c r="D516" s="2" t="s">
        <v>5749</v>
      </c>
      <c r="E516" s="2" t="s">
        <v>5813</v>
      </c>
      <c r="F516" s="2" t="s">
        <v>5814</v>
      </c>
      <c r="G516" s="3" t="s">
        <v>5815</v>
      </c>
      <c r="H516" s="2" t="s">
        <v>5816</v>
      </c>
      <c r="I516" s="2" t="s">
        <v>123</v>
      </c>
      <c r="J516" s="3" t="s">
        <v>5817</v>
      </c>
      <c r="K516" s="2" t="s">
        <v>5792</v>
      </c>
      <c r="L516" s="2" t="s">
        <v>723</v>
      </c>
      <c r="M516" s="2" t="s">
        <v>5816</v>
      </c>
      <c r="N516" s="2"/>
      <c r="O516" s="2" t="s">
        <v>5</v>
      </c>
      <c r="P516" s="2" t="n">
        <v>41.974</v>
      </c>
      <c r="Q516" s="2" t="n">
        <v>33.766</v>
      </c>
      <c r="R516" s="2" t="s">
        <v>54</v>
      </c>
      <c r="S516" s="2" t="n">
        <v>-120</v>
      </c>
      <c r="T516" s="2" t="s">
        <v>5818</v>
      </c>
      <c r="U516" s="2" t="s">
        <v>56</v>
      </c>
      <c r="V516" s="2" t="s">
        <v>97</v>
      </c>
      <c r="W516" s="2" t="s">
        <v>195</v>
      </c>
      <c r="X516" s="2" t="s">
        <v>169</v>
      </c>
      <c r="Y516" s="2" t="s">
        <v>3955</v>
      </c>
      <c r="Z516" s="2" t="s">
        <v>170</v>
      </c>
      <c r="AA516" s="2"/>
      <c r="AB516" s="2" t="s">
        <v>81</v>
      </c>
      <c r="AC516" s="2"/>
      <c r="AD516" s="2"/>
      <c r="AE516" s="3"/>
      <c r="AF516" s="3" t="s">
        <v>5819</v>
      </c>
      <c r="AG516" s="2"/>
      <c r="AH516" s="2" t="s">
        <v>54</v>
      </c>
      <c r="AI516" s="3" t="s">
        <v>5820</v>
      </c>
      <c r="AJ516" s="3" t="s">
        <v>5821</v>
      </c>
      <c r="AK516" s="2" t="n">
        <v>844847</v>
      </c>
      <c r="AL516" s="3" t="s">
        <v>5822</v>
      </c>
      <c r="AM516" s="2"/>
      <c r="AN516" s="2" t="s">
        <v>200</v>
      </c>
      <c r="AO516" s="3" t="s">
        <v>5823</v>
      </c>
      <c r="AP516" s="3" t="s">
        <v>5824</v>
      </c>
      <c r="AQ516" s="2" t="s">
        <v>151</v>
      </c>
    </row>
    <row r="517" customFormat="false" ht="35.05" hidden="false" customHeight="false" outlineLevel="0" collapsed="false">
      <c r="A517" s="2" t="n">
        <v>516</v>
      </c>
      <c r="B517" s="2" t="s">
        <v>5825</v>
      </c>
      <c r="C517" s="2" t="s">
        <v>5748</v>
      </c>
      <c r="D517" s="2" t="s">
        <v>5749</v>
      </c>
      <c r="E517" s="2" t="s">
        <v>5826</v>
      </c>
      <c r="F517" s="2" t="s">
        <v>5827</v>
      </c>
      <c r="G517" s="3" t="s">
        <v>5828</v>
      </c>
      <c r="H517" s="2"/>
      <c r="I517" s="2" t="s">
        <v>74</v>
      </c>
      <c r="J517" s="3" t="s">
        <v>5829</v>
      </c>
      <c r="K517" s="2" t="s">
        <v>5792</v>
      </c>
      <c r="L517" s="2" t="s">
        <v>723</v>
      </c>
      <c r="M517" s="2"/>
      <c r="N517" s="2"/>
      <c r="O517" s="2"/>
      <c r="P517" s="2" t="n">
        <v>41.9657</v>
      </c>
      <c r="Q517" s="2" t="n">
        <v>34.1656</v>
      </c>
      <c r="R517" s="2" t="s">
        <v>95</v>
      </c>
      <c r="S517" s="2" t="n">
        <v>-340</v>
      </c>
      <c r="T517" s="2" t="s">
        <v>2765</v>
      </c>
      <c r="U517" s="2" t="s">
        <v>56</v>
      </c>
      <c r="V517" s="2" t="s">
        <v>97</v>
      </c>
      <c r="W517" s="2" t="s">
        <v>168</v>
      </c>
      <c r="X517" s="2" t="s">
        <v>59</v>
      </c>
      <c r="Y517" s="2" t="s">
        <v>5805</v>
      </c>
      <c r="Z517" s="2" t="s">
        <v>61</v>
      </c>
      <c r="AA517" s="2" t="s">
        <v>81</v>
      </c>
      <c r="AB517" s="2" t="s">
        <v>81</v>
      </c>
      <c r="AC517" s="2"/>
      <c r="AD517" s="2"/>
      <c r="AE517" s="3"/>
      <c r="AF517" s="3" t="s">
        <v>5830</v>
      </c>
      <c r="AG517" s="2"/>
      <c r="AH517" s="2" t="s">
        <v>113</v>
      </c>
      <c r="AI517" s="3" t="s">
        <v>5831</v>
      </c>
      <c r="AJ517" s="3" t="s">
        <v>5832</v>
      </c>
      <c r="AK517" s="2" t="n">
        <v>844984</v>
      </c>
      <c r="AL517" s="3" t="s">
        <v>5809</v>
      </c>
      <c r="AM517" s="2"/>
      <c r="AN517" s="2"/>
      <c r="AO517" s="3" t="s">
        <v>5833</v>
      </c>
      <c r="AP517" s="3" t="s">
        <v>5834</v>
      </c>
      <c r="AQ517" s="2" t="s">
        <v>106</v>
      </c>
    </row>
    <row r="518" customFormat="false" ht="23.85" hidden="false" customHeight="false" outlineLevel="0" collapsed="false">
      <c r="A518" s="2" t="n">
        <v>517</v>
      </c>
      <c r="B518" s="2" t="s">
        <v>5835</v>
      </c>
      <c r="C518" s="2" t="s">
        <v>5748</v>
      </c>
      <c r="D518" s="2" t="s">
        <v>5749</v>
      </c>
      <c r="E518" s="2" t="s">
        <v>5836</v>
      </c>
      <c r="F518" s="2" t="s">
        <v>5837</v>
      </c>
      <c r="G518" s="3"/>
      <c r="H518" s="2"/>
      <c r="I518" s="2" t="s">
        <v>93</v>
      </c>
      <c r="J518" s="3" t="s">
        <v>5838</v>
      </c>
      <c r="K518" s="2" t="s">
        <v>5839</v>
      </c>
      <c r="L518" s="2" t="s">
        <v>723</v>
      </c>
      <c r="M518" s="2"/>
      <c r="N518" s="2"/>
      <c r="O518" s="2"/>
      <c r="P518" s="2" t="n">
        <v>41.9474</v>
      </c>
      <c r="Q518" s="2" t="n">
        <v>34.2715</v>
      </c>
      <c r="R518" s="2" t="s">
        <v>95</v>
      </c>
      <c r="S518" s="2" t="n">
        <v>-340</v>
      </c>
      <c r="T518" s="2" t="s">
        <v>2765</v>
      </c>
      <c r="U518" s="2" t="s">
        <v>56</v>
      </c>
      <c r="V518" s="2" t="s">
        <v>97</v>
      </c>
      <c r="W518" s="2" t="s">
        <v>168</v>
      </c>
      <c r="X518" s="2" t="s">
        <v>59</v>
      </c>
      <c r="Y518" s="2" t="s">
        <v>5805</v>
      </c>
      <c r="Z518" s="2" t="s">
        <v>61</v>
      </c>
      <c r="AA518" s="2" t="s">
        <v>81</v>
      </c>
      <c r="AB518" s="2" t="s">
        <v>81</v>
      </c>
      <c r="AC518" s="2"/>
      <c r="AD518" s="2"/>
      <c r="AE518" s="3"/>
      <c r="AF518" s="3" t="s">
        <v>5840</v>
      </c>
      <c r="AG518" s="2"/>
      <c r="AH518" s="2" t="s">
        <v>263</v>
      </c>
      <c r="AI518" s="3" t="s">
        <v>5841</v>
      </c>
      <c r="AJ518" s="3" t="s">
        <v>5842</v>
      </c>
      <c r="AK518" s="2" t="n">
        <v>844989</v>
      </c>
      <c r="AL518" s="3" t="s">
        <v>5809</v>
      </c>
      <c r="AM518" s="2"/>
      <c r="AN518" s="2"/>
      <c r="AO518" s="3" t="s">
        <v>5843</v>
      </c>
      <c r="AP518" s="3" t="s">
        <v>5844</v>
      </c>
      <c r="AQ518" s="2" t="s">
        <v>106</v>
      </c>
    </row>
    <row r="519" customFormat="false" ht="35.05" hidden="false" customHeight="false" outlineLevel="0" collapsed="false">
      <c r="A519" s="2" t="n">
        <v>518</v>
      </c>
      <c r="B519" s="2" t="s">
        <v>5845</v>
      </c>
      <c r="C519" s="2" t="s">
        <v>5748</v>
      </c>
      <c r="D519" s="2" t="s">
        <v>5749</v>
      </c>
      <c r="E519" s="2" t="s">
        <v>5846</v>
      </c>
      <c r="F519" s="2" t="s">
        <v>5847</v>
      </c>
      <c r="G519" s="3"/>
      <c r="H519" s="2"/>
      <c r="I519" s="2" t="s">
        <v>93</v>
      </c>
      <c r="J519" s="3" t="s">
        <v>5848</v>
      </c>
      <c r="K519" s="2" t="s">
        <v>5839</v>
      </c>
      <c r="L519" s="2" t="s">
        <v>723</v>
      </c>
      <c r="M519" s="2"/>
      <c r="N519" s="2"/>
      <c r="O519" s="2"/>
      <c r="P519" s="2" t="n">
        <v>41.99</v>
      </c>
      <c r="Q519" s="2" t="n">
        <v>34.8</v>
      </c>
      <c r="R519" s="2" t="s">
        <v>637</v>
      </c>
      <c r="S519" s="2" t="n">
        <v>-340</v>
      </c>
      <c r="T519" s="2" t="s">
        <v>2765</v>
      </c>
      <c r="U519" s="2" t="s">
        <v>56</v>
      </c>
      <c r="V519" s="2" t="s">
        <v>97</v>
      </c>
      <c r="W519" s="2" t="s">
        <v>168</v>
      </c>
      <c r="X519" s="2" t="s">
        <v>59</v>
      </c>
      <c r="Y519" s="2" t="s">
        <v>5805</v>
      </c>
      <c r="Z519" s="2" t="s">
        <v>61</v>
      </c>
      <c r="AA519" s="2" t="s">
        <v>81</v>
      </c>
      <c r="AB519" s="2" t="s">
        <v>81</v>
      </c>
      <c r="AC519" s="2"/>
      <c r="AD519" s="2"/>
      <c r="AE519" s="3"/>
      <c r="AF519" s="3" t="s">
        <v>5849</v>
      </c>
      <c r="AG519" s="2"/>
      <c r="AH519" s="2" t="s">
        <v>263</v>
      </c>
      <c r="AI519" s="3" t="s">
        <v>5850</v>
      </c>
      <c r="AJ519" s="3" t="s">
        <v>5851</v>
      </c>
      <c r="AK519" s="2"/>
      <c r="AL519" s="3" t="s">
        <v>5852</v>
      </c>
      <c r="AM519" s="2"/>
      <c r="AN519" s="2"/>
      <c r="AO519" s="3" t="s">
        <v>5853</v>
      </c>
      <c r="AP519" s="3" t="s">
        <v>5854</v>
      </c>
      <c r="AQ519" s="2" t="s">
        <v>106</v>
      </c>
    </row>
    <row r="520" customFormat="false" ht="35.05" hidden="false" customHeight="false" outlineLevel="0" collapsed="false">
      <c r="A520" s="2" t="n">
        <v>519</v>
      </c>
      <c r="B520" s="2" t="s">
        <v>5855</v>
      </c>
      <c r="C520" s="2" t="s">
        <v>5748</v>
      </c>
      <c r="D520" s="2" t="s">
        <v>5749</v>
      </c>
      <c r="E520" s="2" t="s">
        <v>5856</v>
      </c>
      <c r="F520" s="2" t="s">
        <v>5857</v>
      </c>
      <c r="G520" s="3" t="s">
        <v>5858</v>
      </c>
      <c r="H520" s="2"/>
      <c r="I520" s="2" t="s">
        <v>74</v>
      </c>
      <c r="J520" s="3" t="s">
        <v>5859</v>
      </c>
      <c r="K520" s="2" t="s">
        <v>5839</v>
      </c>
      <c r="L520" s="2" t="s">
        <v>723</v>
      </c>
      <c r="M520" s="2"/>
      <c r="N520" s="2"/>
      <c r="O520" s="2"/>
      <c r="P520" s="2" t="n">
        <v>42.0492</v>
      </c>
      <c r="Q520" s="2" t="n">
        <v>35.0419</v>
      </c>
      <c r="R520" s="2" t="s">
        <v>95</v>
      </c>
      <c r="S520" s="2" t="n">
        <v>-400</v>
      </c>
      <c r="T520" s="2" t="s">
        <v>288</v>
      </c>
      <c r="U520" s="2" t="s">
        <v>56</v>
      </c>
      <c r="V520" s="2" t="s">
        <v>57</v>
      </c>
      <c r="W520" s="2" t="s">
        <v>168</v>
      </c>
      <c r="X520" s="2" t="s">
        <v>59</v>
      </c>
      <c r="Y520" s="2" t="s">
        <v>5794</v>
      </c>
      <c r="Z520" s="2" t="s">
        <v>61</v>
      </c>
      <c r="AA520" s="2" t="s">
        <v>5794</v>
      </c>
      <c r="AB520" s="2" t="s">
        <v>81</v>
      </c>
      <c r="AC520" s="2"/>
      <c r="AD520" s="2"/>
      <c r="AE520" s="3"/>
      <c r="AF520" s="3" t="s">
        <v>5860</v>
      </c>
      <c r="AG520" s="2"/>
      <c r="AH520" s="2" t="s">
        <v>113</v>
      </c>
      <c r="AI520" s="3" t="s">
        <v>5861</v>
      </c>
      <c r="AJ520" s="3" t="s">
        <v>5862</v>
      </c>
      <c r="AK520" s="2" t="n">
        <v>844865</v>
      </c>
      <c r="AL520" s="3" t="s">
        <v>5863</v>
      </c>
      <c r="AM520" s="2"/>
      <c r="AN520" s="2"/>
      <c r="AO520" s="3" t="s">
        <v>5864</v>
      </c>
      <c r="AP520" s="3" t="s">
        <v>5865</v>
      </c>
      <c r="AQ520" s="2" t="s">
        <v>151</v>
      </c>
    </row>
    <row r="521" customFormat="false" ht="68.65" hidden="false" customHeight="false" outlineLevel="0" collapsed="false">
      <c r="A521" s="2" t="n">
        <v>520</v>
      </c>
      <c r="B521" s="2" t="s">
        <v>5866</v>
      </c>
      <c r="C521" s="2" t="s">
        <v>5748</v>
      </c>
      <c r="D521" s="2" t="s">
        <v>5749</v>
      </c>
      <c r="E521" s="2" t="s">
        <v>5794</v>
      </c>
      <c r="F521" s="2" t="s">
        <v>5867</v>
      </c>
      <c r="G521" s="3" t="s">
        <v>5868</v>
      </c>
      <c r="H521" s="2" t="s">
        <v>5839</v>
      </c>
      <c r="I521" s="2" t="s">
        <v>123</v>
      </c>
      <c r="J521" s="3" t="s">
        <v>5869</v>
      </c>
      <c r="K521" s="2" t="s">
        <v>5839</v>
      </c>
      <c r="L521" s="2" t="s">
        <v>723</v>
      </c>
      <c r="M521" s="2" t="s">
        <v>581</v>
      </c>
      <c r="N521" s="2" t="s">
        <v>63</v>
      </c>
      <c r="O521" s="2" t="s">
        <v>5</v>
      </c>
      <c r="P521" s="2" t="n">
        <v>42.0258</v>
      </c>
      <c r="Q521" s="2" t="n">
        <v>35.143</v>
      </c>
      <c r="R521" s="2" t="s">
        <v>54</v>
      </c>
      <c r="S521" s="2" t="n">
        <v>-631</v>
      </c>
      <c r="T521" s="2" t="s">
        <v>5870</v>
      </c>
      <c r="U521" s="2" t="s">
        <v>96</v>
      </c>
      <c r="V521" s="2" t="s">
        <v>57</v>
      </c>
      <c r="W521" s="2" t="s">
        <v>58</v>
      </c>
      <c r="X521" s="2" t="s">
        <v>59</v>
      </c>
      <c r="Y521" s="2" t="s">
        <v>5871</v>
      </c>
      <c r="Z521" s="2" t="s">
        <v>61</v>
      </c>
      <c r="AA521" s="2" t="s">
        <v>111</v>
      </c>
      <c r="AB521" s="2" t="s">
        <v>63</v>
      </c>
      <c r="AC521" s="2" t="s">
        <v>77</v>
      </c>
      <c r="AD521" s="2"/>
      <c r="AE521" s="3" t="s">
        <v>5872</v>
      </c>
      <c r="AF521" s="3" t="s">
        <v>5873</v>
      </c>
      <c r="AG521" s="2"/>
      <c r="AH521" s="2" t="s">
        <v>54</v>
      </c>
      <c r="AI521" s="3" t="s">
        <v>5874</v>
      </c>
      <c r="AJ521" s="3" t="s">
        <v>5875</v>
      </c>
      <c r="AK521" s="2" t="n">
        <v>857321</v>
      </c>
      <c r="AL521" s="3" t="s">
        <v>5876</v>
      </c>
      <c r="AM521" s="2"/>
      <c r="AN521" s="2" t="s">
        <v>200</v>
      </c>
      <c r="AO521" s="3"/>
      <c r="AP521" s="3"/>
      <c r="AQ521" s="2"/>
    </row>
    <row r="522" customFormat="false" ht="23.85" hidden="false" customHeight="false" outlineLevel="0" collapsed="false">
      <c r="A522" s="2" t="n">
        <v>521</v>
      </c>
      <c r="B522" s="2" t="s">
        <v>5877</v>
      </c>
      <c r="C522" s="2" t="s">
        <v>5748</v>
      </c>
      <c r="D522" s="2" t="s">
        <v>5749</v>
      </c>
      <c r="E522" s="2" t="s">
        <v>5878</v>
      </c>
      <c r="F522" s="2" t="s">
        <v>5879</v>
      </c>
      <c r="G522" s="3" t="s">
        <v>5880</v>
      </c>
      <c r="H522" s="2" t="s">
        <v>5881</v>
      </c>
      <c r="I522" s="2" t="s">
        <v>123</v>
      </c>
      <c r="J522" s="3" t="s">
        <v>5882</v>
      </c>
      <c r="K522" s="2" t="s">
        <v>5839</v>
      </c>
      <c r="L522" s="2" t="s">
        <v>723</v>
      </c>
      <c r="M522" s="2" t="s">
        <v>5881</v>
      </c>
      <c r="N522" s="2"/>
      <c r="O522" s="2" t="s">
        <v>5</v>
      </c>
      <c r="P522" s="2" t="n">
        <v>41.8101</v>
      </c>
      <c r="Q522" s="2" t="n">
        <v>35.1589</v>
      </c>
      <c r="R522" s="2" t="s">
        <v>95</v>
      </c>
      <c r="S522" s="2" t="n">
        <v>-425</v>
      </c>
      <c r="T522" s="2" t="s">
        <v>4320</v>
      </c>
      <c r="U522" s="2" t="s">
        <v>56</v>
      </c>
      <c r="V522" s="2" t="s">
        <v>57</v>
      </c>
      <c r="W522" s="2" t="s">
        <v>168</v>
      </c>
      <c r="X522" s="2" t="s">
        <v>59</v>
      </c>
      <c r="Y522" s="2" t="s">
        <v>5883</v>
      </c>
      <c r="Z522" s="2" t="s">
        <v>61</v>
      </c>
      <c r="AA522" s="2" t="s">
        <v>81</v>
      </c>
      <c r="AB522" s="2" t="s">
        <v>81</v>
      </c>
      <c r="AC522" s="2"/>
      <c r="AD522" s="2"/>
      <c r="AE522" s="3"/>
      <c r="AF522" s="3" t="s">
        <v>5884</v>
      </c>
      <c r="AG522" s="2"/>
      <c r="AH522" s="2" t="s">
        <v>54</v>
      </c>
      <c r="AI522" s="3" t="s">
        <v>5885</v>
      </c>
      <c r="AJ522" s="3" t="s">
        <v>5886</v>
      </c>
      <c r="AK522" s="2" t="n">
        <v>857181</v>
      </c>
      <c r="AL522" s="3" t="s">
        <v>5887</v>
      </c>
      <c r="AM522" s="2"/>
      <c r="AN522" s="2" t="s">
        <v>200</v>
      </c>
      <c r="AO522" s="3" t="s">
        <v>5888</v>
      </c>
      <c r="AP522" s="3" t="s">
        <v>5889</v>
      </c>
      <c r="AQ522" s="2" t="s">
        <v>151</v>
      </c>
    </row>
    <row r="523" customFormat="false" ht="57.45" hidden="false" customHeight="false" outlineLevel="0" collapsed="false">
      <c r="A523" s="2" t="n">
        <v>522</v>
      </c>
      <c r="B523" s="2" t="s">
        <v>5890</v>
      </c>
      <c r="C523" s="2" t="s">
        <v>5748</v>
      </c>
      <c r="D523" s="2" t="s">
        <v>5891</v>
      </c>
      <c r="E523" s="2" t="s">
        <v>5892</v>
      </c>
      <c r="F523" s="2" t="s">
        <v>5893</v>
      </c>
      <c r="G523" s="3" t="s">
        <v>5894</v>
      </c>
      <c r="H523" s="2"/>
      <c r="I523" s="2" t="s">
        <v>93</v>
      </c>
      <c r="J523" s="3" t="s">
        <v>5895</v>
      </c>
      <c r="K523" s="2" t="s">
        <v>5896</v>
      </c>
      <c r="L523" s="2" t="s">
        <v>723</v>
      </c>
      <c r="M523" s="2"/>
      <c r="N523" s="2"/>
      <c r="O523" s="2"/>
      <c r="P523" s="2" t="n">
        <v>41.6153</v>
      </c>
      <c r="Q523" s="2" t="n">
        <v>35.5931</v>
      </c>
      <c r="R523" s="2" t="s">
        <v>95</v>
      </c>
      <c r="S523" s="2" t="n">
        <v>460</v>
      </c>
      <c r="T523" s="2" t="s">
        <v>5897</v>
      </c>
      <c r="U523" s="2" t="s">
        <v>139</v>
      </c>
      <c r="V523" s="2" t="s">
        <v>57</v>
      </c>
      <c r="W523" s="2" t="s">
        <v>304</v>
      </c>
      <c r="X523" s="2" t="s">
        <v>141</v>
      </c>
      <c r="Y523" s="2" t="s">
        <v>5898</v>
      </c>
      <c r="Z523" s="2" t="s">
        <v>559</v>
      </c>
      <c r="AA523" s="2"/>
      <c r="AB523" s="2" t="s">
        <v>81</v>
      </c>
      <c r="AC523" s="2"/>
      <c r="AD523" s="2"/>
      <c r="AE523" s="3"/>
      <c r="AF523" s="3" t="s">
        <v>5899</v>
      </c>
      <c r="AG523" s="2"/>
      <c r="AH523" s="2" t="s">
        <v>113</v>
      </c>
      <c r="AI523" s="3" t="s">
        <v>5900</v>
      </c>
      <c r="AJ523" s="3" t="s">
        <v>5901</v>
      </c>
      <c r="AK523" s="2" t="n">
        <v>857381</v>
      </c>
      <c r="AL523" s="3" t="s">
        <v>5902</v>
      </c>
      <c r="AM523" s="2"/>
      <c r="AN523" s="2"/>
      <c r="AO523" s="3" t="s">
        <v>5903</v>
      </c>
      <c r="AP523" s="3" t="s">
        <v>5904</v>
      </c>
      <c r="AQ523" s="2" t="s">
        <v>151</v>
      </c>
    </row>
    <row r="524" customFormat="false" ht="91" hidden="false" customHeight="false" outlineLevel="0" collapsed="false">
      <c r="A524" s="2" t="n">
        <v>523</v>
      </c>
      <c r="B524" s="2" t="s">
        <v>5905</v>
      </c>
      <c r="C524" s="2" t="s">
        <v>5748</v>
      </c>
      <c r="D524" s="2" t="s">
        <v>5891</v>
      </c>
      <c r="E524" s="2" t="s">
        <v>5906</v>
      </c>
      <c r="F524" s="2" t="s">
        <v>5907</v>
      </c>
      <c r="G524" s="3" t="s">
        <v>5908</v>
      </c>
      <c r="H524" s="2" t="s">
        <v>5896</v>
      </c>
      <c r="I524" s="2" t="s">
        <v>123</v>
      </c>
      <c r="J524" s="3" t="s">
        <v>5909</v>
      </c>
      <c r="K524" s="2" t="s">
        <v>5896</v>
      </c>
      <c r="L524" s="2" t="s">
        <v>723</v>
      </c>
      <c r="M524" s="2" t="s">
        <v>5910</v>
      </c>
      <c r="N524" s="2" t="s">
        <v>63</v>
      </c>
      <c r="O524" s="2" t="s">
        <v>5</v>
      </c>
      <c r="P524" s="2" t="n">
        <v>41.2927</v>
      </c>
      <c r="Q524" s="2" t="n">
        <v>36.3313</v>
      </c>
      <c r="R524" s="2" t="s">
        <v>54</v>
      </c>
      <c r="S524" s="2" t="n">
        <v>-564</v>
      </c>
      <c r="T524" s="2" t="s">
        <v>5911</v>
      </c>
      <c r="U524" s="2" t="s">
        <v>96</v>
      </c>
      <c r="V524" s="2" t="s">
        <v>57</v>
      </c>
      <c r="W524" s="2" t="s">
        <v>58</v>
      </c>
      <c r="X524" s="2" t="s">
        <v>59</v>
      </c>
      <c r="Y524" s="2" t="s">
        <v>5912</v>
      </c>
      <c r="Z524" s="2" t="s">
        <v>61</v>
      </c>
      <c r="AA524" s="2" t="s">
        <v>5913</v>
      </c>
      <c r="AB524" s="2" t="s">
        <v>81</v>
      </c>
      <c r="AC524" s="2"/>
      <c r="AD524" s="2"/>
      <c r="AE524" s="3" t="s">
        <v>5914</v>
      </c>
      <c r="AF524" s="3" t="s">
        <v>5915</v>
      </c>
      <c r="AG524" s="2"/>
      <c r="AH524" s="2" t="s">
        <v>54</v>
      </c>
      <c r="AI524" s="3" t="s">
        <v>5916</v>
      </c>
      <c r="AJ524" s="3" t="s">
        <v>5917</v>
      </c>
      <c r="AK524" s="2" t="n">
        <v>857024</v>
      </c>
      <c r="AL524" s="3" t="s">
        <v>5918</v>
      </c>
      <c r="AM524" s="2"/>
      <c r="AN524" s="2" t="s">
        <v>200</v>
      </c>
      <c r="AO524" s="3" t="s">
        <v>5919</v>
      </c>
      <c r="AP524" s="3" t="s">
        <v>5920</v>
      </c>
      <c r="AQ524" s="2" t="s">
        <v>89</v>
      </c>
    </row>
    <row r="525" customFormat="false" ht="35.05" hidden="false" customHeight="false" outlineLevel="0" collapsed="false">
      <c r="A525" s="2" t="n">
        <v>524</v>
      </c>
      <c r="B525" s="2" t="s">
        <v>5921</v>
      </c>
      <c r="C525" s="2" t="s">
        <v>5748</v>
      </c>
      <c r="D525" s="2" t="s">
        <v>5891</v>
      </c>
      <c r="E525" s="2" t="s">
        <v>5922</v>
      </c>
      <c r="F525" s="2" t="s">
        <v>5923</v>
      </c>
      <c r="G525" s="3" t="s">
        <v>5924</v>
      </c>
      <c r="H525" s="2"/>
      <c r="I525" s="2" t="s">
        <v>93</v>
      </c>
      <c r="J525" s="3" t="s">
        <v>5925</v>
      </c>
      <c r="K525" s="2" t="s">
        <v>5896</v>
      </c>
      <c r="L525" s="2" t="s">
        <v>723</v>
      </c>
      <c r="M525" s="2"/>
      <c r="N525" s="2"/>
      <c r="O525" s="2"/>
      <c r="P525" s="2" t="n">
        <v>41.27</v>
      </c>
      <c r="Q525" s="2" t="n">
        <v>36.4</v>
      </c>
      <c r="R525" s="2" t="s">
        <v>637</v>
      </c>
      <c r="S525" s="2" t="n">
        <v>-340</v>
      </c>
      <c r="T525" s="2" t="s">
        <v>2765</v>
      </c>
      <c r="U525" s="2" t="s">
        <v>56</v>
      </c>
      <c r="V525" s="2" t="s">
        <v>97</v>
      </c>
      <c r="W525" s="2" t="s">
        <v>168</v>
      </c>
      <c r="X525" s="2" t="s">
        <v>59</v>
      </c>
      <c r="Y525" s="2" t="s">
        <v>5926</v>
      </c>
      <c r="Z525" s="2" t="s">
        <v>61</v>
      </c>
      <c r="AA525" s="2" t="s">
        <v>81</v>
      </c>
      <c r="AB525" s="2" t="s">
        <v>81</v>
      </c>
      <c r="AC525" s="2"/>
      <c r="AD525" s="2"/>
      <c r="AE525" s="3"/>
      <c r="AF525" s="3" t="s">
        <v>5927</v>
      </c>
      <c r="AG525" s="2"/>
      <c r="AH525" s="2" t="s">
        <v>263</v>
      </c>
      <c r="AI525" s="3" t="s">
        <v>5928</v>
      </c>
      <c r="AJ525" s="3" t="s">
        <v>5929</v>
      </c>
      <c r="AK525" s="2"/>
      <c r="AL525" s="3" t="s">
        <v>5930</v>
      </c>
      <c r="AM525" s="2"/>
      <c r="AN525" s="2"/>
      <c r="AO525" s="3" t="s">
        <v>5931</v>
      </c>
      <c r="AP525" s="3" t="s">
        <v>5854</v>
      </c>
      <c r="AQ525" s="2" t="s">
        <v>106</v>
      </c>
    </row>
    <row r="526" customFormat="false" ht="57.45" hidden="false" customHeight="false" outlineLevel="0" collapsed="false">
      <c r="A526" s="2" t="n">
        <v>525</v>
      </c>
      <c r="B526" s="2" t="s">
        <v>5932</v>
      </c>
      <c r="C526" s="2" t="s">
        <v>5748</v>
      </c>
      <c r="D526" s="2" t="s">
        <v>5891</v>
      </c>
      <c r="E526" s="2" t="s">
        <v>5933</v>
      </c>
      <c r="F526" s="2" t="s">
        <v>5934</v>
      </c>
      <c r="G526" s="3" t="s">
        <v>5935</v>
      </c>
      <c r="H526" s="2"/>
      <c r="I526" s="2" t="s">
        <v>93</v>
      </c>
      <c r="J526" s="3" t="s">
        <v>5936</v>
      </c>
      <c r="K526" s="2" t="s">
        <v>5896</v>
      </c>
      <c r="L526" s="2" t="s">
        <v>723</v>
      </c>
      <c r="M526" s="2"/>
      <c r="N526" s="2"/>
      <c r="O526" s="2"/>
      <c r="P526" s="2" t="n">
        <v>41.1992</v>
      </c>
      <c r="Q526" s="2" t="n">
        <v>36.7236</v>
      </c>
      <c r="R526" s="2" t="s">
        <v>95</v>
      </c>
      <c r="S526" s="2" t="n">
        <v>1317</v>
      </c>
      <c r="T526" s="2" t="s">
        <v>5937</v>
      </c>
      <c r="U526" s="2" t="s">
        <v>56</v>
      </c>
      <c r="V526" s="2" t="s">
        <v>245</v>
      </c>
      <c r="W526" s="2" t="s">
        <v>304</v>
      </c>
      <c r="X526" s="2" t="s">
        <v>169</v>
      </c>
      <c r="Y526" s="2"/>
      <c r="Z526" s="2" t="s">
        <v>170</v>
      </c>
      <c r="AA526" s="2"/>
      <c r="AB526" s="2" t="s">
        <v>81</v>
      </c>
      <c r="AC526" s="2"/>
      <c r="AD526" s="2"/>
      <c r="AE526" s="3"/>
      <c r="AF526" s="3" t="s">
        <v>5938</v>
      </c>
      <c r="AG526" s="2" t="s">
        <v>5939</v>
      </c>
      <c r="AH526" s="2" t="s">
        <v>113</v>
      </c>
      <c r="AI526" s="3" t="s">
        <v>5940</v>
      </c>
      <c r="AJ526" s="3" t="s">
        <v>5941</v>
      </c>
      <c r="AK526" s="2"/>
      <c r="AL526" s="3" t="s">
        <v>5942</v>
      </c>
      <c r="AM526" s="2"/>
      <c r="AN526" s="2"/>
      <c r="AO526" s="3"/>
      <c r="AP526" s="3"/>
      <c r="AQ526" s="2"/>
    </row>
    <row r="527" customFormat="false" ht="46.25" hidden="false" customHeight="false" outlineLevel="0" collapsed="false">
      <c r="A527" s="2" t="n">
        <v>526</v>
      </c>
      <c r="B527" s="2" t="s">
        <v>5943</v>
      </c>
      <c r="C527" s="2" t="s">
        <v>5748</v>
      </c>
      <c r="D527" s="2" t="s">
        <v>5891</v>
      </c>
      <c r="E527" s="2" t="s">
        <v>5944</v>
      </c>
      <c r="F527" s="2" t="s">
        <v>5945</v>
      </c>
      <c r="G527" s="3"/>
      <c r="H527" s="2"/>
      <c r="I527" s="2" t="s">
        <v>93</v>
      </c>
      <c r="J527" s="3" t="s">
        <v>5946</v>
      </c>
      <c r="K527" s="2" t="s">
        <v>5896</v>
      </c>
      <c r="L527" s="2" t="s">
        <v>723</v>
      </c>
      <c r="M527" s="2"/>
      <c r="N527" s="2"/>
      <c r="O527" s="2"/>
      <c r="P527" s="2" t="n">
        <v>41.2152</v>
      </c>
      <c r="Q527" s="2" t="n">
        <v>36.9677</v>
      </c>
      <c r="R527" s="2" t="s">
        <v>95</v>
      </c>
      <c r="S527" s="2" t="n">
        <v>-340</v>
      </c>
      <c r="T527" s="2" t="s">
        <v>2765</v>
      </c>
      <c r="U527" s="2" t="s">
        <v>56</v>
      </c>
      <c r="V527" s="2" t="s">
        <v>97</v>
      </c>
      <c r="W527" s="2" t="s">
        <v>168</v>
      </c>
      <c r="X527" s="2" t="s">
        <v>59</v>
      </c>
      <c r="Y527" s="2" t="s">
        <v>5926</v>
      </c>
      <c r="Z527" s="2" t="s">
        <v>61</v>
      </c>
      <c r="AA527" s="2" t="s">
        <v>81</v>
      </c>
      <c r="AB527" s="2" t="s">
        <v>81</v>
      </c>
      <c r="AC527" s="2"/>
      <c r="AD527" s="2"/>
      <c r="AE527" s="3" t="s">
        <v>5947</v>
      </c>
      <c r="AF527" s="3" t="s">
        <v>5948</v>
      </c>
      <c r="AG527" s="2"/>
      <c r="AH527" s="2" t="s">
        <v>113</v>
      </c>
      <c r="AI527" s="3" t="s">
        <v>5949</v>
      </c>
      <c r="AJ527" s="3" t="s">
        <v>5950</v>
      </c>
      <c r="AK527" s="2" t="n">
        <v>857350</v>
      </c>
      <c r="AL527" s="3" t="s">
        <v>5951</v>
      </c>
      <c r="AM527" s="2"/>
      <c r="AN527" s="2"/>
      <c r="AO527" s="3" t="s">
        <v>5952</v>
      </c>
      <c r="AP527" s="3" t="s">
        <v>5953</v>
      </c>
      <c r="AQ527" s="2" t="s">
        <v>106</v>
      </c>
    </row>
    <row r="528" customFormat="false" ht="46.25" hidden="false" customHeight="false" outlineLevel="0" collapsed="false">
      <c r="A528" s="2" t="n">
        <v>527</v>
      </c>
      <c r="B528" s="2" t="s">
        <v>5954</v>
      </c>
      <c r="C528" s="2" t="s">
        <v>5748</v>
      </c>
      <c r="D528" s="2" t="s">
        <v>5891</v>
      </c>
      <c r="E528" s="2" t="s">
        <v>5955</v>
      </c>
      <c r="F528" s="2" t="s">
        <v>5956</v>
      </c>
      <c r="G528" s="3" t="s">
        <v>5957</v>
      </c>
      <c r="H528" s="2" t="s">
        <v>5958</v>
      </c>
      <c r="I528" s="2" t="s">
        <v>123</v>
      </c>
      <c r="J528" s="3" t="s">
        <v>5959</v>
      </c>
      <c r="K528" s="2" t="s">
        <v>5960</v>
      </c>
      <c r="L528" s="2" t="s">
        <v>723</v>
      </c>
      <c r="M528" s="2" t="s">
        <v>5958</v>
      </c>
      <c r="N528" s="2"/>
      <c r="O528" s="2" t="s">
        <v>5</v>
      </c>
      <c r="P528" s="2" t="n">
        <v>41.1262</v>
      </c>
      <c r="Q528" s="2" t="n">
        <v>37.2854</v>
      </c>
      <c r="R528" s="2" t="s">
        <v>95</v>
      </c>
      <c r="S528" s="2" t="n">
        <v>750</v>
      </c>
      <c r="T528" s="2" t="s">
        <v>5961</v>
      </c>
      <c r="U528" s="2" t="s">
        <v>56</v>
      </c>
      <c r="V528" s="2" t="s">
        <v>78</v>
      </c>
      <c r="W528" s="2" t="s">
        <v>304</v>
      </c>
      <c r="X528" s="2" t="s">
        <v>169</v>
      </c>
      <c r="Y528" s="2" t="s">
        <v>3955</v>
      </c>
      <c r="Z528" s="2" t="s">
        <v>170</v>
      </c>
      <c r="AA528" s="2"/>
      <c r="AB528" s="2" t="s">
        <v>81</v>
      </c>
      <c r="AC528" s="2"/>
      <c r="AD528" s="2"/>
      <c r="AE528" s="3"/>
      <c r="AF528" s="3" t="s">
        <v>5962</v>
      </c>
      <c r="AG528" s="2"/>
      <c r="AH528" s="2" t="s">
        <v>263</v>
      </c>
      <c r="AI528" s="3" t="s">
        <v>5963</v>
      </c>
      <c r="AJ528" s="3" t="s">
        <v>5964</v>
      </c>
      <c r="AK528" s="2" t="n">
        <v>857254</v>
      </c>
      <c r="AL528" s="3" t="s">
        <v>5965</v>
      </c>
      <c r="AM528" s="2"/>
      <c r="AN528" s="2" t="s">
        <v>200</v>
      </c>
      <c r="AO528" s="3" t="s">
        <v>5966</v>
      </c>
      <c r="AP528" s="3" t="s">
        <v>5967</v>
      </c>
      <c r="AQ528" s="2" t="s">
        <v>151</v>
      </c>
    </row>
    <row r="529" customFormat="false" ht="57.45" hidden="false" customHeight="false" outlineLevel="0" collapsed="false">
      <c r="A529" s="2" t="n">
        <v>528</v>
      </c>
      <c r="B529" s="2" t="s">
        <v>5968</v>
      </c>
      <c r="C529" s="2" t="s">
        <v>5748</v>
      </c>
      <c r="D529" s="2" t="s">
        <v>5891</v>
      </c>
      <c r="E529" s="2" t="s">
        <v>5969</v>
      </c>
      <c r="F529" s="2" t="s">
        <v>5970</v>
      </c>
      <c r="G529" s="3" t="s">
        <v>5971</v>
      </c>
      <c r="H529" s="2" t="s">
        <v>5972</v>
      </c>
      <c r="I529" s="2" t="s">
        <v>123</v>
      </c>
      <c r="J529" s="3" t="s">
        <v>5973</v>
      </c>
      <c r="K529" s="2" t="s">
        <v>5960</v>
      </c>
      <c r="L529" s="2" t="s">
        <v>723</v>
      </c>
      <c r="M529" s="2" t="s">
        <v>5972</v>
      </c>
      <c r="N529" s="2"/>
      <c r="O529" s="2" t="s">
        <v>5</v>
      </c>
      <c r="P529" s="2" t="n">
        <v>41.0309</v>
      </c>
      <c r="Q529" s="2" t="n">
        <v>37.5002</v>
      </c>
      <c r="R529" s="2" t="s">
        <v>95</v>
      </c>
      <c r="S529" s="2" t="n">
        <v>50</v>
      </c>
      <c r="T529" s="2" t="s">
        <v>2879</v>
      </c>
      <c r="U529" s="2" t="s">
        <v>139</v>
      </c>
      <c r="V529" s="2" t="s">
        <v>97</v>
      </c>
      <c r="W529" s="2" t="s">
        <v>140</v>
      </c>
      <c r="X529" s="2" t="s">
        <v>246</v>
      </c>
      <c r="Y529" s="2" t="s">
        <v>5974</v>
      </c>
      <c r="Z529" s="2" t="s">
        <v>5975</v>
      </c>
      <c r="AA529" s="2"/>
      <c r="AB529" s="2" t="s">
        <v>81</v>
      </c>
      <c r="AC529" s="2"/>
      <c r="AD529" s="2"/>
      <c r="AE529" s="3"/>
      <c r="AF529" s="3" t="s">
        <v>5976</v>
      </c>
      <c r="AG529" s="2"/>
      <c r="AH529" s="2" t="s">
        <v>54</v>
      </c>
      <c r="AI529" s="3" t="s">
        <v>5977</v>
      </c>
      <c r="AJ529" s="3" t="s">
        <v>5978</v>
      </c>
      <c r="AK529" s="2" t="n">
        <v>857285</v>
      </c>
      <c r="AL529" s="3" t="s">
        <v>5979</v>
      </c>
      <c r="AM529" s="2"/>
      <c r="AN529" s="2" t="s">
        <v>200</v>
      </c>
      <c r="AO529" s="3" t="s">
        <v>5980</v>
      </c>
      <c r="AP529" s="3" t="s">
        <v>5981</v>
      </c>
      <c r="AQ529" s="2" t="s">
        <v>89</v>
      </c>
    </row>
    <row r="530" customFormat="false" ht="35.05" hidden="false" customHeight="false" outlineLevel="0" collapsed="false">
      <c r="A530" s="2" t="n">
        <v>529</v>
      </c>
      <c r="B530" s="2" t="s">
        <v>5982</v>
      </c>
      <c r="C530" s="2" t="s">
        <v>5748</v>
      </c>
      <c r="D530" s="2" t="s">
        <v>5891</v>
      </c>
      <c r="E530" s="2" t="s">
        <v>5983</v>
      </c>
      <c r="F530" s="2" t="s">
        <v>5984</v>
      </c>
      <c r="G530" s="3" t="s">
        <v>5985</v>
      </c>
      <c r="H530" s="2"/>
      <c r="I530" s="2" t="s">
        <v>93</v>
      </c>
      <c r="J530" s="3" t="s">
        <v>5986</v>
      </c>
      <c r="K530" s="2" t="s">
        <v>5960</v>
      </c>
      <c r="L530" s="2" t="s">
        <v>723</v>
      </c>
      <c r="M530" s="2"/>
      <c r="N530" s="2"/>
      <c r="O530" s="2"/>
      <c r="P530" s="2" t="n">
        <v>41.1128</v>
      </c>
      <c r="Q530" s="2" t="n">
        <v>37.7042</v>
      </c>
      <c r="R530" s="2" t="s">
        <v>95</v>
      </c>
      <c r="S530" s="2" t="n">
        <v>-340</v>
      </c>
      <c r="T530" s="2" t="s">
        <v>2765</v>
      </c>
      <c r="U530" s="2" t="s">
        <v>56</v>
      </c>
      <c r="V530" s="2" t="s">
        <v>97</v>
      </c>
      <c r="W530" s="2" t="s">
        <v>168</v>
      </c>
      <c r="X530" s="2" t="s">
        <v>59</v>
      </c>
      <c r="Y530" s="2" t="s">
        <v>5805</v>
      </c>
      <c r="Z530" s="2" t="s">
        <v>61</v>
      </c>
      <c r="AA530" s="2" t="s">
        <v>81</v>
      </c>
      <c r="AB530" s="2" t="s">
        <v>81</v>
      </c>
      <c r="AC530" s="2"/>
      <c r="AD530" s="2"/>
      <c r="AE530" s="3"/>
      <c r="AF530" s="3" t="s">
        <v>5987</v>
      </c>
      <c r="AG530" s="2"/>
      <c r="AH530" s="2" t="s">
        <v>263</v>
      </c>
      <c r="AI530" s="3" t="s">
        <v>5988</v>
      </c>
      <c r="AJ530" s="3" t="s">
        <v>5989</v>
      </c>
      <c r="AK530" s="2" t="n">
        <v>857333</v>
      </c>
      <c r="AL530" s="3" t="s">
        <v>5990</v>
      </c>
      <c r="AM530" s="2"/>
      <c r="AN530" s="2"/>
      <c r="AO530" s="3" t="s">
        <v>5991</v>
      </c>
      <c r="AP530" s="3" t="s">
        <v>5992</v>
      </c>
      <c r="AQ530" s="2" t="s">
        <v>106</v>
      </c>
    </row>
    <row r="531" customFormat="false" ht="35.05" hidden="false" customHeight="false" outlineLevel="0" collapsed="false">
      <c r="A531" s="2" t="n">
        <v>530</v>
      </c>
      <c r="B531" s="2" t="s">
        <v>5993</v>
      </c>
      <c r="C531" s="2" t="s">
        <v>5748</v>
      </c>
      <c r="D531" s="2" t="s">
        <v>5891</v>
      </c>
      <c r="E531" s="2" t="s">
        <v>5994</v>
      </c>
      <c r="F531" s="2" t="s">
        <v>5995</v>
      </c>
      <c r="G531" s="3"/>
      <c r="H531" s="2" t="s">
        <v>5960</v>
      </c>
      <c r="I531" s="2" t="s">
        <v>123</v>
      </c>
      <c r="J531" s="3" t="s">
        <v>5996</v>
      </c>
      <c r="K531" s="2" t="s">
        <v>5960</v>
      </c>
      <c r="L531" s="2" t="s">
        <v>723</v>
      </c>
      <c r="M531" s="2" t="s">
        <v>5997</v>
      </c>
      <c r="N531" s="2" t="s">
        <v>63</v>
      </c>
      <c r="O531" s="2" t="s">
        <v>53</v>
      </c>
      <c r="P531" s="2" t="n">
        <v>40.9984</v>
      </c>
      <c r="Q531" s="2" t="n">
        <v>37.8704</v>
      </c>
      <c r="R531" s="2" t="s">
        <v>95</v>
      </c>
      <c r="S531" s="2" t="n">
        <v>-400</v>
      </c>
      <c r="T531" s="2" t="s">
        <v>5998</v>
      </c>
      <c r="U531" s="2" t="s">
        <v>56</v>
      </c>
      <c r="V531" s="2" t="s">
        <v>245</v>
      </c>
      <c r="W531" s="2" t="s">
        <v>168</v>
      </c>
      <c r="X531" s="2" t="s">
        <v>59</v>
      </c>
      <c r="Y531" s="2" t="s">
        <v>5794</v>
      </c>
      <c r="Z531" s="2" t="s">
        <v>61</v>
      </c>
      <c r="AA531" s="2" t="s">
        <v>5794</v>
      </c>
      <c r="AB531" s="2" t="s">
        <v>81</v>
      </c>
      <c r="AC531" s="2"/>
      <c r="AD531" s="2"/>
      <c r="AE531" s="3"/>
      <c r="AF531" s="3" t="s">
        <v>5999</v>
      </c>
      <c r="AG531" s="2"/>
      <c r="AH531" s="2" t="s">
        <v>54</v>
      </c>
      <c r="AI531" s="3" t="s">
        <v>6000</v>
      </c>
      <c r="AJ531" s="3" t="s">
        <v>6001</v>
      </c>
      <c r="AK531" s="2" t="n">
        <v>857200</v>
      </c>
      <c r="AL531" s="3" t="s">
        <v>6002</v>
      </c>
      <c r="AM531" s="2"/>
      <c r="AN531" s="2"/>
      <c r="AO531" s="3" t="s">
        <v>6003</v>
      </c>
      <c r="AP531" s="3" t="s">
        <v>6004</v>
      </c>
      <c r="AQ531" s="2" t="s">
        <v>151</v>
      </c>
    </row>
    <row r="532" customFormat="false" ht="79.85" hidden="false" customHeight="false" outlineLevel="0" collapsed="false">
      <c r="A532" s="2" t="n">
        <v>531</v>
      </c>
      <c r="B532" s="2" t="s">
        <v>6005</v>
      </c>
      <c r="C532" s="2" t="s">
        <v>5748</v>
      </c>
      <c r="D532" s="2" t="s">
        <v>5891</v>
      </c>
      <c r="E532" s="2" t="s">
        <v>6006</v>
      </c>
      <c r="F532" s="2" t="s">
        <v>6007</v>
      </c>
      <c r="G532" s="3" t="s">
        <v>6008</v>
      </c>
      <c r="H532" s="2" t="s">
        <v>6009</v>
      </c>
      <c r="I532" s="2" t="s">
        <v>123</v>
      </c>
      <c r="J532" s="3" t="s">
        <v>6010</v>
      </c>
      <c r="K532" s="2" t="s">
        <v>6009</v>
      </c>
      <c r="L532" s="2" t="s">
        <v>723</v>
      </c>
      <c r="M532" s="2" t="s">
        <v>581</v>
      </c>
      <c r="N532" s="2" t="s">
        <v>63</v>
      </c>
      <c r="O532" s="2" t="s">
        <v>5</v>
      </c>
      <c r="P532" s="2" t="n">
        <v>40.9191</v>
      </c>
      <c r="Q532" s="2" t="n">
        <v>38.3979</v>
      </c>
      <c r="R532" s="2" t="s">
        <v>54</v>
      </c>
      <c r="S532" s="2" t="n">
        <v>-340</v>
      </c>
      <c r="T532" s="2" t="s">
        <v>2765</v>
      </c>
      <c r="U532" s="2" t="s">
        <v>56</v>
      </c>
      <c r="V532" s="2" t="s">
        <v>97</v>
      </c>
      <c r="W532" s="2" t="s">
        <v>168</v>
      </c>
      <c r="X532" s="2" t="s">
        <v>169</v>
      </c>
      <c r="Y532" s="2" t="s">
        <v>6011</v>
      </c>
      <c r="Z532" s="2" t="s">
        <v>170</v>
      </c>
      <c r="AA532" s="2"/>
      <c r="AB532" s="2" t="s">
        <v>81</v>
      </c>
      <c r="AC532" s="2"/>
      <c r="AD532" s="2"/>
      <c r="AE532" s="3"/>
      <c r="AF532" s="3" t="s">
        <v>6012</v>
      </c>
      <c r="AG532" s="2"/>
      <c r="AH532" s="2" t="s">
        <v>54</v>
      </c>
      <c r="AI532" s="3" t="s">
        <v>6013</v>
      </c>
      <c r="AJ532" s="3" t="s">
        <v>6014</v>
      </c>
      <c r="AK532" s="2" t="n">
        <v>857185</v>
      </c>
      <c r="AL532" s="3" t="s">
        <v>6015</v>
      </c>
      <c r="AM532" s="2"/>
      <c r="AN532" s="2" t="s">
        <v>200</v>
      </c>
      <c r="AO532" s="3" t="s">
        <v>6016</v>
      </c>
      <c r="AP532" s="3" t="s">
        <v>6017</v>
      </c>
      <c r="AQ532" s="2" t="s">
        <v>151</v>
      </c>
    </row>
    <row r="533" customFormat="false" ht="57.45" hidden="false" customHeight="false" outlineLevel="0" collapsed="false">
      <c r="A533" s="2" t="n">
        <v>532</v>
      </c>
      <c r="B533" s="2" t="s">
        <v>6018</v>
      </c>
      <c r="C533" s="2" t="s">
        <v>5748</v>
      </c>
      <c r="D533" s="2" t="s">
        <v>5891</v>
      </c>
      <c r="E533" s="2" t="s">
        <v>6019</v>
      </c>
      <c r="F533" s="2" t="s">
        <v>6020</v>
      </c>
      <c r="G533" s="3" t="s">
        <v>6021</v>
      </c>
      <c r="H533" s="2"/>
      <c r="I533" s="2" t="s">
        <v>93</v>
      </c>
      <c r="J533" s="3" t="s">
        <v>6022</v>
      </c>
      <c r="K533" s="2" t="s">
        <v>6023</v>
      </c>
      <c r="L533" s="2" t="s">
        <v>723</v>
      </c>
      <c r="M533" s="2"/>
      <c r="N533" s="2"/>
      <c r="O533" s="2"/>
      <c r="P533" s="2" t="n">
        <v>41.0581</v>
      </c>
      <c r="Q533" s="2" t="n">
        <v>39.319</v>
      </c>
      <c r="R533" s="2" t="s">
        <v>95</v>
      </c>
      <c r="S533" s="2" t="n">
        <v>-400</v>
      </c>
      <c r="T533" s="2" t="s">
        <v>5998</v>
      </c>
      <c r="U533" s="2" t="s">
        <v>56</v>
      </c>
      <c r="V533" s="2" t="s">
        <v>245</v>
      </c>
      <c r="W533" s="2" t="s">
        <v>168</v>
      </c>
      <c r="X533" s="2" t="s">
        <v>59</v>
      </c>
      <c r="Y533" s="2" t="s">
        <v>5794</v>
      </c>
      <c r="Z533" s="2" t="s">
        <v>61</v>
      </c>
      <c r="AA533" s="2" t="s">
        <v>5794</v>
      </c>
      <c r="AB533" s="2" t="s">
        <v>81</v>
      </c>
      <c r="AC533" s="2"/>
      <c r="AD533" s="2"/>
      <c r="AE533" s="3"/>
      <c r="AF533" s="3" t="s">
        <v>6024</v>
      </c>
      <c r="AG533" s="2"/>
      <c r="AH533" s="2" t="s">
        <v>113</v>
      </c>
      <c r="AI533" s="3" t="s">
        <v>6025</v>
      </c>
      <c r="AJ533" s="3" t="s">
        <v>6026</v>
      </c>
      <c r="AK533" s="2" t="n">
        <v>857183</v>
      </c>
      <c r="AL533" s="3" t="s">
        <v>6027</v>
      </c>
      <c r="AM533" s="2"/>
      <c r="AN533" s="2"/>
      <c r="AO533" s="3" t="s">
        <v>6028</v>
      </c>
      <c r="AP533" s="3" t="s">
        <v>6029</v>
      </c>
      <c r="AQ533" s="2" t="s">
        <v>106</v>
      </c>
    </row>
    <row r="534" customFormat="false" ht="46.25" hidden="false" customHeight="false" outlineLevel="0" collapsed="false">
      <c r="A534" s="2" t="n">
        <v>533</v>
      </c>
      <c r="B534" s="2" t="s">
        <v>6030</v>
      </c>
      <c r="C534" s="2" t="s">
        <v>5748</v>
      </c>
      <c r="D534" s="2" t="s">
        <v>5891</v>
      </c>
      <c r="E534" s="2" t="s">
        <v>6031</v>
      </c>
      <c r="F534" s="2" t="s">
        <v>6032</v>
      </c>
      <c r="G534" s="3" t="s">
        <v>6033</v>
      </c>
      <c r="H534" s="2" t="s">
        <v>6023</v>
      </c>
      <c r="I534" s="2" t="s">
        <v>123</v>
      </c>
      <c r="J534" s="3" t="s">
        <v>6034</v>
      </c>
      <c r="K534" s="2" t="s">
        <v>6023</v>
      </c>
      <c r="L534" s="2" t="s">
        <v>723</v>
      </c>
      <c r="M534" s="2" t="s">
        <v>6035</v>
      </c>
      <c r="N534" s="2" t="s">
        <v>63</v>
      </c>
      <c r="O534" s="2" t="s">
        <v>5</v>
      </c>
      <c r="P534" s="2" t="n">
        <v>41.0043</v>
      </c>
      <c r="Q534" s="2" t="n">
        <v>39.7233</v>
      </c>
      <c r="R534" s="2" t="s">
        <v>54</v>
      </c>
      <c r="S534" s="2" t="n">
        <v>-756</v>
      </c>
      <c r="T534" s="2" t="s">
        <v>6036</v>
      </c>
      <c r="U534" s="2" t="s">
        <v>96</v>
      </c>
      <c r="V534" s="2" t="s">
        <v>245</v>
      </c>
      <c r="W534" s="2" t="s">
        <v>58</v>
      </c>
      <c r="X534" s="2" t="s">
        <v>59</v>
      </c>
      <c r="Y534" s="2" t="s">
        <v>6037</v>
      </c>
      <c r="Z534" s="2" t="s">
        <v>61</v>
      </c>
      <c r="AA534" s="2" t="s">
        <v>5794</v>
      </c>
      <c r="AB534" s="2" t="s">
        <v>81</v>
      </c>
      <c r="AC534" s="2"/>
      <c r="AD534" s="2"/>
      <c r="AE534" s="3"/>
      <c r="AF534" s="3" t="s">
        <v>6038</v>
      </c>
      <c r="AG534" s="2"/>
      <c r="AH534" s="2" t="s">
        <v>54</v>
      </c>
      <c r="AI534" s="3" t="s">
        <v>6039</v>
      </c>
      <c r="AJ534" s="3" t="s">
        <v>6040</v>
      </c>
      <c r="AK534" s="2" t="n">
        <v>857359</v>
      </c>
      <c r="AL534" s="3" t="s">
        <v>6041</v>
      </c>
      <c r="AM534" s="2"/>
      <c r="AN534" s="2" t="s">
        <v>200</v>
      </c>
      <c r="AO534" s="3" t="s">
        <v>6042</v>
      </c>
      <c r="AP534" s="3" t="s">
        <v>6043</v>
      </c>
      <c r="AQ534" s="2" t="s">
        <v>151</v>
      </c>
    </row>
    <row r="535" customFormat="false" ht="57.45" hidden="false" customHeight="false" outlineLevel="0" collapsed="false">
      <c r="A535" s="2" t="n">
        <v>534</v>
      </c>
      <c r="B535" s="2" t="s">
        <v>6044</v>
      </c>
      <c r="C535" s="2" t="s">
        <v>5748</v>
      </c>
      <c r="D535" s="2" t="s">
        <v>5891</v>
      </c>
      <c r="E535" s="2" t="s">
        <v>6045</v>
      </c>
      <c r="F535" s="2" t="s">
        <v>6046</v>
      </c>
      <c r="G535" s="3" t="s">
        <v>6047</v>
      </c>
      <c r="H535" s="2" t="s">
        <v>6048</v>
      </c>
      <c r="I535" s="2" t="s">
        <v>123</v>
      </c>
      <c r="J535" s="3" t="s">
        <v>6049</v>
      </c>
      <c r="K535" s="2" t="s">
        <v>6048</v>
      </c>
      <c r="L535" s="2" t="s">
        <v>723</v>
      </c>
      <c r="M535" s="2" t="s">
        <v>581</v>
      </c>
      <c r="N535" s="2" t="s">
        <v>63</v>
      </c>
      <c r="O535" s="2" t="s">
        <v>5</v>
      </c>
      <c r="P535" s="2" t="n">
        <v>41.0278</v>
      </c>
      <c r="Q535" s="2" t="n">
        <v>40.5033</v>
      </c>
      <c r="R535" s="2" t="s">
        <v>95</v>
      </c>
      <c r="S535" s="2" t="n">
        <v>650</v>
      </c>
      <c r="T535" s="2" t="s">
        <v>6050</v>
      </c>
      <c r="U535" s="2" t="s">
        <v>56</v>
      </c>
      <c r="V535" s="2" t="s">
        <v>78</v>
      </c>
      <c r="W535" s="2" t="s">
        <v>304</v>
      </c>
      <c r="X535" s="2" t="s">
        <v>169</v>
      </c>
      <c r="Y535" s="2" t="s">
        <v>6051</v>
      </c>
      <c r="Z535" s="2" t="s">
        <v>170</v>
      </c>
      <c r="AA535" s="2"/>
      <c r="AB535" s="2" t="s">
        <v>81</v>
      </c>
      <c r="AC535" s="2"/>
      <c r="AD535" s="2"/>
      <c r="AE535" s="3"/>
      <c r="AF535" s="3" t="s">
        <v>6052</v>
      </c>
      <c r="AG535" s="2"/>
      <c r="AH535" s="2" t="s">
        <v>113</v>
      </c>
      <c r="AI535" s="3" t="s">
        <v>6053</v>
      </c>
      <c r="AJ535" s="3" t="s">
        <v>6054</v>
      </c>
      <c r="AK535" s="2" t="n">
        <v>857297</v>
      </c>
      <c r="AL535" s="3" t="s">
        <v>6055</v>
      </c>
      <c r="AM535" s="2"/>
      <c r="AN535" s="2" t="s">
        <v>200</v>
      </c>
      <c r="AO535" s="3" t="s">
        <v>6056</v>
      </c>
      <c r="AP535" s="3" t="s">
        <v>6057</v>
      </c>
      <c r="AQ535" s="2" t="s">
        <v>151</v>
      </c>
    </row>
    <row r="536" customFormat="false" ht="57.45" hidden="false" customHeight="false" outlineLevel="0" collapsed="false">
      <c r="A536" s="2" t="n">
        <v>535</v>
      </c>
      <c r="B536" s="2" t="s">
        <v>6058</v>
      </c>
      <c r="C536" s="2" t="s">
        <v>5748</v>
      </c>
      <c r="D536" s="2" t="s">
        <v>5891</v>
      </c>
      <c r="E536" s="2" t="s">
        <v>6059</v>
      </c>
      <c r="F536" s="2" t="s">
        <v>6060</v>
      </c>
      <c r="G536" s="3" t="s">
        <v>6061</v>
      </c>
      <c r="H536" s="2"/>
      <c r="I536" s="2" t="s">
        <v>93</v>
      </c>
      <c r="J536" s="3" t="s">
        <v>6062</v>
      </c>
      <c r="K536" s="2" t="s">
        <v>6048</v>
      </c>
      <c r="L536" s="2" t="s">
        <v>723</v>
      </c>
      <c r="M536" s="2"/>
      <c r="N536" s="2"/>
      <c r="O536" s="2"/>
      <c r="P536" s="2" t="n">
        <v>41.06</v>
      </c>
      <c r="Q536" s="2" t="n">
        <v>40.62</v>
      </c>
      <c r="R536" s="2" t="s">
        <v>637</v>
      </c>
      <c r="S536" s="2" t="n">
        <v>-340</v>
      </c>
      <c r="T536" s="2" t="s">
        <v>2765</v>
      </c>
      <c r="U536" s="2" t="s">
        <v>56</v>
      </c>
      <c r="V536" s="2" t="s">
        <v>97</v>
      </c>
      <c r="W536" s="2" t="s">
        <v>168</v>
      </c>
      <c r="X536" s="2" t="s">
        <v>59</v>
      </c>
      <c r="Y536" s="2" t="s">
        <v>6063</v>
      </c>
      <c r="Z536" s="2" t="s">
        <v>61</v>
      </c>
      <c r="AA536" s="2" t="s">
        <v>81</v>
      </c>
      <c r="AB536" s="2" t="s">
        <v>81</v>
      </c>
      <c r="AC536" s="2"/>
      <c r="AD536" s="2"/>
      <c r="AE536" s="3"/>
      <c r="AF536" s="3" t="s">
        <v>6064</v>
      </c>
      <c r="AG536" s="2"/>
      <c r="AH536" s="2" t="s">
        <v>263</v>
      </c>
      <c r="AI536" s="3" t="s">
        <v>6065</v>
      </c>
      <c r="AJ536" s="3" t="s">
        <v>6066</v>
      </c>
      <c r="AK536" s="2"/>
      <c r="AL536" s="3" t="s">
        <v>6067</v>
      </c>
      <c r="AM536" s="2"/>
      <c r="AN536" s="2"/>
      <c r="AO536" s="3"/>
      <c r="AP536" s="3"/>
      <c r="AQ536" s="2"/>
    </row>
    <row r="537" customFormat="false" ht="68.65" hidden="false" customHeight="false" outlineLevel="0" collapsed="false">
      <c r="A537" s="2" t="n">
        <v>536</v>
      </c>
      <c r="B537" s="2" t="s">
        <v>6068</v>
      </c>
      <c r="C537" s="2" t="s">
        <v>5748</v>
      </c>
      <c r="D537" s="2" t="s">
        <v>5891</v>
      </c>
      <c r="E537" s="2" t="s">
        <v>6069</v>
      </c>
      <c r="F537" s="2" t="s">
        <v>6070</v>
      </c>
      <c r="G537" s="3"/>
      <c r="H537" s="2"/>
      <c r="I537" s="2" t="s">
        <v>93</v>
      </c>
      <c r="J537" s="3" t="s">
        <v>6071</v>
      </c>
      <c r="K537" s="2" t="s">
        <v>6072</v>
      </c>
      <c r="L537" s="2" t="s">
        <v>723</v>
      </c>
      <c r="M537" s="2"/>
      <c r="N537" s="2"/>
      <c r="O537" s="2"/>
      <c r="P537" s="2" t="n">
        <v>41.25</v>
      </c>
      <c r="Q537" s="2" t="n">
        <v>41.05</v>
      </c>
      <c r="R537" s="2" t="s">
        <v>637</v>
      </c>
      <c r="S537" s="2" t="n">
        <v>-340</v>
      </c>
      <c r="T537" s="2" t="s">
        <v>2765</v>
      </c>
      <c r="U537" s="2" t="s">
        <v>56</v>
      </c>
      <c r="V537" s="2" t="s">
        <v>97</v>
      </c>
      <c r="W537" s="2" t="s">
        <v>168</v>
      </c>
      <c r="X537" s="2" t="s">
        <v>59</v>
      </c>
      <c r="Y537" s="2" t="s">
        <v>409</v>
      </c>
      <c r="Z537" s="2" t="s">
        <v>61</v>
      </c>
      <c r="AA537" s="2" t="s">
        <v>81</v>
      </c>
      <c r="AB537" s="2" t="s">
        <v>81</v>
      </c>
      <c r="AC537" s="2"/>
      <c r="AD537" s="2"/>
      <c r="AE537" s="3"/>
      <c r="AF537" s="3" t="s">
        <v>6073</v>
      </c>
      <c r="AG537" s="2"/>
      <c r="AH537" s="2" t="s">
        <v>263</v>
      </c>
      <c r="AI537" s="3" t="s">
        <v>6074</v>
      </c>
      <c r="AJ537" s="3" t="s">
        <v>6075</v>
      </c>
      <c r="AK537" s="2"/>
      <c r="AL537" s="3" t="s">
        <v>6076</v>
      </c>
      <c r="AM537" s="2"/>
      <c r="AN537" s="2"/>
      <c r="AO537" s="3"/>
      <c r="AP537" s="3"/>
      <c r="AQ537" s="2"/>
    </row>
    <row r="538" customFormat="false" ht="57.45" hidden="false" customHeight="false" outlineLevel="0" collapsed="false">
      <c r="A538" s="2" t="n">
        <v>537</v>
      </c>
      <c r="B538" s="2" t="s">
        <v>6077</v>
      </c>
      <c r="C538" s="2" t="s">
        <v>5748</v>
      </c>
      <c r="D538" s="2" t="s">
        <v>5891</v>
      </c>
      <c r="E538" s="2" t="s">
        <v>6078</v>
      </c>
      <c r="F538" s="2" t="s">
        <v>6079</v>
      </c>
      <c r="G538" s="3" t="s">
        <v>6080</v>
      </c>
      <c r="H538" s="2" t="s">
        <v>6081</v>
      </c>
      <c r="I538" s="2" t="s">
        <v>49</v>
      </c>
      <c r="J538" s="3" t="s">
        <v>6082</v>
      </c>
      <c r="K538" s="2" t="s">
        <v>6083</v>
      </c>
      <c r="L538" s="2" t="s">
        <v>723</v>
      </c>
      <c r="M538" s="2"/>
      <c r="N538" s="2"/>
      <c r="O538" s="2" t="s">
        <v>53</v>
      </c>
      <c r="P538" s="2" t="n">
        <v>40.4172</v>
      </c>
      <c r="Q538" s="2" t="n">
        <v>39.6658</v>
      </c>
      <c r="R538" s="2" t="s">
        <v>95</v>
      </c>
      <c r="S538" s="2" t="n">
        <v>900</v>
      </c>
      <c r="T538" s="2" t="s">
        <v>437</v>
      </c>
      <c r="U538" s="2" t="s">
        <v>56</v>
      </c>
      <c r="V538" s="2" t="s">
        <v>78</v>
      </c>
      <c r="W538" s="2" t="s">
        <v>304</v>
      </c>
      <c r="X538" s="2" t="s">
        <v>169</v>
      </c>
      <c r="Y538" s="2"/>
      <c r="Z538" s="2" t="s">
        <v>170</v>
      </c>
      <c r="AA538" s="2"/>
      <c r="AB538" s="2" t="s">
        <v>81</v>
      </c>
      <c r="AC538" s="2"/>
      <c r="AD538" s="2"/>
      <c r="AE538" s="3"/>
      <c r="AF538" s="3" t="s">
        <v>6084</v>
      </c>
      <c r="AG538" s="2" t="s">
        <v>6085</v>
      </c>
      <c r="AH538" s="2" t="s">
        <v>263</v>
      </c>
      <c r="AI538" s="3" t="s">
        <v>6086</v>
      </c>
      <c r="AJ538" s="3" t="s">
        <v>6087</v>
      </c>
      <c r="AK538" s="2"/>
      <c r="AL538" s="3" t="s">
        <v>6088</v>
      </c>
      <c r="AM538" s="2"/>
      <c r="AN538" s="2"/>
      <c r="AO538" s="3"/>
      <c r="AP538" s="3"/>
      <c r="AQ538" s="2"/>
    </row>
    <row r="539" customFormat="false" ht="57.45" hidden="false" customHeight="false" outlineLevel="0" collapsed="false">
      <c r="A539" s="2" t="n">
        <v>538</v>
      </c>
      <c r="B539" s="2" t="s">
        <v>6089</v>
      </c>
      <c r="C539" s="2" t="s">
        <v>5748</v>
      </c>
      <c r="D539" s="2" t="s">
        <v>5891</v>
      </c>
      <c r="E539" s="2" t="s">
        <v>6090</v>
      </c>
      <c r="F539" s="2" t="s">
        <v>6091</v>
      </c>
      <c r="G539" s="3" t="s">
        <v>6092</v>
      </c>
      <c r="H539" s="2"/>
      <c r="I539" s="2" t="s">
        <v>74</v>
      </c>
      <c r="J539" s="3" t="s">
        <v>6093</v>
      </c>
      <c r="K539" s="2" t="s">
        <v>6083</v>
      </c>
      <c r="L539" s="2" t="s">
        <v>723</v>
      </c>
      <c r="M539" s="2"/>
      <c r="N539" s="2"/>
      <c r="O539" s="2"/>
      <c r="P539" s="2" t="n">
        <v>40.239</v>
      </c>
      <c r="Q539" s="2" t="n">
        <v>39.154</v>
      </c>
      <c r="R539" s="2" t="s">
        <v>95</v>
      </c>
      <c r="S539" s="2" t="n">
        <v>950</v>
      </c>
      <c r="T539" s="2" t="s">
        <v>6094</v>
      </c>
      <c r="U539" s="2" t="s">
        <v>56</v>
      </c>
      <c r="V539" s="2" t="s">
        <v>78</v>
      </c>
      <c r="W539" s="2" t="s">
        <v>304</v>
      </c>
      <c r="X539" s="2" t="s">
        <v>169</v>
      </c>
      <c r="Y539" s="2"/>
      <c r="Z539" s="2" t="s">
        <v>170</v>
      </c>
      <c r="AA539" s="2"/>
      <c r="AB539" s="2" t="s">
        <v>63</v>
      </c>
      <c r="AC539" s="2" t="s">
        <v>77</v>
      </c>
      <c r="AD539" s="2"/>
      <c r="AE539" s="3"/>
      <c r="AF539" s="3" t="s">
        <v>6095</v>
      </c>
      <c r="AG539" s="2" t="s">
        <v>6096</v>
      </c>
      <c r="AH539" s="2" t="s">
        <v>263</v>
      </c>
      <c r="AI539" s="3" t="s">
        <v>6097</v>
      </c>
      <c r="AJ539" s="3" t="s">
        <v>6098</v>
      </c>
      <c r="AK539" s="2"/>
      <c r="AL539" s="3" t="s">
        <v>6099</v>
      </c>
      <c r="AM539" s="2"/>
      <c r="AN539" s="2"/>
      <c r="AO539" s="3" t="s">
        <v>6100</v>
      </c>
      <c r="AP539" s="3" t="s">
        <v>6101</v>
      </c>
      <c r="AQ539" s="2" t="s">
        <v>151</v>
      </c>
    </row>
    <row r="540" customFormat="false" ht="35.05" hidden="false" customHeight="false" outlineLevel="0" collapsed="false">
      <c r="A540" s="2" t="n">
        <v>539</v>
      </c>
      <c r="B540" s="2" t="s">
        <v>6102</v>
      </c>
      <c r="C540" s="2" t="s">
        <v>5748</v>
      </c>
      <c r="D540" s="2" t="s">
        <v>5749</v>
      </c>
      <c r="E540" s="2" t="s">
        <v>6103</v>
      </c>
      <c r="F540" s="2" t="s">
        <v>6104</v>
      </c>
      <c r="G540" s="3"/>
      <c r="H540" s="2" t="s">
        <v>6105</v>
      </c>
      <c r="I540" s="2" t="s">
        <v>123</v>
      </c>
      <c r="J540" s="3" t="s">
        <v>6106</v>
      </c>
      <c r="K540" s="2" t="s">
        <v>882</v>
      </c>
      <c r="L540" s="2" t="s">
        <v>723</v>
      </c>
      <c r="M540" s="2" t="s">
        <v>6105</v>
      </c>
      <c r="N540" s="2"/>
      <c r="O540" s="2" t="s">
        <v>53</v>
      </c>
      <c r="P540" s="2" t="n">
        <v>41.2231</v>
      </c>
      <c r="Q540" s="2" t="n">
        <v>31.9454</v>
      </c>
      <c r="R540" s="2" t="s">
        <v>95</v>
      </c>
      <c r="S540" s="2" t="n">
        <v>451</v>
      </c>
      <c r="T540" s="2" t="s">
        <v>2373</v>
      </c>
      <c r="U540" s="2" t="s">
        <v>56</v>
      </c>
      <c r="V540" s="2" t="s">
        <v>245</v>
      </c>
      <c r="W540" s="2" t="s">
        <v>304</v>
      </c>
      <c r="X540" s="2" t="s">
        <v>289</v>
      </c>
      <c r="Y540" s="2" t="s">
        <v>792</v>
      </c>
      <c r="Z540" s="2" t="s">
        <v>170</v>
      </c>
      <c r="AA540" s="2"/>
      <c r="AB540" s="2" t="s">
        <v>63</v>
      </c>
      <c r="AC540" s="2" t="s">
        <v>64</v>
      </c>
      <c r="AD540" s="2"/>
      <c r="AE540" s="3" t="s">
        <v>6107</v>
      </c>
      <c r="AF540" s="3" t="s">
        <v>6108</v>
      </c>
      <c r="AG540" s="2"/>
      <c r="AH540" s="2" t="s">
        <v>113</v>
      </c>
      <c r="AI540" s="3" t="s">
        <v>6109</v>
      </c>
      <c r="AJ540" s="3" t="s">
        <v>6110</v>
      </c>
      <c r="AK540" s="2" t="n">
        <v>844903</v>
      </c>
      <c r="AL540" s="3" t="s">
        <v>6111</v>
      </c>
      <c r="AM540" s="2"/>
      <c r="AN540" s="2"/>
      <c r="AO540" s="3"/>
      <c r="AP540" s="3"/>
      <c r="AQ540" s="2"/>
    </row>
    <row r="541" customFormat="false" ht="113.4" hidden="false" customHeight="false" outlineLevel="0" collapsed="false">
      <c r="A541" s="2" t="n">
        <v>540</v>
      </c>
      <c r="B541" s="2" t="s">
        <v>6112</v>
      </c>
      <c r="C541" s="2" t="s">
        <v>5748</v>
      </c>
      <c r="D541" s="2" t="s">
        <v>5749</v>
      </c>
      <c r="E541" s="2" t="s">
        <v>6113</v>
      </c>
      <c r="F541" s="2" t="s">
        <v>578</v>
      </c>
      <c r="G541" s="3" t="s">
        <v>6114</v>
      </c>
      <c r="H541" s="2"/>
      <c r="I541" s="2" t="s">
        <v>74</v>
      </c>
      <c r="J541" s="3" t="s">
        <v>6115</v>
      </c>
      <c r="K541" s="2" t="s">
        <v>6116</v>
      </c>
      <c r="L541" s="2" t="s">
        <v>723</v>
      </c>
      <c r="M541" s="2"/>
      <c r="N541" s="2"/>
      <c r="O541" s="2"/>
      <c r="P541" s="2" t="n">
        <v>40.926</v>
      </c>
      <c r="Q541" s="2" t="n">
        <v>32.4914</v>
      </c>
      <c r="R541" s="2" t="s">
        <v>54</v>
      </c>
      <c r="S541" s="2" t="n">
        <v>125</v>
      </c>
      <c r="T541" s="2" t="s">
        <v>138</v>
      </c>
      <c r="U541" s="2" t="s">
        <v>139</v>
      </c>
      <c r="V541" s="2" t="s">
        <v>97</v>
      </c>
      <c r="W541" s="2" t="s">
        <v>140</v>
      </c>
      <c r="X541" s="2" t="s">
        <v>141</v>
      </c>
      <c r="Y541" s="2" t="s">
        <v>6117</v>
      </c>
      <c r="Z541" s="2" t="s">
        <v>143</v>
      </c>
      <c r="AA541" s="2"/>
      <c r="AB541" s="2" t="s">
        <v>63</v>
      </c>
      <c r="AC541" s="2" t="s">
        <v>77</v>
      </c>
      <c r="AD541" s="2"/>
      <c r="AE541" s="3"/>
      <c r="AF541" s="3" t="s">
        <v>6118</v>
      </c>
      <c r="AG541" s="2"/>
      <c r="AH541" s="2" t="s">
        <v>54</v>
      </c>
      <c r="AI541" s="3" t="s">
        <v>6119</v>
      </c>
      <c r="AJ541" s="3" t="s">
        <v>6120</v>
      </c>
      <c r="AK541" s="2" t="n">
        <v>844959</v>
      </c>
      <c r="AL541" s="3" t="s">
        <v>6121</v>
      </c>
      <c r="AM541" s="2"/>
      <c r="AN541" s="2"/>
      <c r="AO541" s="3" t="s">
        <v>6122</v>
      </c>
      <c r="AP541" s="3" t="s">
        <v>6123</v>
      </c>
      <c r="AQ541" s="2" t="s">
        <v>89</v>
      </c>
    </row>
    <row r="542" customFormat="false" ht="23.85" hidden="false" customHeight="false" outlineLevel="0" collapsed="false">
      <c r="A542" s="2" t="n">
        <v>541</v>
      </c>
      <c r="B542" s="2" t="s">
        <v>6124</v>
      </c>
      <c r="C542" s="2" t="s">
        <v>5748</v>
      </c>
      <c r="D542" s="2" t="s">
        <v>5749</v>
      </c>
      <c r="E542" s="2" t="s">
        <v>6125</v>
      </c>
      <c r="F542" s="2" t="s">
        <v>6126</v>
      </c>
      <c r="G542" s="3"/>
      <c r="H542" s="2"/>
      <c r="I542" s="2" t="s">
        <v>93</v>
      </c>
      <c r="J542" s="3" t="s">
        <v>6127</v>
      </c>
      <c r="K542" s="2" t="s">
        <v>6116</v>
      </c>
      <c r="L542" s="2" t="s">
        <v>723</v>
      </c>
      <c r="M542" s="2"/>
      <c r="N542" s="2"/>
      <c r="O542" s="2"/>
      <c r="P542" s="2" t="n">
        <v>41.1396</v>
      </c>
      <c r="Q542" s="2" t="n">
        <v>32.6224</v>
      </c>
      <c r="R542" s="2" t="s">
        <v>95</v>
      </c>
      <c r="S542" s="2" t="n">
        <v>451</v>
      </c>
      <c r="T542" s="2" t="s">
        <v>2373</v>
      </c>
      <c r="U542" s="2" t="s">
        <v>56</v>
      </c>
      <c r="V542" s="2" t="s">
        <v>245</v>
      </c>
      <c r="W542" s="2" t="s">
        <v>304</v>
      </c>
      <c r="X542" s="2" t="s">
        <v>289</v>
      </c>
      <c r="Y542" s="2" t="s">
        <v>792</v>
      </c>
      <c r="Z542" s="2" t="s">
        <v>170</v>
      </c>
      <c r="AA542" s="2"/>
      <c r="AB542" s="2" t="s">
        <v>63</v>
      </c>
      <c r="AC542" s="2" t="s">
        <v>64</v>
      </c>
      <c r="AD542" s="2"/>
      <c r="AE542" s="3" t="s">
        <v>6128</v>
      </c>
      <c r="AF542" s="3" t="s">
        <v>6129</v>
      </c>
      <c r="AG542" s="2"/>
      <c r="AH542" s="2" t="s">
        <v>113</v>
      </c>
      <c r="AI542" s="3" t="s">
        <v>6130</v>
      </c>
      <c r="AJ542" s="3" t="s">
        <v>6131</v>
      </c>
      <c r="AK542" s="2" t="n">
        <v>845067</v>
      </c>
      <c r="AL542" s="3" t="s">
        <v>6111</v>
      </c>
      <c r="AM542" s="2"/>
      <c r="AN542" s="2"/>
      <c r="AO542" s="3"/>
      <c r="AP542" s="3"/>
      <c r="AQ542" s="2"/>
    </row>
    <row r="543" customFormat="false" ht="57.45" hidden="false" customHeight="false" outlineLevel="0" collapsed="false">
      <c r="A543" s="2" t="n">
        <v>542</v>
      </c>
      <c r="B543" s="2" t="s">
        <v>6132</v>
      </c>
      <c r="C543" s="2" t="s">
        <v>5748</v>
      </c>
      <c r="D543" s="2" t="s">
        <v>5749</v>
      </c>
      <c r="E543" s="2" t="s">
        <v>6133</v>
      </c>
      <c r="F543" s="2" t="s">
        <v>6134</v>
      </c>
      <c r="G543" s="3" t="s">
        <v>6135</v>
      </c>
      <c r="H543" s="2" t="s">
        <v>6136</v>
      </c>
      <c r="I543" s="2" t="s">
        <v>123</v>
      </c>
      <c r="J543" s="3" t="s">
        <v>6137</v>
      </c>
      <c r="K543" s="2" t="s">
        <v>6136</v>
      </c>
      <c r="L543" s="2" t="s">
        <v>3931</v>
      </c>
      <c r="M543" s="2" t="s">
        <v>581</v>
      </c>
      <c r="N543" s="2" t="s">
        <v>63</v>
      </c>
      <c r="O543" s="2" t="s">
        <v>422</v>
      </c>
      <c r="P543" s="2" t="n">
        <v>40.6013</v>
      </c>
      <c r="Q543" s="2" t="n">
        <v>33.6134</v>
      </c>
      <c r="R543" s="2" t="s">
        <v>54</v>
      </c>
      <c r="S543" s="2" t="n">
        <v>-5</v>
      </c>
      <c r="T543" s="2" t="s">
        <v>6138</v>
      </c>
      <c r="U543" s="2" t="s">
        <v>139</v>
      </c>
      <c r="V543" s="2" t="s">
        <v>57</v>
      </c>
      <c r="W543" s="2" t="s">
        <v>140</v>
      </c>
      <c r="X543" s="2" t="s">
        <v>141</v>
      </c>
      <c r="Y543" s="2" t="s">
        <v>6139</v>
      </c>
      <c r="Z543" s="2" t="s">
        <v>143</v>
      </c>
      <c r="AA543" s="2"/>
      <c r="AB543" s="2" t="s">
        <v>63</v>
      </c>
      <c r="AC543" s="2" t="s">
        <v>64</v>
      </c>
      <c r="AD543" s="2"/>
      <c r="AE543" s="3" t="s">
        <v>6140</v>
      </c>
      <c r="AF543" s="3" t="s">
        <v>6141</v>
      </c>
      <c r="AG543" s="2"/>
      <c r="AH543" s="2" t="s">
        <v>54</v>
      </c>
      <c r="AI543" s="3" t="s">
        <v>6142</v>
      </c>
      <c r="AJ543" s="3" t="s">
        <v>6143</v>
      </c>
      <c r="AK543" s="2" t="n">
        <v>844926</v>
      </c>
      <c r="AL543" s="3" t="s">
        <v>6144</v>
      </c>
      <c r="AM543" s="2"/>
      <c r="AN543" s="2" t="s">
        <v>200</v>
      </c>
      <c r="AO543" s="3"/>
      <c r="AP543" s="3"/>
      <c r="AQ543" s="2"/>
    </row>
    <row r="544" customFormat="false" ht="57.45" hidden="false" customHeight="false" outlineLevel="0" collapsed="false">
      <c r="A544" s="2" t="n">
        <v>543</v>
      </c>
      <c r="B544" s="2" t="s">
        <v>6145</v>
      </c>
      <c r="C544" s="2" t="s">
        <v>5748</v>
      </c>
      <c r="D544" s="2" t="s">
        <v>5749</v>
      </c>
      <c r="E544" s="2" t="s">
        <v>6146</v>
      </c>
      <c r="F544" s="2" t="s">
        <v>6147</v>
      </c>
      <c r="G544" s="3" t="s">
        <v>6148</v>
      </c>
      <c r="H544" s="2"/>
      <c r="I544" s="2" t="s">
        <v>74</v>
      </c>
      <c r="J544" s="3" t="s">
        <v>6149</v>
      </c>
      <c r="K544" s="2" t="s">
        <v>5792</v>
      </c>
      <c r="L544" s="2" t="s">
        <v>723</v>
      </c>
      <c r="M544" s="2"/>
      <c r="N544" s="2"/>
      <c r="O544" s="2"/>
      <c r="P544" s="2" t="n">
        <v>41.5184</v>
      </c>
      <c r="Q544" s="2" t="n">
        <v>34.2141</v>
      </c>
      <c r="R544" s="2" t="s">
        <v>54</v>
      </c>
      <c r="S544" s="2" t="n">
        <v>-64</v>
      </c>
      <c r="T544" s="2" t="s">
        <v>6150</v>
      </c>
      <c r="U544" s="2" t="s">
        <v>139</v>
      </c>
      <c r="V544" s="2" t="s">
        <v>245</v>
      </c>
      <c r="W544" s="2" t="s">
        <v>195</v>
      </c>
      <c r="X544" s="2" t="s">
        <v>141</v>
      </c>
      <c r="Y544" s="2" t="s">
        <v>6151</v>
      </c>
      <c r="Z544" s="2" t="s">
        <v>6152</v>
      </c>
      <c r="AA544" s="2"/>
      <c r="AB544" s="2" t="s">
        <v>695</v>
      </c>
      <c r="AC544" s="2" t="s">
        <v>696</v>
      </c>
      <c r="AD544" s="2"/>
      <c r="AE544" s="3" t="s">
        <v>6153</v>
      </c>
      <c r="AF544" s="3" t="s">
        <v>6154</v>
      </c>
      <c r="AG544" s="2"/>
      <c r="AH544" s="2" t="s">
        <v>54</v>
      </c>
      <c r="AI544" s="3" t="s">
        <v>6155</v>
      </c>
      <c r="AJ544" s="3" t="s">
        <v>6156</v>
      </c>
      <c r="AK544" s="2" t="n">
        <v>845041</v>
      </c>
      <c r="AL544" s="3" t="s">
        <v>6157</v>
      </c>
      <c r="AM544" s="2"/>
      <c r="AN544" s="2"/>
      <c r="AO544" s="3" t="s">
        <v>6158</v>
      </c>
      <c r="AP544" s="3" t="s">
        <v>6159</v>
      </c>
      <c r="AQ544" s="2" t="s">
        <v>151</v>
      </c>
    </row>
    <row r="545" customFormat="false" ht="46.25" hidden="false" customHeight="false" outlineLevel="0" collapsed="false">
      <c r="A545" s="2" t="n">
        <v>544</v>
      </c>
      <c r="B545" s="2" t="s">
        <v>6160</v>
      </c>
      <c r="C545" s="2" t="s">
        <v>5748</v>
      </c>
      <c r="D545" s="2" t="s">
        <v>5749</v>
      </c>
      <c r="E545" s="2" t="s">
        <v>6161</v>
      </c>
      <c r="F545" s="2" t="s">
        <v>6162</v>
      </c>
      <c r="G545" s="3" t="s">
        <v>6163</v>
      </c>
      <c r="H545" s="2" t="s">
        <v>6164</v>
      </c>
      <c r="I545" s="2" t="s">
        <v>123</v>
      </c>
      <c r="J545" s="3" t="s">
        <v>6165</v>
      </c>
      <c r="K545" s="2" t="s">
        <v>6166</v>
      </c>
      <c r="L545" s="2" t="s">
        <v>723</v>
      </c>
      <c r="M545" s="2" t="s">
        <v>6164</v>
      </c>
      <c r="N545" s="2"/>
      <c r="O545" s="2" t="s">
        <v>53</v>
      </c>
      <c r="P545" s="2" t="n">
        <v>40.9781</v>
      </c>
      <c r="Q545" s="2" t="n">
        <v>34.8062</v>
      </c>
      <c r="R545" s="2" t="s">
        <v>95</v>
      </c>
      <c r="S545" s="2" t="n">
        <v>-110</v>
      </c>
      <c r="T545" s="2" t="s">
        <v>6167</v>
      </c>
      <c r="U545" s="2" t="s">
        <v>56</v>
      </c>
      <c r="V545" s="2" t="s">
        <v>57</v>
      </c>
      <c r="W545" s="2" t="s">
        <v>195</v>
      </c>
      <c r="X545" s="2" t="s">
        <v>289</v>
      </c>
      <c r="Y545" s="2" t="s">
        <v>6168</v>
      </c>
      <c r="Z545" s="2" t="s">
        <v>170</v>
      </c>
      <c r="AA545" s="2"/>
      <c r="AB545" s="2" t="s">
        <v>63</v>
      </c>
      <c r="AC545" s="2" t="s">
        <v>64</v>
      </c>
      <c r="AD545" s="2"/>
      <c r="AE545" s="3" t="s">
        <v>6169</v>
      </c>
      <c r="AF545" s="3" t="s">
        <v>6170</v>
      </c>
      <c r="AG545" s="2"/>
      <c r="AH545" s="2" t="s">
        <v>263</v>
      </c>
      <c r="AI545" s="3" t="s">
        <v>6171</v>
      </c>
      <c r="AJ545" s="3" t="s">
        <v>6172</v>
      </c>
      <c r="AK545" s="2" t="n">
        <v>845039</v>
      </c>
      <c r="AL545" s="3" t="s">
        <v>6173</v>
      </c>
      <c r="AM545" s="2"/>
      <c r="AN545" s="2"/>
      <c r="AO545" s="3"/>
      <c r="AP545" s="3"/>
      <c r="AQ545" s="2"/>
    </row>
    <row r="546" customFormat="false" ht="68.65" hidden="false" customHeight="false" outlineLevel="0" collapsed="false">
      <c r="A546" s="2" t="n">
        <v>545</v>
      </c>
      <c r="B546" s="2" t="s">
        <v>6174</v>
      </c>
      <c r="C546" s="2" t="s">
        <v>5748</v>
      </c>
      <c r="D546" s="2" t="s">
        <v>5891</v>
      </c>
      <c r="E546" s="2" t="s">
        <v>6175</v>
      </c>
      <c r="F546" s="2" t="s">
        <v>6176</v>
      </c>
      <c r="G546" s="3" t="s">
        <v>6177</v>
      </c>
      <c r="H546" s="2" t="s">
        <v>6178</v>
      </c>
      <c r="I546" s="2" t="s">
        <v>49</v>
      </c>
      <c r="J546" s="3" t="s">
        <v>6179</v>
      </c>
      <c r="K546" s="2" t="s">
        <v>6166</v>
      </c>
      <c r="L546" s="2" t="s">
        <v>723</v>
      </c>
      <c r="M546" s="2"/>
      <c r="N546" s="2"/>
      <c r="O546" s="2" t="s">
        <v>53</v>
      </c>
      <c r="P546" s="2" t="n">
        <v>40.5704</v>
      </c>
      <c r="Q546" s="2" t="n">
        <v>35.2669</v>
      </c>
      <c r="R546" s="2" t="s">
        <v>54</v>
      </c>
      <c r="S546" s="2" t="n">
        <v>516</v>
      </c>
      <c r="T546" s="2" t="s">
        <v>6180</v>
      </c>
      <c r="U546" s="2" t="s">
        <v>139</v>
      </c>
      <c r="V546" s="2" t="s">
        <v>57</v>
      </c>
      <c r="W546" s="2" t="s">
        <v>304</v>
      </c>
      <c r="X546" s="2" t="s">
        <v>141</v>
      </c>
      <c r="Y546" s="2" t="s">
        <v>6181</v>
      </c>
      <c r="Z546" s="2" t="s">
        <v>559</v>
      </c>
      <c r="AA546" s="2"/>
      <c r="AB546" s="2" t="s">
        <v>63</v>
      </c>
      <c r="AC546" s="2" t="s">
        <v>77</v>
      </c>
      <c r="AD546" s="2"/>
      <c r="AE546" s="3"/>
      <c r="AF546" s="3" t="s">
        <v>6182</v>
      </c>
      <c r="AG546" s="2"/>
      <c r="AH546" s="2" t="s">
        <v>54</v>
      </c>
      <c r="AI546" s="3" t="s">
        <v>6183</v>
      </c>
      <c r="AJ546" s="3" t="s">
        <v>6184</v>
      </c>
      <c r="AK546" s="2" t="n">
        <v>857120</v>
      </c>
      <c r="AL546" s="3" t="s">
        <v>6185</v>
      </c>
      <c r="AM546" s="2"/>
      <c r="AN546" s="2"/>
      <c r="AO546" s="3" t="s">
        <v>6186</v>
      </c>
      <c r="AP546" s="3" t="s">
        <v>6187</v>
      </c>
      <c r="AQ546" s="2" t="s">
        <v>106</v>
      </c>
    </row>
    <row r="547" customFormat="false" ht="35.05" hidden="false" customHeight="false" outlineLevel="0" collapsed="false">
      <c r="A547" s="2" t="n">
        <v>546</v>
      </c>
      <c r="B547" s="2" t="s">
        <v>6188</v>
      </c>
      <c r="C547" s="2" t="s">
        <v>5748</v>
      </c>
      <c r="D547" s="2" t="s">
        <v>5891</v>
      </c>
      <c r="E547" s="2" t="s">
        <v>6189</v>
      </c>
      <c r="F547" s="2" t="s">
        <v>6190</v>
      </c>
      <c r="G547" s="3" t="s">
        <v>6191</v>
      </c>
      <c r="H547" s="2" t="s">
        <v>6192</v>
      </c>
      <c r="I547" s="2" t="s">
        <v>123</v>
      </c>
      <c r="J547" s="3" t="s">
        <v>6193</v>
      </c>
      <c r="K547" s="2" t="s">
        <v>5896</v>
      </c>
      <c r="L547" s="2" t="s">
        <v>723</v>
      </c>
      <c r="M547" s="2" t="s">
        <v>6192</v>
      </c>
      <c r="N547" s="2"/>
      <c r="O547" s="2" t="s">
        <v>53</v>
      </c>
      <c r="P547" s="2" t="n">
        <v>41.1536</v>
      </c>
      <c r="Q547" s="2" t="n">
        <v>35.4621</v>
      </c>
      <c r="R547" s="2" t="s">
        <v>54</v>
      </c>
      <c r="S547" s="2" t="n">
        <v>-64</v>
      </c>
      <c r="T547" s="2" t="s">
        <v>6150</v>
      </c>
      <c r="U547" s="2" t="s">
        <v>139</v>
      </c>
      <c r="V547" s="2" t="s">
        <v>245</v>
      </c>
      <c r="W547" s="2" t="s">
        <v>195</v>
      </c>
      <c r="X547" s="2" t="s">
        <v>141</v>
      </c>
      <c r="Y547" s="2" t="s">
        <v>6151</v>
      </c>
      <c r="Z547" s="2" t="s">
        <v>6152</v>
      </c>
      <c r="AA547" s="2"/>
      <c r="AB547" s="2" t="s">
        <v>63</v>
      </c>
      <c r="AC547" s="2" t="s">
        <v>64</v>
      </c>
      <c r="AD547" s="2"/>
      <c r="AE547" s="3" t="s">
        <v>6194</v>
      </c>
      <c r="AF547" s="3" t="s">
        <v>6195</v>
      </c>
      <c r="AG547" s="2"/>
      <c r="AH547" s="2" t="s">
        <v>54</v>
      </c>
      <c r="AI547" s="3" t="s">
        <v>6196</v>
      </c>
      <c r="AJ547" s="3" t="s">
        <v>6197</v>
      </c>
      <c r="AK547" s="2" t="n">
        <v>857028</v>
      </c>
      <c r="AL547" s="3" t="s">
        <v>6198</v>
      </c>
      <c r="AM547" s="2"/>
      <c r="AN547" s="2"/>
      <c r="AO547" s="3"/>
      <c r="AP547" s="3"/>
      <c r="AQ547" s="2"/>
    </row>
    <row r="548" customFormat="false" ht="35.05" hidden="false" customHeight="false" outlineLevel="0" collapsed="false">
      <c r="A548" s="2" t="n">
        <v>547</v>
      </c>
      <c r="B548" s="2" t="s">
        <v>6199</v>
      </c>
      <c r="C548" s="2" t="s">
        <v>5748</v>
      </c>
      <c r="D548" s="2" t="s">
        <v>5891</v>
      </c>
      <c r="E548" s="2" t="s">
        <v>6200</v>
      </c>
      <c r="F548" s="2" t="s">
        <v>4855</v>
      </c>
      <c r="G548" s="3" t="s">
        <v>6201</v>
      </c>
      <c r="H548" s="2" t="s">
        <v>5624</v>
      </c>
      <c r="I548" s="2" t="s">
        <v>123</v>
      </c>
      <c r="J548" s="3" t="s">
        <v>6202</v>
      </c>
      <c r="K548" s="2" t="s">
        <v>5896</v>
      </c>
      <c r="L548" s="2" t="s">
        <v>723</v>
      </c>
      <c r="M548" s="2" t="s">
        <v>5624</v>
      </c>
      <c r="N548" s="2"/>
      <c r="O548" s="2" t="s">
        <v>5</v>
      </c>
      <c r="P548" s="2" t="n">
        <v>40.913</v>
      </c>
      <c r="Q548" s="2" t="n">
        <v>35.897</v>
      </c>
      <c r="R548" s="2" t="s">
        <v>95</v>
      </c>
      <c r="S548" s="2" t="n">
        <v>-120</v>
      </c>
      <c r="T548" s="2" t="s">
        <v>5818</v>
      </c>
      <c r="U548" s="2" t="s">
        <v>56</v>
      </c>
      <c r="V548" s="2" t="s">
        <v>97</v>
      </c>
      <c r="W548" s="2" t="s">
        <v>195</v>
      </c>
      <c r="X548" s="2" t="s">
        <v>246</v>
      </c>
      <c r="Y548" s="2" t="s">
        <v>6203</v>
      </c>
      <c r="Z548" s="2" t="s">
        <v>5975</v>
      </c>
      <c r="AA548" s="2"/>
      <c r="AB548" s="2" t="s">
        <v>81</v>
      </c>
      <c r="AC548" s="2"/>
      <c r="AD548" s="2"/>
      <c r="AE548" s="3"/>
      <c r="AF548" s="3" t="s">
        <v>6204</v>
      </c>
      <c r="AG548" s="2"/>
      <c r="AH548" s="2" t="s">
        <v>263</v>
      </c>
      <c r="AI548" s="3" t="s">
        <v>6205</v>
      </c>
      <c r="AJ548" s="3" t="s">
        <v>6206</v>
      </c>
      <c r="AK548" s="2" t="n">
        <v>857208</v>
      </c>
      <c r="AL548" s="3" t="s">
        <v>6207</v>
      </c>
      <c r="AM548" s="2"/>
      <c r="AN548" s="2" t="s">
        <v>200</v>
      </c>
      <c r="AO548" s="3" t="s">
        <v>6208</v>
      </c>
      <c r="AP548" s="3" t="s">
        <v>6209</v>
      </c>
      <c r="AQ548" s="2" t="s">
        <v>106</v>
      </c>
    </row>
    <row r="549" customFormat="false" ht="35.05" hidden="false" customHeight="false" outlineLevel="0" collapsed="false">
      <c r="A549" s="2" t="n">
        <v>548</v>
      </c>
      <c r="B549" s="2" t="s">
        <v>6210</v>
      </c>
      <c r="C549" s="2" t="s">
        <v>5748</v>
      </c>
      <c r="D549" s="2" t="s">
        <v>5891</v>
      </c>
      <c r="E549" s="2" t="s">
        <v>6211</v>
      </c>
      <c r="F549" s="2" t="s">
        <v>6212</v>
      </c>
      <c r="G549" s="3" t="s">
        <v>6213</v>
      </c>
      <c r="H549" s="2" t="s">
        <v>6214</v>
      </c>
      <c r="I549" s="2" t="s">
        <v>123</v>
      </c>
      <c r="J549" s="3" t="s">
        <v>6215</v>
      </c>
      <c r="K549" s="2" t="s">
        <v>6214</v>
      </c>
      <c r="L549" s="2" t="s">
        <v>723</v>
      </c>
      <c r="M549" s="2" t="s">
        <v>581</v>
      </c>
      <c r="N549" s="2" t="s">
        <v>63</v>
      </c>
      <c r="O549" s="2" t="s">
        <v>422</v>
      </c>
      <c r="P549" s="2" t="n">
        <v>40.6668</v>
      </c>
      <c r="Q549" s="2" t="n">
        <v>35.8279</v>
      </c>
      <c r="R549" s="2" t="s">
        <v>54</v>
      </c>
      <c r="S549" s="2" t="n">
        <v>-110</v>
      </c>
      <c r="T549" s="2" t="s">
        <v>6167</v>
      </c>
      <c r="U549" s="2" t="s">
        <v>56</v>
      </c>
      <c r="V549" s="2" t="s">
        <v>97</v>
      </c>
      <c r="W549" s="2" t="s">
        <v>195</v>
      </c>
      <c r="X549" s="2" t="s">
        <v>289</v>
      </c>
      <c r="Y549" s="2" t="s">
        <v>6216</v>
      </c>
      <c r="Z549" s="2" t="s">
        <v>170</v>
      </c>
      <c r="AA549" s="2"/>
      <c r="AB549" s="2" t="s">
        <v>63</v>
      </c>
      <c r="AC549" s="2" t="s">
        <v>64</v>
      </c>
      <c r="AD549" s="2"/>
      <c r="AE549" s="3" t="s">
        <v>6217</v>
      </c>
      <c r="AF549" s="3" t="s">
        <v>6218</v>
      </c>
      <c r="AG549" s="2"/>
      <c r="AH549" s="2" t="s">
        <v>54</v>
      </c>
      <c r="AI549" s="3" t="s">
        <v>6219</v>
      </c>
      <c r="AJ549" s="3" t="s">
        <v>6220</v>
      </c>
      <c r="AK549" s="2" t="n">
        <v>857018</v>
      </c>
      <c r="AL549" s="3" t="s">
        <v>6221</v>
      </c>
      <c r="AM549" s="2"/>
      <c r="AN549" s="2" t="s">
        <v>200</v>
      </c>
      <c r="AO549" s="3"/>
      <c r="AP549" s="3"/>
      <c r="AQ549" s="2"/>
    </row>
    <row r="550" customFormat="false" ht="46.25" hidden="false" customHeight="false" outlineLevel="0" collapsed="false">
      <c r="A550" s="2" t="n">
        <v>549</v>
      </c>
      <c r="B550" s="2" t="s">
        <v>6222</v>
      </c>
      <c r="C550" s="2" t="s">
        <v>5748</v>
      </c>
      <c r="D550" s="2" t="s">
        <v>5891</v>
      </c>
      <c r="E550" s="2" t="s">
        <v>6223</v>
      </c>
      <c r="F550" s="2" t="s">
        <v>6224</v>
      </c>
      <c r="G550" s="3"/>
      <c r="H550" s="2" t="s">
        <v>6225</v>
      </c>
      <c r="I550" s="2" t="s">
        <v>123</v>
      </c>
      <c r="J550" s="3" t="s">
        <v>6226</v>
      </c>
      <c r="K550" s="2" t="s">
        <v>6227</v>
      </c>
      <c r="L550" s="2" t="s">
        <v>723</v>
      </c>
      <c r="M550" s="2" t="s">
        <v>6225</v>
      </c>
      <c r="N550" s="2"/>
      <c r="O550" s="2" t="s">
        <v>53</v>
      </c>
      <c r="P550" s="2" t="n">
        <v>40.4041</v>
      </c>
      <c r="Q550" s="2" t="n">
        <v>36.0591</v>
      </c>
      <c r="R550" s="2" t="s">
        <v>54</v>
      </c>
      <c r="S550" s="2" t="n">
        <v>-110</v>
      </c>
      <c r="T550" s="2" t="s">
        <v>6167</v>
      </c>
      <c r="U550" s="2" t="s">
        <v>56</v>
      </c>
      <c r="V550" s="2" t="s">
        <v>97</v>
      </c>
      <c r="W550" s="2" t="s">
        <v>195</v>
      </c>
      <c r="X550" s="2" t="s">
        <v>289</v>
      </c>
      <c r="Y550" s="2" t="s">
        <v>6228</v>
      </c>
      <c r="Z550" s="2" t="s">
        <v>170</v>
      </c>
      <c r="AA550" s="2"/>
      <c r="AB550" s="2" t="s">
        <v>63</v>
      </c>
      <c r="AC550" s="2" t="s">
        <v>64</v>
      </c>
      <c r="AD550" s="2" t="s">
        <v>6229</v>
      </c>
      <c r="AE550" s="3" t="s">
        <v>6230</v>
      </c>
      <c r="AF550" s="3" t="s">
        <v>6231</v>
      </c>
      <c r="AG550" s="2"/>
      <c r="AH550" s="2" t="s">
        <v>113</v>
      </c>
      <c r="AI550" s="3" t="s">
        <v>6232</v>
      </c>
      <c r="AJ550" s="3" t="s">
        <v>6233</v>
      </c>
      <c r="AK550" s="2" t="n">
        <v>857134</v>
      </c>
      <c r="AL550" s="3" t="s">
        <v>6234</v>
      </c>
      <c r="AM550" s="2"/>
      <c r="AN550" s="2"/>
      <c r="AO550" s="3"/>
      <c r="AP550" s="3"/>
      <c r="AQ550" s="2"/>
    </row>
    <row r="551" customFormat="false" ht="23.85" hidden="false" customHeight="false" outlineLevel="0" collapsed="false">
      <c r="A551" s="2" t="n">
        <v>550</v>
      </c>
      <c r="B551" s="2" t="s">
        <v>6235</v>
      </c>
      <c r="C551" s="2" t="s">
        <v>5748</v>
      </c>
      <c r="D551" s="2" t="s">
        <v>5891</v>
      </c>
      <c r="E551" s="2" t="s">
        <v>6236</v>
      </c>
      <c r="F551" s="2" t="s">
        <v>6237</v>
      </c>
      <c r="G551" s="3" t="s">
        <v>6238</v>
      </c>
      <c r="H551" s="2" t="s">
        <v>6239</v>
      </c>
      <c r="I551" s="2" t="s">
        <v>123</v>
      </c>
      <c r="J551" s="3" t="s">
        <v>6240</v>
      </c>
      <c r="K551" s="2" t="s">
        <v>6227</v>
      </c>
      <c r="L551" s="2" t="s">
        <v>723</v>
      </c>
      <c r="M551" s="2" t="s">
        <v>6239</v>
      </c>
      <c r="N551" s="2"/>
      <c r="O551" s="2" t="s">
        <v>422</v>
      </c>
      <c r="P551" s="2" t="n">
        <v>40.3039</v>
      </c>
      <c r="Q551" s="2" t="n">
        <v>35.8902</v>
      </c>
      <c r="R551" s="2" t="s">
        <v>54</v>
      </c>
      <c r="S551" s="2" t="n">
        <v>-64</v>
      </c>
      <c r="T551" s="2" t="s">
        <v>6150</v>
      </c>
      <c r="U551" s="2" t="s">
        <v>139</v>
      </c>
      <c r="V551" s="2" t="s">
        <v>245</v>
      </c>
      <c r="W551" s="2" t="s">
        <v>195</v>
      </c>
      <c r="X551" s="2" t="s">
        <v>141</v>
      </c>
      <c r="Y551" s="2" t="s">
        <v>6241</v>
      </c>
      <c r="Z551" s="2" t="s">
        <v>6152</v>
      </c>
      <c r="AA551" s="2"/>
      <c r="AB551" s="2" t="s">
        <v>63</v>
      </c>
      <c r="AC551" s="2" t="s">
        <v>64</v>
      </c>
      <c r="AD551" s="2"/>
      <c r="AE551" s="3" t="s">
        <v>6242</v>
      </c>
      <c r="AF551" s="3" t="s">
        <v>6243</v>
      </c>
      <c r="AG551" s="2"/>
      <c r="AH551" s="2" t="s">
        <v>54</v>
      </c>
      <c r="AI551" s="3" t="s">
        <v>6244</v>
      </c>
      <c r="AJ551" s="3" t="s">
        <v>6245</v>
      </c>
      <c r="AK551" s="2" t="n">
        <v>857382</v>
      </c>
      <c r="AL551" s="3" t="s">
        <v>6246</v>
      </c>
      <c r="AM551" s="2"/>
      <c r="AN551" s="2" t="s">
        <v>200</v>
      </c>
      <c r="AO551" s="3"/>
      <c r="AP551" s="3"/>
      <c r="AQ551" s="2"/>
    </row>
    <row r="552" customFormat="false" ht="35.05" hidden="false" customHeight="false" outlineLevel="0" collapsed="false">
      <c r="A552" s="2" t="n">
        <v>551</v>
      </c>
      <c r="B552" s="2" t="s">
        <v>6247</v>
      </c>
      <c r="C552" s="2" t="s">
        <v>5748</v>
      </c>
      <c r="D552" s="2" t="s">
        <v>5891</v>
      </c>
      <c r="E552" s="2" t="s">
        <v>6248</v>
      </c>
      <c r="F552" s="2" t="s">
        <v>6249</v>
      </c>
      <c r="G552" s="3" t="s">
        <v>6250</v>
      </c>
      <c r="H552" s="2" t="s">
        <v>6251</v>
      </c>
      <c r="I552" s="2" t="s">
        <v>49</v>
      </c>
      <c r="J552" s="3" t="s">
        <v>6252</v>
      </c>
      <c r="K552" s="2" t="s">
        <v>6227</v>
      </c>
      <c r="L552" s="2" t="s">
        <v>723</v>
      </c>
      <c r="M552" s="2"/>
      <c r="N552" s="2"/>
      <c r="O552" s="2" t="s">
        <v>422</v>
      </c>
      <c r="P552" s="2" t="n">
        <v>40.3576</v>
      </c>
      <c r="Q552" s="2" t="n">
        <v>36.6387</v>
      </c>
      <c r="R552" s="2" t="s">
        <v>54</v>
      </c>
      <c r="S552" s="2" t="n">
        <v>-110</v>
      </c>
      <c r="T552" s="2" t="s">
        <v>6167</v>
      </c>
      <c r="U552" s="2" t="s">
        <v>56</v>
      </c>
      <c r="V552" s="2" t="s">
        <v>97</v>
      </c>
      <c r="W552" s="2" t="s">
        <v>195</v>
      </c>
      <c r="X552" s="2" t="s">
        <v>289</v>
      </c>
      <c r="Y552" s="2" t="s">
        <v>6253</v>
      </c>
      <c r="Z552" s="2" t="s">
        <v>170</v>
      </c>
      <c r="AA552" s="2"/>
      <c r="AB552" s="2" t="s">
        <v>63</v>
      </c>
      <c r="AC552" s="2" t="s">
        <v>64</v>
      </c>
      <c r="AD552" s="2"/>
      <c r="AE552" s="3" t="s">
        <v>6254</v>
      </c>
      <c r="AF552" s="3" t="s">
        <v>6255</v>
      </c>
      <c r="AG552" s="2"/>
      <c r="AH552" s="2" t="s">
        <v>54</v>
      </c>
      <c r="AI552" s="3" t="s">
        <v>6256</v>
      </c>
      <c r="AJ552" s="3" t="s">
        <v>6257</v>
      </c>
      <c r="AK552" s="2" t="n">
        <v>857095</v>
      </c>
      <c r="AL552" s="3" t="s">
        <v>6258</v>
      </c>
      <c r="AM552" s="2"/>
      <c r="AN552" s="2" t="s">
        <v>200</v>
      </c>
      <c r="AO552" s="3"/>
      <c r="AP552" s="3"/>
      <c r="AQ552" s="2"/>
    </row>
    <row r="553" customFormat="false" ht="46.25" hidden="false" customHeight="false" outlineLevel="0" collapsed="false">
      <c r="A553" s="2" t="n">
        <v>552</v>
      </c>
      <c r="B553" s="2" t="s">
        <v>6259</v>
      </c>
      <c r="C553" s="2" t="s">
        <v>5748</v>
      </c>
      <c r="D553" s="2" t="s">
        <v>5891</v>
      </c>
      <c r="E553" s="2" t="s">
        <v>6260</v>
      </c>
      <c r="F553" s="2" t="s">
        <v>6261</v>
      </c>
      <c r="G553" s="3" t="s">
        <v>6262</v>
      </c>
      <c r="H553" s="2"/>
      <c r="I553" s="2" t="s">
        <v>93</v>
      </c>
      <c r="J553" s="3" t="s">
        <v>6263</v>
      </c>
      <c r="K553" s="2" t="s">
        <v>6227</v>
      </c>
      <c r="L553" s="2" t="s">
        <v>723</v>
      </c>
      <c r="M553" s="2"/>
      <c r="N553" s="2"/>
      <c r="O553" s="2"/>
      <c r="P553" s="2" t="n">
        <v>40.78</v>
      </c>
      <c r="Q553" s="2" t="n">
        <v>36.45</v>
      </c>
      <c r="R553" s="2" t="s">
        <v>95</v>
      </c>
      <c r="S553" s="2" t="n">
        <v>-100</v>
      </c>
      <c r="T553" s="2" t="s">
        <v>2084</v>
      </c>
      <c r="U553" s="2" t="s">
        <v>139</v>
      </c>
      <c r="V553" s="2" t="s">
        <v>97</v>
      </c>
      <c r="W553" s="2" t="s">
        <v>195</v>
      </c>
      <c r="X553" s="2" t="s">
        <v>246</v>
      </c>
      <c r="Y553" s="2" t="s">
        <v>6264</v>
      </c>
      <c r="Z553" s="2" t="s">
        <v>5975</v>
      </c>
      <c r="AA553" s="2"/>
      <c r="AB553" s="2" t="s">
        <v>695</v>
      </c>
      <c r="AC553" s="2" t="s">
        <v>696</v>
      </c>
      <c r="AD553" s="2"/>
      <c r="AE553" s="3"/>
      <c r="AF553" s="3" t="s">
        <v>6265</v>
      </c>
      <c r="AG553" s="2"/>
      <c r="AH553" s="2" t="s">
        <v>113</v>
      </c>
      <c r="AI553" s="3" t="s">
        <v>6266</v>
      </c>
      <c r="AJ553" s="3" t="s">
        <v>6267</v>
      </c>
      <c r="AK553" s="2" t="n">
        <v>857122</v>
      </c>
      <c r="AL553" s="3" t="s">
        <v>6268</v>
      </c>
      <c r="AM553" s="2"/>
      <c r="AN553" s="2"/>
      <c r="AO553" s="3" t="s">
        <v>6269</v>
      </c>
      <c r="AP553" s="3" t="s">
        <v>6270</v>
      </c>
      <c r="AQ553" s="2" t="s">
        <v>89</v>
      </c>
    </row>
    <row r="554" customFormat="false" ht="23.85" hidden="false" customHeight="false" outlineLevel="0" collapsed="false">
      <c r="A554" s="2" t="n">
        <v>553</v>
      </c>
      <c r="B554" s="2" t="s">
        <v>6271</v>
      </c>
      <c r="C554" s="2" t="s">
        <v>5748</v>
      </c>
      <c r="D554" s="2" t="s">
        <v>5891</v>
      </c>
      <c r="E554" s="2" t="s">
        <v>6272</v>
      </c>
      <c r="F554" s="2" t="s">
        <v>6273</v>
      </c>
      <c r="G554" s="3"/>
      <c r="H554" s="2" t="s">
        <v>6274</v>
      </c>
      <c r="I554" s="2" t="s">
        <v>49</v>
      </c>
      <c r="J554" s="3" t="s">
        <v>6275</v>
      </c>
      <c r="K554" s="2" t="s">
        <v>6227</v>
      </c>
      <c r="L554" s="2" t="s">
        <v>723</v>
      </c>
      <c r="M554" s="2"/>
      <c r="N554" s="2"/>
      <c r="O554" s="2" t="s">
        <v>422</v>
      </c>
      <c r="P554" s="2" t="n">
        <v>40.6169</v>
      </c>
      <c r="Q554" s="2" t="n">
        <v>36.5933</v>
      </c>
      <c r="R554" s="2" t="s">
        <v>54</v>
      </c>
      <c r="S554" s="2" t="n">
        <v>381</v>
      </c>
      <c r="T554" s="2" t="s">
        <v>5553</v>
      </c>
      <c r="U554" s="2" t="s">
        <v>56</v>
      </c>
      <c r="V554" s="2" t="s">
        <v>245</v>
      </c>
      <c r="W554" s="2" t="s">
        <v>304</v>
      </c>
      <c r="X554" s="2" t="s">
        <v>289</v>
      </c>
      <c r="Y554" s="2"/>
      <c r="Z554" s="2" t="s">
        <v>170</v>
      </c>
      <c r="AA554" s="2"/>
      <c r="AB554" s="2" t="s">
        <v>63</v>
      </c>
      <c r="AC554" s="2" t="s">
        <v>64</v>
      </c>
      <c r="AD554" s="2"/>
      <c r="AE554" s="3" t="s">
        <v>6276</v>
      </c>
      <c r="AF554" s="3" t="s">
        <v>6277</v>
      </c>
      <c r="AG554" s="2"/>
      <c r="AH554" s="2" t="s">
        <v>54</v>
      </c>
      <c r="AI554" s="3" t="s">
        <v>6278</v>
      </c>
      <c r="AJ554" s="3" t="s">
        <v>6279</v>
      </c>
      <c r="AK554" s="2" t="n">
        <v>857169</v>
      </c>
      <c r="AL554" s="3" t="s">
        <v>6280</v>
      </c>
      <c r="AM554" s="2"/>
      <c r="AN554" s="2" t="s">
        <v>200</v>
      </c>
      <c r="AO554" s="3"/>
      <c r="AP554" s="3"/>
      <c r="AQ554" s="2"/>
    </row>
    <row r="555" customFormat="false" ht="57.45" hidden="false" customHeight="false" outlineLevel="0" collapsed="false">
      <c r="A555" s="2" t="n">
        <v>554</v>
      </c>
      <c r="B555" s="2" t="s">
        <v>6281</v>
      </c>
      <c r="C555" s="2" t="s">
        <v>5748</v>
      </c>
      <c r="D555" s="2" t="s">
        <v>5891</v>
      </c>
      <c r="E555" s="2" t="s">
        <v>6282</v>
      </c>
      <c r="F555" s="2" t="s">
        <v>633</v>
      </c>
      <c r="G555" s="3" t="s">
        <v>6283</v>
      </c>
      <c r="H555" s="2" t="s">
        <v>6284</v>
      </c>
      <c r="I555" s="2" t="s">
        <v>123</v>
      </c>
      <c r="J555" s="3" t="s">
        <v>6285</v>
      </c>
      <c r="K555" s="2" t="s">
        <v>6227</v>
      </c>
      <c r="L555" s="2" t="s">
        <v>723</v>
      </c>
      <c r="M555" s="2" t="s">
        <v>6284</v>
      </c>
      <c r="N555" s="2"/>
      <c r="O555" s="2" t="s">
        <v>582</v>
      </c>
      <c r="P555" s="2" t="n">
        <v>40.5917</v>
      </c>
      <c r="Q555" s="2" t="n">
        <v>36.9517</v>
      </c>
      <c r="R555" s="2" t="s">
        <v>54</v>
      </c>
      <c r="S555" s="2" t="n">
        <v>-110</v>
      </c>
      <c r="T555" s="2" t="s">
        <v>6167</v>
      </c>
      <c r="U555" s="2" t="s">
        <v>56</v>
      </c>
      <c r="V555" s="2" t="s">
        <v>97</v>
      </c>
      <c r="W555" s="2" t="s">
        <v>195</v>
      </c>
      <c r="X555" s="2" t="s">
        <v>289</v>
      </c>
      <c r="Y555" s="2" t="s">
        <v>6286</v>
      </c>
      <c r="Z555" s="2" t="s">
        <v>170</v>
      </c>
      <c r="AA555" s="2"/>
      <c r="AB555" s="2" t="s">
        <v>63</v>
      </c>
      <c r="AC555" s="2" t="s">
        <v>64</v>
      </c>
      <c r="AD555" s="2"/>
      <c r="AE555" s="3" t="s">
        <v>6287</v>
      </c>
      <c r="AF555" s="3" t="s">
        <v>6288</v>
      </c>
      <c r="AG555" s="2"/>
      <c r="AH555" s="2" t="s">
        <v>54</v>
      </c>
      <c r="AI555" s="3" t="s">
        <v>6289</v>
      </c>
      <c r="AJ555" s="3" t="s">
        <v>6290</v>
      </c>
      <c r="AK555" s="2" t="n">
        <v>857177</v>
      </c>
      <c r="AL555" s="3" t="s">
        <v>6291</v>
      </c>
      <c r="AM555" s="2"/>
      <c r="AN555" s="2" t="s">
        <v>200</v>
      </c>
      <c r="AO555" s="3"/>
      <c r="AP555" s="3"/>
      <c r="AQ555" s="2"/>
    </row>
    <row r="556" customFormat="false" ht="35.05" hidden="false" customHeight="false" outlineLevel="0" collapsed="false">
      <c r="A556" s="2" t="n">
        <v>555</v>
      </c>
      <c r="B556" s="2" t="s">
        <v>6292</v>
      </c>
      <c r="C556" s="2" t="s">
        <v>5748</v>
      </c>
      <c r="D556" s="2" t="s">
        <v>5891</v>
      </c>
      <c r="E556" s="2" t="s">
        <v>6293</v>
      </c>
      <c r="F556" s="2" t="s">
        <v>6294</v>
      </c>
      <c r="G556" s="3"/>
      <c r="H556" s="2"/>
      <c r="I556" s="2" t="s">
        <v>93</v>
      </c>
      <c r="J556" s="3" t="s">
        <v>6295</v>
      </c>
      <c r="K556" s="2" t="s">
        <v>6227</v>
      </c>
      <c r="L556" s="2" t="s">
        <v>723</v>
      </c>
      <c r="M556" s="2"/>
      <c r="N556" s="2"/>
      <c r="O556" s="2"/>
      <c r="P556" s="2" t="n">
        <v>40.5</v>
      </c>
      <c r="Q556" s="2" t="n">
        <v>36.5</v>
      </c>
      <c r="R556" s="2" t="s">
        <v>637</v>
      </c>
      <c r="S556" s="2" t="n">
        <v>-100</v>
      </c>
      <c r="T556" s="2" t="s">
        <v>2084</v>
      </c>
      <c r="U556" s="2" t="s">
        <v>56</v>
      </c>
      <c r="V556" s="2" t="s">
        <v>97</v>
      </c>
      <c r="W556" s="2" t="s">
        <v>195</v>
      </c>
      <c r="X556" s="2" t="s">
        <v>289</v>
      </c>
      <c r="Y556" s="2"/>
      <c r="Z556" s="2" t="s">
        <v>170</v>
      </c>
      <c r="AA556" s="2"/>
      <c r="AB556" s="2" t="s">
        <v>63</v>
      </c>
      <c r="AC556" s="2" t="s">
        <v>64</v>
      </c>
      <c r="AD556" s="2"/>
      <c r="AE556" s="3" t="s">
        <v>6296</v>
      </c>
      <c r="AF556" s="3" t="s">
        <v>6297</v>
      </c>
      <c r="AG556" s="2"/>
      <c r="AH556" s="2" t="s">
        <v>263</v>
      </c>
      <c r="AI556" s="3" t="s">
        <v>6298</v>
      </c>
      <c r="AJ556" s="3" t="s">
        <v>6299</v>
      </c>
      <c r="AK556" s="2"/>
      <c r="AL556" s="3" t="s">
        <v>6300</v>
      </c>
      <c r="AM556" s="2"/>
      <c r="AN556" s="2"/>
      <c r="AO556" s="3"/>
      <c r="AP556" s="3"/>
      <c r="AQ556" s="2"/>
    </row>
    <row r="557" customFormat="false" ht="35.05" hidden="false" customHeight="false" outlineLevel="0" collapsed="false">
      <c r="A557" s="2" t="n">
        <v>556</v>
      </c>
      <c r="B557" s="2" t="s">
        <v>6301</v>
      </c>
      <c r="C557" s="2" t="s">
        <v>5748</v>
      </c>
      <c r="D557" s="2" t="s">
        <v>5891</v>
      </c>
      <c r="E557" s="2" t="s">
        <v>6302</v>
      </c>
      <c r="F557" s="2" t="s">
        <v>6303</v>
      </c>
      <c r="G557" s="3" t="s">
        <v>6304</v>
      </c>
      <c r="H557" s="2"/>
      <c r="I557" s="2" t="s">
        <v>93</v>
      </c>
      <c r="J557" s="3" t="s">
        <v>6305</v>
      </c>
      <c r="K557" s="2" t="s">
        <v>6227</v>
      </c>
      <c r="L557" s="2" t="s">
        <v>723</v>
      </c>
      <c r="M557" s="2"/>
      <c r="N557" s="2"/>
      <c r="O557" s="2"/>
      <c r="P557" s="2" t="n">
        <v>40.1703</v>
      </c>
      <c r="Q557" s="2" t="n">
        <v>37.2538</v>
      </c>
      <c r="R557" s="2" t="s">
        <v>637</v>
      </c>
      <c r="S557" s="2" t="n">
        <v>-110</v>
      </c>
      <c r="T557" s="2" t="s">
        <v>6167</v>
      </c>
      <c r="U557" s="2" t="s">
        <v>56</v>
      </c>
      <c r="V557" s="2" t="s">
        <v>97</v>
      </c>
      <c r="W557" s="2" t="s">
        <v>195</v>
      </c>
      <c r="X557" s="2" t="s">
        <v>289</v>
      </c>
      <c r="Y557" s="2"/>
      <c r="Z557" s="2" t="s">
        <v>170</v>
      </c>
      <c r="AA557" s="2"/>
      <c r="AB557" s="2" t="s">
        <v>63</v>
      </c>
      <c r="AC557" s="2" t="s">
        <v>64</v>
      </c>
      <c r="AD557" s="2"/>
      <c r="AE557" s="3" t="s">
        <v>6306</v>
      </c>
      <c r="AF557" s="3" t="s">
        <v>6297</v>
      </c>
      <c r="AG557" s="2"/>
      <c r="AH557" s="2" t="s">
        <v>263</v>
      </c>
      <c r="AI557" s="3" t="s">
        <v>6307</v>
      </c>
      <c r="AJ557" s="3" t="s">
        <v>6308</v>
      </c>
      <c r="AK557" s="2" t="n">
        <v>857345</v>
      </c>
      <c r="AL557" s="3" t="s">
        <v>6309</v>
      </c>
      <c r="AM557" s="2"/>
      <c r="AN557" s="2"/>
      <c r="AO557" s="3"/>
      <c r="AP557" s="3"/>
      <c r="AQ557" s="2"/>
    </row>
    <row r="558" customFormat="false" ht="35.05" hidden="false" customHeight="false" outlineLevel="0" collapsed="false">
      <c r="A558" s="2" t="n">
        <v>557</v>
      </c>
      <c r="B558" s="2" t="s">
        <v>6310</v>
      </c>
      <c r="C558" s="2" t="s">
        <v>5748</v>
      </c>
      <c r="D558" s="2" t="s">
        <v>5891</v>
      </c>
      <c r="E558" s="2" t="s">
        <v>6311</v>
      </c>
      <c r="F558" s="2" t="s">
        <v>6312</v>
      </c>
      <c r="G558" s="3" t="s">
        <v>6313</v>
      </c>
      <c r="H558" s="2" t="s">
        <v>6314</v>
      </c>
      <c r="I558" s="2" t="s">
        <v>49</v>
      </c>
      <c r="J558" s="3" t="s">
        <v>6315</v>
      </c>
      <c r="K558" s="2" t="s">
        <v>6227</v>
      </c>
      <c r="L558" s="2" t="s">
        <v>723</v>
      </c>
      <c r="M558" s="2"/>
      <c r="N558" s="2"/>
      <c r="O558" s="2" t="s">
        <v>53</v>
      </c>
      <c r="P558" s="2" t="n">
        <v>40.1028</v>
      </c>
      <c r="Q558" s="2" t="n">
        <v>36.4841</v>
      </c>
      <c r="R558" s="2" t="s">
        <v>54</v>
      </c>
      <c r="S558" s="2" t="n">
        <v>458</v>
      </c>
      <c r="T558" s="2" t="s">
        <v>6316</v>
      </c>
      <c r="U558" s="2" t="s">
        <v>56</v>
      </c>
      <c r="V558" s="2" t="s">
        <v>245</v>
      </c>
      <c r="W558" s="2" t="s">
        <v>304</v>
      </c>
      <c r="X558" s="2" t="s">
        <v>289</v>
      </c>
      <c r="Y558" s="2"/>
      <c r="Z558" s="2" t="s">
        <v>170</v>
      </c>
      <c r="AA558" s="2"/>
      <c r="AB558" s="2" t="s">
        <v>63</v>
      </c>
      <c r="AC558" s="2" t="s">
        <v>64</v>
      </c>
      <c r="AD558" s="2"/>
      <c r="AE558" s="3" t="s">
        <v>6276</v>
      </c>
      <c r="AF558" s="3" t="s">
        <v>6317</v>
      </c>
      <c r="AG558" s="2"/>
      <c r="AH558" s="2" t="s">
        <v>54</v>
      </c>
      <c r="AI558" s="3" t="s">
        <v>6318</v>
      </c>
      <c r="AJ558" s="3" t="s">
        <v>6319</v>
      </c>
      <c r="AK558" s="2" t="n">
        <v>857369</v>
      </c>
      <c r="AL558" s="3" t="s">
        <v>6320</v>
      </c>
      <c r="AM558" s="2"/>
      <c r="AN558" s="2"/>
      <c r="AO558" s="3"/>
      <c r="AP558" s="3"/>
      <c r="AQ558" s="2"/>
    </row>
    <row r="559" customFormat="false" ht="35.05" hidden="false" customHeight="false" outlineLevel="0" collapsed="false">
      <c r="A559" s="2" t="n">
        <v>558</v>
      </c>
      <c r="B559" s="2" t="s">
        <v>6321</v>
      </c>
      <c r="C559" s="2" t="s">
        <v>5748</v>
      </c>
      <c r="D559" s="2" t="s">
        <v>5891</v>
      </c>
      <c r="E559" s="2" t="s">
        <v>6322</v>
      </c>
      <c r="F559" s="2" t="s">
        <v>2917</v>
      </c>
      <c r="G559" s="3" t="s">
        <v>6323</v>
      </c>
      <c r="H559" s="2" t="s">
        <v>6324</v>
      </c>
      <c r="I559" s="2" t="s">
        <v>123</v>
      </c>
      <c r="J559" s="3" t="s">
        <v>6325</v>
      </c>
      <c r="K559" s="2" t="s">
        <v>6227</v>
      </c>
      <c r="L559" s="2" t="s">
        <v>723</v>
      </c>
      <c r="M559" s="2" t="s">
        <v>6324</v>
      </c>
      <c r="N559" s="2"/>
      <c r="O559" s="2" t="s">
        <v>53</v>
      </c>
      <c r="P559" s="2" t="n">
        <v>39.9974</v>
      </c>
      <c r="Q559" s="2" t="n">
        <v>36.0834</v>
      </c>
      <c r="R559" s="2" t="s">
        <v>54</v>
      </c>
      <c r="S559" s="2" t="n">
        <v>-2</v>
      </c>
      <c r="T559" s="2" t="s">
        <v>6326</v>
      </c>
      <c r="U559" s="2" t="s">
        <v>139</v>
      </c>
      <c r="V559" s="2" t="s">
        <v>57</v>
      </c>
      <c r="W559" s="2" t="s">
        <v>140</v>
      </c>
      <c r="X559" s="2" t="s">
        <v>141</v>
      </c>
      <c r="Y559" s="2" t="s">
        <v>6327</v>
      </c>
      <c r="Z559" s="2" t="s">
        <v>143</v>
      </c>
      <c r="AA559" s="2"/>
      <c r="AB559" s="2" t="s">
        <v>63</v>
      </c>
      <c r="AC559" s="2" t="s">
        <v>64</v>
      </c>
      <c r="AD559" s="2"/>
      <c r="AE559" s="3" t="s">
        <v>6328</v>
      </c>
      <c r="AF559" s="3" t="s">
        <v>6329</v>
      </c>
      <c r="AG559" s="2"/>
      <c r="AH559" s="2" t="s">
        <v>54</v>
      </c>
      <c r="AI559" s="3" t="s">
        <v>6330</v>
      </c>
      <c r="AJ559" s="3" t="s">
        <v>6331</v>
      </c>
      <c r="AK559" s="2" t="n">
        <v>629076</v>
      </c>
      <c r="AL559" s="3" t="s">
        <v>6332</v>
      </c>
      <c r="AM559" s="2"/>
      <c r="AN559" s="2"/>
      <c r="AO559" s="3"/>
      <c r="AP559" s="3"/>
      <c r="AQ559" s="2"/>
    </row>
    <row r="560" customFormat="false" ht="57.45" hidden="false" customHeight="false" outlineLevel="0" collapsed="false">
      <c r="A560" s="2" t="n">
        <v>559</v>
      </c>
      <c r="B560" s="2" t="s">
        <v>6333</v>
      </c>
      <c r="C560" s="2" t="s">
        <v>6334</v>
      </c>
      <c r="D560" s="2" t="s">
        <v>6335</v>
      </c>
      <c r="E560" s="2" t="s">
        <v>6336</v>
      </c>
      <c r="F560" s="2" t="s">
        <v>6337</v>
      </c>
      <c r="G560" s="3" t="s">
        <v>6338</v>
      </c>
      <c r="H560" s="2" t="s">
        <v>880</v>
      </c>
      <c r="I560" s="2" t="s">
        <v>123</v>
      </c>
      <c r="J560" s="3" t="s">
        <v>6339</v>
      </c>
      <c r="K560" s="2" t="s">
        <v>3930</v>
      </c>
      <c r="L560" s="2" t="s">
        <v>3931</v>
      </c>
      <c r="M560" s="2" t="s">
        <v>880</v>
      </c>
      <c r="N560" s="2"/>
      <c r="O560" s="2" t="s">
        <v>5</v>
      </c>
      <c r="P560" s="2" t="n">
        <v>37.513</v>
      </c>
      <c r="Q560" s="2" t="n">
        <v>34.047</v>
      </c>
      <c r="R560" s="2" t="s">
        <v>95</v>
      </c>
      <c r="S560" s="2" t="n">
        <v>105</v>
      </c>
      <c r="T560" s="2" t="s">
        <v>6340</v>
      </c>
      <c r="U560" s="2" t="s">
        <v>56</v>
      </c>
      <c r="V560" s="2" t="s">
        <v>245</v>
      </c>
      <c r="W560" s="2" t="s">
        <v>140</v>
      </c>
      <c r="X560" s="2" t="s">
        <v>289</v>
      </c>
      <c r="Y560" s="2"/>
      <c r="Z560" s="2" t="s">
        <v>170</v>
      </c>
      <c r="AA560" s="2"/>
      <c r="AB560" s="2" t="s">
        <v>63</v>
      </c>
      <c r="AC560" s="2" t="s">
        <v>452</v>
      </c>
      <c r="AD560" s="2" t="s">
        <v>6341</v>
      </c>
      <c r="AE560" s="3" t="s">
        <v>6342</v>
      </c>
      <c r="AF560" s="3" t="s">
        <v>6343</v>
      </c>
      <c r="AG560" s="2"/>
      <c r="AH560" s="2" t="s">
        <v>54</v>
      </c>
      <c r="AI560" s="3" t="s">
        <v>6344</v>
      </c>
      <c r="AJ560" s="3" t="s">
        <v>6345</v>
      </c>
      <c r="AK560" s="2" t="n">
        <v>648614</v>
      </c>
      <c r="AL560" s="3" t="s">
        <v>6346</v>
      </c>
      <c r="AM560" s="2"/>
      <c r="AN560" s="2" t="s">
        <v>200</v>
      </c>
      <c r="AO560" s="3"/>
      <c r="AP560" s="3"/>
      <c r="AQ560" s="2"/>
    </row>
    <row r="561" customFormat="false" ht="23.85" hidden="false" customHeight="false" outlineLevel="0" collapsed="false">
      <c r="A561" s="2" t="n">
        <v>560</v>
      </c>
      <c r="B561" s="2" t="s">
        <v>6347</v>
      </c>
      <c r="C561" s="2" t="s">
        <v>6334</v>
      </c>
      <c r="D561" s="2" t="s">
        <v>6335</v>
      </c>
      <c r="E561" s="2" t="s">
        <v>6348</v>
      </c>
      <c r="F561" s="2" t="s">
        <v>6349</v>
      </c>
      <c r="G561" s="3" t="s">
        <v>6350</v>
      </c>
      <c r="H561" s="2"/>
      <c r="I561" s="2" t="s">
        <v>74</v>
      </c>
      <c r="J561" s="3" t="s">
        <v>6351</v>
      </c>
      <c r="K561" s="2" t="s">
        <v>5666</v>
      </c>
      <c r="L561" s="2" t="s">
        <v>3931</v>
      </c>
      <c r="M561" s="2"/>
      <c r="N561" s="2"/>
      <c r="O561" s="2"/>
      <c r="P561" s="2" t="n">
        <v>38.9918</v>
      </c>
      <c r="Q561" s="2" t="n">
        <v>33.5701</v>
      </c>
      <c r="R561" s="2" t="s">
        <v>95</v>
      </c>
      <c r="S561" s="2" t="n">
        <v>343</v>
      </c>
      <c r="T561" s="2" t="s">
        <v>5678</v>
      </c>
      <c r="U561" s="2" t="s">
        <v>56</v>
      </c>
      <c r="V561" s="2" t="s">
        <v>245</v>
      </c>
      <c r="W561" s="2" t="s">
        <v>304</v>
      </c>
      <c r="X561" s="2" t="s">
        <v>289</v>
      </c>
      <c r="Y561" s="2"/>
      <c r="Z561" s="2" t="s">
        <v>170</v>
      </c>
      <c r="AA561" s="2"/>
      <c r="AB561" s="2" t="s">
        <v>63</v>
      </c>
      <c r="AC561" s="2" t="s">
        <v>64</v>
      </c>
      <c r="AD561" s="2"/>
      <c r="AE561" s="3"/>
      <c r="AF561" s="3" t="s">
        <v>6352</v>
      </c>
      <c r="AG561" s="2"/>
      <c r="AH561" s="2" t="s">
        <v>54</v>
      </c>
      <c r="AI561" s="3" t="s">
        <v>6353</v>
      </c>
      <c r="AJ561" s="3" t="s">
        <v>6354</v>
      </c>
      <c r="AK561" s="2" t="n">
        <v>619235</v>
      </c>
      <c r="AL561" s="3" t="s">
        <v>6355</v>
      </c>
      <c r="AM561" s="2"/>
      <c r="AN561" s="2"/>
      <c r="AO561" s="3"/>
      <c r="AP561" s="3"/>
      <c r="AQ561" s="2"/>
    </row>
    <row r="562" customFormat="false" ht="35.05" hidden="false" customHeight="false" outlineLevel="0" collapsed="false">
      <c r="A562" s="2" t="n">
        <v>561</v>
      </c>
      <c r="B562" s="2" t="s">
        <v>6356</v>
      </c>
      <c r="C562" s="2" t="s">
        <v>6334</v>
      </c>
      <c r="D562" s="2" t="s">
        <v>6335</v>
      </c>
      <c r="E562" s="2" t="s">
        <v>6357</v>
      </c>
      <c r="F562" s="2" t="s">
        <v>6358</v>
      </c>
      <c r="G562" s="3" t="s">
        <v>6359</v>
      </c>
      <c r="H562" s="2" t="s">
        <v>6360</v>
      </c>
      <c r="I562" s="2" t="s">
        <v>123</v>
      </c>
      <c r="J562" s="3" t="s">
        <v>6361</v>
      </c>
      <c r="K562" s="2" t="s">
        <v>5739</v>
      </c>
      <c r="L562" s="2" t="s">
        <v>3931</v>
      </c>
      <c r="M562" s="2" t="s">
        <v>6360</v>
      </c>
      <c r="N562" s="2"/>
      <c r="O562" s="2" t="s">
        <v>53</v>
      </c>
      <c r="P562" s="2" t="n">
        <v>39.4993</v>
      </c>
      <c r="Q562" s="2" t="n">
        <v>35.2412</v>
      </c>
      <c r="R562" s="2" t="s">
        <v>54</v>
      </c>
      <c r="S562" s="2" t="n">
        <v>451</v>
      </c>
      <c r="T562" s="2" t="s">
        <v>2373</v>
      </c>
      <c r="U562" s="2" t="s">
        <v>56</v>
      </c>
      <c r="V562" s="2" t="s">
        <v>245</v>
      </c>
      <c r="W562" s="2" t="s">
        <v>304</v>
      </c>
      <c r="X562" s="2" t="s">
        <v>169</v>
      </c>
      <c r="Y562" s="2" t="s">
        <v>6362</v>
      </c>
      <c r="Z562" s="2" t="s">
        <v>170</v>
      </c>
      <c r="AA562" s="2"/>
      <c r="AB562" s="2" t="s">
        <v>81</v>
      </c>
      <c r="AC562" s="2"/>
      <c r="AD562" s="2"/>
      <c r="AE562" s="3"/>
      <c r="AF562" s="3" t="s">
        <v>6363</v>
      </c>
      <c r="AG562" s="2"/>
      <c r="AH562" s="2" t="s">
        <v>54</v>
      </c>
      <c r="AI562" s="3" t="s">
        <v>6364</v>
      </c>
      <c r="AJ562" s="3" t="s">
        <v>6365</v>
      </c>
      <c r="AK562" s="2" t="n">
        <v>619125</v>
      </c>
      <c r="AL562" s="3" t="s">
        <v>6366</v>
      </c>
      <c r="AM562" s="2"/>
      <c r="AN562" s="2"/>
      <c r="AO562" s="3" t="s">
        <v>6367</v>
      </c>
      <c r="AP562" s="3" t="s">
        <v>6368</v>
      </c>
      <c r="AQ562" s="2" t="s">
        <v>151</v>
      </c>
    </row>
    <row r="563" customFormat="false" ht="46.25" hidden="false" customHeight="false" outlineLevel="0" collapsed="false">
      <c r="A563" s="2" t="n">
        <v>562</v>
      </c>
      <c r="B563" s="2" t="s">
        <v>6369</v>
      </c>
      <c r="C563" s="2" t="s">
        <v>6334</v>
      </c>
      <c r="D563" s="2" t="s">
        <v>6370</v>
      </c>
      <c r="E563" s="2" t="s">
        <v>6371</v>
      </c>
      <c r="F563" s="2" t="s">
        <v>6372</v>
      </c>
      <c r="G563" s="3" t="s">
        <v>6373</v>
      </c>
      <c r="H563" s="2" t="s">
        <v>6374</v>
      </c>
      <c r="I563" s="2" t="s">
        <v>49</v>
      </c>
      <c r="J563" s="3" t="s">
        <v>6375</v>
      </c>
      <c r="K563" s="2" t="s">
        <v>6376</v>
      </c>
      <c r="L563" s="2" t="s">
        <v>3931</v>
      </c>
      <c r="M563" s="2"/>
      <c r="N563" s="2"/>
      <c r="O563" s="2" t="s">
        <v>53</v>
      </c>
      <c r="P563" s="2" t="n">
        <v>40.1087</v>
      </c>
      <c r="Q563" s="2" t="n">
        <v>36.875</v>
      </c>
      <c r="R563" s="2" t="s">
        <v>95</v>
      </c>
      <c r="S563" s="2" t="n">
        <v>625</v>
      </c>
      <c r="T563" s="2" t="s">
        <v>6377</v>
      </c>
      <c r="U563" s="2" t="s">
        <v>139</v>
      </c>
      <c r="V563" s="2" t="s">
        <v>97</v>
      </c>
      <c r="W563" s="2" t="s">
        <v>304</v>
      </c>
      <c r="X563" s="2" t="s">
        <v>141</v>
      </c>
      <c r="Y563" s="2" t="s">
        <v>6378</v>
      </c>
      <c r="Z563" s="2" t="s">
        <v>559</v>
      </c>
      <c r="AA563" s="2"/>
      <c r="AB563" s="2" t="s">
        <v>63</v>
      </c>
      <c r="AC563" s="2" t="s">
        <v>64</v>
      </c>
      <c r="AD563" s="2"/>
      <c r="AE563" s="3" t="s">
        <v>6379</v>
      </c>
      <c r="AF563" s="3" t="s">
        <v>6380</v>
      </c>
      <c r="AG563" s="2"/>
      <c r="AH563" s="2" t="s">
        <v>113</v>
      </c>
      <c r="AI563" s="3" t="s">
        <v>6381</v>
      </c>
      <c r="AJ563" s="3" t="s">
        <v>6382</v>
      </c>
      <c r="AK563" s="2" t="n">
        <v>857266</v>
      </c>
      <c r="AL563" s="3" t="s">
        <v>6383</v>
      </c>
      <c r="AM563" s="2"/>
      <c r="AN563" s="2"/>
      <c r="AO563" s="3"/>
      <c r="AP563" s="3"/>
      <c r="AQ563" s="2"/>
    </row>
    <row r="564" customFormat="false" ht="57.45" hidden="false" customHeight="false" outlineLevel="0" collapsed="false">
      <c r="A564" s="2" t="n">
        <v>563</v>
      </c>
      <c r="B564" s="2" t="s">
        <v>6384</v>
      </c>
      <c r="C564" s="2" t="s">
        <v>6334</v>
      </c>
      <c r="D564" s="2" t="s">
        <v>6370</v>
      </c>
      <c r="E564" s="2" t="s">
        <v>6385</v>
      </c>
      <c r="F564" s="2" t="s">
        <v>6386</v>
      </c>
      <c r="G564" s="3" t="s">
        <v>6387</v>
      </c>
      <c r="H564" s="2" t="s">
        <v>6376</v>
      </c>
      <c r="I564" s="2" t="s">
        <v>123</v>
      </c>
      <c r="J564" s="3" t="s">
        <v>6388</v>
      </c>
      <c r="K564" s="2" t="s">
        <v>6376</v>
      </c>
      <c r="L564" s="2" t="s">
        <v>3931</v>
      </c>
      <c r="M564" s="2" t="s">
        <v>581</v>
      </c>
      <c r="N564" s="2" t="s">
        <v>63</v>
      </c>
      <c r="O564" s="2" t="s">
        <v>5</v>
      </c>
      <c r="P564" s="2" t="n">
        <v>39.749</v>
      </c>
      <c r="Q564" s="2" t="n">
        <v>37.0166</v>
      </c>
      <c r="R564" s="2" t="s">
        <v>54</v>
      </c>
      <c r="S564" s="2" t="n">
        <v>-64</v>
      </c>
      <c r="T564" s="2" t="s">
        <v>6150</v>
      </c>
      <c r="U564" s="2" t="s">
        <v>139</v>
      </c>
      <c r="V564" s="2" t="s">
        <v>245</v>
      </c>
      <c r="W564" s="2" t="s">
        <v>195</v>
      </c>
      <c r="X564" s="2" t="s">
        <v>141</v>
      </c>
      <c r="Y564" s="2" t="s">
        <v>6389</v>
      </c>
      <c r="Z564" s="2" t="s">
        <v>6152</v>
      </c>
      <c r="AA564" s="2"/>
      <c r="AB564" s="2" t="s">
        <v>63</v>
      </c>
      <c r="AC564" s="2" t="s">
        <v>77</v>
      </c>
      <c r="AD564" s="2"/>
      <c r="AE564" s="3" t="s">
        <v>6390</v>
      </c>
      <c r="AF564" s="3" t="s">
        <v>6391</v>
      </c>
      <c r="AG564" s="2" t="s">
        <v>6392</v>
      </c>
      <c r="AH564" s="2" t="s">
        <v>54</v>
      </c>
      <c r="AI564" s="3" t="s">
        <v>6393</v>
      </c>
      <c r="AJ564" s="3" t="s">
        <v>6394</v>
      </c>
      <c r="AK564" s="2" t="n">
        <v>629075</v>
      </c>
      <c r="AL564" s="3" t="s">
        <v>6395</v>
      </c>
      <c r="AM564" s="2"/>
      <c r="AN564" s="2" t="s">
        <v>200</v>
      </c>
      <c r="AO564" s="3"/>
      <c r="AP564" s="3"/>
      <c r="AQ564" s="2"/>
    </row>
    <row r="565" customFormat="false" ht="57.45" hidden="false" customHeight="false" outlineLevel="0" collapsed="false">
      <c r="A565" s="2" t="n">
        <v>564</v>
      </c>
      <c r="B565" s="2" t="s">
        <v>6396</v>
      </c>
      <c r="C565" s="2" t="s">
        <v>6334</v>
      </c>
      <c r="D565" s="2" t="s">
        <v>6370</v>
      </c>
      <c r="E565" s="2" t="s">
        <v>6397</v>
      </c>
      <c r="F565" s="2" t="s">
        <v>4710</v>
      </c>
      <c r="G565" s="3" t="s">
        <v>6398</v>
      </c>
      <c r="H565" s="2" t="s">
        <v>6399</v>
      </c>
      <c r="I565" s="2" t="s">
        <v>49</v>
      </c>
      <c r="J565" s="3" t="s">
        <v>6400</v>
      </c>
      <c r="K565" s="2" t="s">
        <v>6376</v>
      </c>
      <c r="L565" s="2" t="s">
        <v>3931</v>
      </c>
      <c r="M565" s="2"/>
      <c r="N565" s="2"/>
      <c r="O565" s="2" t="s">
        <v>53</v>
      </c>
      <c r="P565" s="2" t="n">
        <v>40.1486</v>
      </c>
      <c r="Q565" s="2" t="n">
        <v>38.1435</v>
      </c>
      <c r="R565" s="2" t="s">
        <v>54</v>
      </c>
      <c r="S565" s="2" t="n">
        <v>-64</v>
      </c>
      <c r="T565" s="2" t="s">
        <v>6150</v>
      </c>
      <c r="U565" s="2" t="s">
        <v>139</v>
      </c>
      <c r="V565" s="2" t="s">
        <v>245</v>
      </c>
      <c r="W565" s="2" t="s">
        <v>195</v>
      </c>
      <c r="X565" s="2" t="s">
        <v>141</v>
      </c>
      <c r="Y565" s="2" t="s">
        <v>6151</v>
      </c>
      <c r="Z565" s="2" t="s">
        <v>6152</v>
      </c>
      <c r="AA565" s="2"/>
      <c r="AB565" s="2" t="s">
        <v>695</v>
      </c>
      <c r="AC565" s="2" t="s">
        <v>696</v>
      </c>
      <c r="AD565" s="2"/>
      <c r="AE565" s="3"/>
      <c r="AF565" s="3" t="s">
        <v>6401</v>
      </c>
      <c r="AG565" s="2"/>
      <c r="AH565" s="2" t="s">
        <v>54</v>
      </c>
      <c r="AI565" s="3" t="s">
        <v>6402</v>
      </c>
      <c r="AJ565" s="3" t="s">
        <v>6403</v>
      </c>
      <c r="AK565" s="2" t="n">
        <v>857248</v>
      </c>
      <c r="AL565" s="3" t="s">
        <v>6404</v>
      </c>
      <c r="AM565" s="2"/>
      <c r="AN565" s="2"/>
      <c r="AO565" s="3" t="s">
        <v>6405</v>
      </c>
      <c r="AP565" s="3" t="s">
        <v>6406</v>
      </c>
      <c r="AQ565" s="2" t="s">
        <v>151</v>
      </c>
    </row>
    <row r="566" customFormat="false" ht="57.45" hidden="false" customHeight="false" outlineLevel="0" collapsed="false">
      <c r="A566" s="2" t="n">
        <v>565</v>
      </c>
      <c r="B566" s="2" t="s">
        <v>6407</v>
      </c>
      <c r="C566" s="2" t="s">
        <v>6334</v>
      </c>
      <c r="D566" s="2" t="s">
        <v>6370</v>
      </c>
      <c r="E566" s="2" t="s">
        <v>6408</v>
      </c>
      <c r="F566" s="2" t="s">
        <v>6409</v>
      </c>
      <c r="G566" s="3" t="s">
        <v>6410</v>
      </c>
      <c r="H566" s="2" t="s">
        <v>6411</v>
      </c>
      <c r="I566" s="2" t="s">
        <v>123</v>
      </c>
      <c r="J566" s="3" t="s">
        <v>6412</v>
      </c>
      <c r="K566" s="2" t="s">
        <v>6009</v>
      </c>
      <c r="L566" s="2" t="s">
        <v>723</v>
      </c>
      <c r="M566" s="2" t="s">
        <v>6411</v>
      </c>
      <c r="N566" s="2"/>
      <c r="O566" s="2" t="s">
        <v>53</v>
      </c>
      <c r="P566" s="2" t="n">
        <v>40.3068</v>
      </c>
      <c r="Q566" s="2" t="n">
        <v>38.4128</v>
      </c>
      <c r="R566" s="2" t="s">
        <v>54</v>
      </c>
      <c r="S566" s="2" t="n">
        <v>375</v>
      </c>
      <c r="T566" s="2" t="s">
        <v>6413</v>
      </c>
      <c r="U566" s="2" t="s">
        <v>56</v>
      </c>
      <c r="V566" s="2" t="s">
        <v>57</v>
      </c>
      <c r="W566" s="2" t="s">
        <v>304</v>
      </c>
      <c r="X566" s="2" t="s">
        <v>141</v>
      </c>
      <c r="Y566" s="2" t="s">
        <v>6414</v>
      </c>
      <c r="Z566" s="2" t="s">
        <v>6152</v>
      </c>
      <c r="AA566" s="2"/>
      <c r="AB566" s="2" t="s">
        <v>63</v>
      </c>
      <c r="AC566" s="2" t="s">
        <v>64</v>
      </c>
      <c r="AD566" s="2"/>
      <c r="AE566" s="3" t="s">
        <v>6415</v>
      </c>
      <c r="AF566" s="3" t="s">
        <v>6416</v>
      </c>
      <c r="AG566" s="2"/>
      <c r="AH566" s="2" t="s">
        <v>113</v>
      </c>
      <c r="AI566" s="3" t="s">
        <v>6417</v>
      </c>
      <c r="AJ566" s="3" t="s">
        <v>6418</v>
      </c>
      <c r="AK566" s="2" t="n">
        <v>857194</v>
      </c>
      <c r="AL566" s="3" t="s">
        <v>6419</v>
      </c>
      <c r="AM566" s="2"/>
      <c r="AN566" s="2"/>
      <c r="AO566" s="3"/>
      <c r="AP566" s="3"/>
      <c r="AQ566" s="2"/>
    </row>
    <row r="567" customFormat="false" ht="102.2" hidden="false" customHeight="false" outlineLevel="0" collapsed="false">
      <c r="A567" s="2" t="n">
        <v>566</v>
      </c>
      <c r="B567" s="2" t="s">
        <v>6420</v>
      </c>
      <c r="C567" s="2" t="s">
        <v>6334</v>
      </c>
      <c r="D567" s="2" t="s">
        <v>6370</v>
      </c>
      <c r="E567" s="2" t="s">
        <v>6421</v>
      </c>
      <c r="F567" s="2" t="s">
        <v>2329</v>
      </c>
      <c r="G567" s="3" t="s">
        <v>6422</v>
      </c>
      <c r="H567" s="2" t="s">
        <v>6423</v>
      </c>
      <c r="I567" s="2" t="s">
        <v>49</v>
      </c>
      <c r="J567" s="3" t="s">
        <v>6424</v>
      </c>
      <c r="K567" s="2" t="s">
        <v>6083</v>
      </c>
      <c r="L567" s="2" t="s">
        <v>723</v>
      </c>
      <c r="M567" s="2"/>
      <c r="N567" s="2"/>
      <c r="O567" s="2" t="s">
        <v>422</v>
      </c>
      <c r="P567" s="2" t="n">
        <v>40.0279</v>
      </c>
      <c r="Q567" s="2" t="n">
        <v>39.5979</v>
      </c>
      <c r="R567" s="2" t="s">
        <v>54</v>
      </c>
      <c r="S567" s="2" t="n">
        <v>325</v>
      </c>
      <c r="T567" s="2" t="s">
        <v>3894</v>
      </c>
      <c r="U567" s="2" t="s">
        <v>56</v>
      </c>
      <c r="V567" s="2" t="s">
        <v>245</v>
      </c>
      <c r="W567" s="2" t="s">
        <v>140</v>
      </c>
      <c r="X567" s="2" t="s">
        <v>141</v>
      </c>
      <c r="Y567" s="2" t="s">
        <v>6425</v>
      </c>
      <c r="Z567" s="2" t="s">
        <v>143</v>
      </c>
      <c r="AA567" s="2"/>
      <c r="AB567" s="2" t="s">
        <v>81</v>
      </c>
      <c r="AC567" s="2"/>
      <c r="AD567" s="2"/>
      <c r="AE567" s="3"/>
      <c r="AF567" s="3" t="s">
        <v>6426</v>
      </c>
      <c r="AG567" s="2" t="s">
        <v>6427</v>
      </c>
      <c r="AH567" s="2" t="s">
        <v>113</v>
      </c>
      <c r="AI567" s="3" t="s">
        <v>6428</v>
      </c>
      <c r="AJ567" s="3" t="s">
        <v>6429</v>
      </c>
      <c r="AK567" s="2"/>
      <c r="AL567" s="3" t="s">
        <v>6430</v>
      </c>
      <c r="AM567" s="2" t="s">
        <v>63</v>
      </c>
      <c r="AN567" s="2" t="s">
        <v>200</v>
      </c>
      <c r="AO567" s="3"/>
      <c r="AP567" s="3"/>
      <c r="AQ567" s="2"/>
    </row>
    <row r="568" customFormat="false" ht="113.4" hidden="false" customHeight="false" outlineLevel="0" collapsed="false">
      <c r="A568" s="2" t="n">
        <v>567</v>
      </c>
      <c r="B568" s="2" t="s">
        <v>6431</v>
      </c>
      <c r="C568" s="2" t="s">
        <v>6334</v>
      </c>
      <c r="D568" s="2" t="s">
        <v>6432</v>
      </c>
      <c r="E568" s="2" t="s">
        <v>6433</v>
      </c>
      <c r="F568" s="2" t="s">
        <v>6434</v>
      </c>
      <c r="G568" s="3" t="s">
        <v>6435</v>
      </c>
      <c r="H568" s="2"/>
      <c r="I568" s="2" t="s">
        <v>74</v>
      </c>
      <c r="J568" s="3" t="s">
        <v>6436</v>
      </c>
      <c r="K568" s="2" t="s">
        <v>6437</v>
      </c>
      <c r="L568" s="2" t="s">
        <v>6438</v>
      </c>
      <c r="M568" s="2"/>
      <c r="N568" s="2"/>
      <c r="O568" s="2"/>
      <c r="P568" s="2" t="n">
        <v>39.725</v>
      </c>
      <c r="Q568" s="2" t="n">
        <v>39.505</v>
      </c>
      <c r="R568" s="2" t="s">
        <v>95</v>
      </c>
      <c r="S568" s="2" t="n">
        <v>900</v>
      </c>
      <c r="T568" s="2" t="s">
        <v>437</v>
      </c>
      <c r="U568" s="2" t="s">
        <v>56</v>
      </c>
      <c r="V568" s="2" t="s">
        <v>78</v>
      </c>
      <c r="W568" s="2" t="s">
        <v>304</v>
      </c>
      <c r="X568" s="2" t="s">
        <v>289</v>
      </c>
      <c r="Y568" s="2"/>
      <c r="Z568" s="2" t="s">
        <v>170</v>
      </c>
      <c r="AA568" s="2"/>
      <c r="AB568" s="2" t="s">
        <v>63</v>
      </c>
      <c r="AC568" s="2" t="s">
        <v>64</v>
      </c>
      <c r="AD568" s="2" t="s">
        <v>6439</v>
      </c>
      <c r="AE568" s="3" t="s">
        <v>6440</v>
      </c>
      <c r="AF568" s="3" t="s">
        <v>6441</v>
      </c>
      <c r="AG568" s="2" t="s">
        <v>6442</v>
      </c>
      <c r="AH568" s="2" t="s">
        <v>113</v>
      </c>
      <c r="AI568" s="3" t="s">
        <v>6443</v>
      </c>
      <c r="AJ568" s="3" t="s">
        <v>6444</v>
      </c>
      <c r="AK568" s="2" t="n">
        <v>874467</v>
      </c>
      <c r="AL568" s="3" t="s">
        <v>6445</v>
      </c>
      <c r="AM568" s="2" t="s">
        <v>63</v>
      </c>
      <c r="AN568" s="2"/>
      <c r="AO568" s="3" t="s">
        <v>6446</v>
      </c>
      <c r="AP568" s="3" t="s">
        <v>6447</v>
      </c>
      <c r="AQ568" s="2" t="s">
        <v>106</v>
      </c>
    </row>
    <row r="569" customFormat="false" ht="68.65" hidden="false" customHeight="false" outlineLevel="0" collapsed="false">
      <c r="A569" s="2" t="n">
        <v>568</v>
      </c>
      <c r="B569" s="2" t="s">
        <v>6448</v>
      </c>
      <c r="C569" s="2" t="s">
        <v>6334</v>
      </c>
      <c r="D569" s="2" t="s">
        <v>6432</v>
      </c>
      <c r="E569" s="2" t="s">
        <v>6449</v>
      </c>
      <c r="F569" s="2" t="s">
        <v>6450</v>
      </c>
      <c r="G569" s="3" t="s">
        <v>6451</v>
      </c>
      <c r="H569" s="2" t="s">
        <v>6452</v>
      </c>
      <c r="I569" s="2" t="s">
        <v>123</v>
      </c>
      <c r="J569" s="3" t="s">
        <v>6453</v>
      </c>
      <c r="K569" s="2" t="s">
        <v>6452</v>
      </c>
      <c r="L569" s="2" t="s">
        <v>6438</v>
      </c>
      <c r="M569" s="2" t="s">
        <v>6454</v>
      </c>
      <c r="N569" s="2" t="s">
        <v>63</v>
      </c>
      <c r="O569" s="2" t="s">
        <v>53</v>
      </c>
      <c r="P569" s="2" t="n">
        <v>39.908</v>
      </c>
      <c r="Q569" s="2" t="n">
        <v>41.276</v>
      </c>
      <c r="R569" s="2" t="s">
        <v>54</v>
      </c>
      <c r="S569" s="2" t="n">
        <v>949</v>
      </c>
      <c r="T569" s="2" t="s">
        <v>6455</v>
      </c>
      <c r="U569" s="2" t="s">
        <v>6456</v>
      </c>
      <c r="V569" s="2" t="s">
        <v>245</v>
      </c>
      <c r="W569" s="2" t="s">
        <v>304</v>
      </c>
      <c r="X569" s="2" t="s">
        <v>141</v>
      </c>
      <c r="Y569" s="2" t="s">
        <v>6457</v>
      </c>
      <c r="Z569" s="2" t="s">
        <v>559</v>
      </c>
      <c r="AA569" s="2"/>
      <c r="AB569" s="2" t="s">
        <v>63</v>
      </c>
      <c r="AC569" s="2" t="s">
        <v>64</v>
      </c>
      <c r="AD569" s="2" t="s">
        <v>6458</v>
      </c>
      <c r="AE569" s="3" t="s">
        <v>6459</v>
      </c>
      <c r="AF569" s="3" t="s">
        <v>6460</v>
      </c>
      <c r="AG569" s="2" t="s">
        <v>6461</v>
      </c>
      <c r="AH569" s="2" t="s">
        <v>113</v>
      </c>
      <c r="AI569" s="3" t="s">
        <v>6462</v>
      </c>
      <c r="AJ569" s="3" t="s">
        <v>6463</v>
      </c>
      <c r="AK569" s="2"/>
      <c r="AL569" s="3" t="s">
        <v>6464</v>
      </c>
      <c r="AM569" s="2" t="s">
        <v>63</v>
      </c>
      <c r="AN569" s="2"/>
      <c r="AO569" s="3"/>
      <c r="AP569" s="3"/>
      <c r="AQ569" s="2"/>
    </row>
    <row r="570" customFormat="false" ht="57.45" hidden="false" customHeight="false" outlineLevel="0" collapsed="false">
      <c r="A570" s="2" t="n">
        <v>569</v>
      </c>
      <c r="B570" s="2" t="s">
        <v>6465</v>
      </c>
      <c r="C570" s="2" t="s">
        <v>6334</v>
      </c>
      <c r="D570" s="2" t="s">
        <v>6335</v>
      </c>
      <c r="E570" s="2" t="s">
        <v>6466</v>
      </c>
      <c r="F570" s="2" t="s">
        <v>6467</v>
      </c>
      <c r="G570" s="3" t="s">
        <v>6468</v>
      </c>
      <c r="H570" s="2" t="s">
        <v>6469</v>
      </c>
      <c r="I570" s="2" t="s">
        <v>123</v>
      </c>
      <c r="J570" s="3" t="s">
        <v>6470</v>
      </c>
      <c r="K570" s="2" t="s">
        <v>6471</v>
      </c>
      <c r="L570" s="2" t="s">
        <v>6438</v>
      </c>
      <c r="M570" s="2" t="s">
        <v>6469</v>
      </c>
      <c r="N570" s="2"/>
      <c r="O570" s="2" t="s">
        <v>53</v>
      </c>
      <c r="P570" s="2" t="n">
        <v>38.42</v>
      </c>
      <c r="Q570" s="2" t="n">
        <v>38.363</v>
      </c>
      <c r="R570" s="2" t="s">
        <v>54</v>
      </c>
      <c r="S570" s="2" t="n">
        <v>110</v>
      </c>
      <c r="T570" s="2" t="s">
        <v>6472</v>
      </c>
      <c r="U570" s="2" t="s">
        <v>139</v>
      </c>
      <c r="V570" s="2" t="s">
        <v>97</v>
      </c>
      <c r="W570" s="2" t="s">
        <v>140</v>
      </c>
      <c r="X570" s="2" t="s">
        <v>141</v>
      </c>
      <c r="Y570" s="2" t="s">
        <v>6473</v>
      </c>
      <c r="Z570" s="2" t="s">
        <v>143</v>
      </c>
      <c r="AA570" s="2"/>
      <c r="AB570" s="2" t="s">
        <v>695</v>
      </c>
      <c r="AC570" s="2" t="s">
        <v>696</v>
      </c>
      <c r="AD570" s="2" t="s">
        <v>6474</v>
      </c>
      <c r="AE570" s="3" t="s">
        <v>6475</v>
      </c>
      <c r="AF570" s="3" t="s">
        <v>6476</v>
      </c>
      <c r="AG570" s="2" t="s">
        <v>6477</v>
      </c>
      <c r="AH570" s="2" t="s">
        <v>113</v>
      </c>
      <c r="AI570" s="3" t="s">
        <v>6478</v>
      </c>
      <c r="AJ570" s="3" t="s">
        <v>6479</v>
      </c>
      <c r="AK570" s="2" t="n">
        <v>629040</v>
      </c>
      <c r="AL570" s="3" t="s">
        <v>6480</v>
      </c>
      <c r="AM570" s="2"/>
      <c r="AN570" s="2"/>
      <c r="AO570" s="3" t="s">
        <v>6481</v>
      </c>
      <c r="AP570" s="3" t="s">
        <v>6482</v>
      </c>
      <c r="AQ570" s="2" t="s">
        <v>151</v>
      </c>
    </row>
    <row r="571" customFormat="false" ht="23.85" hidden="false" customHeight="false" outlineLevel="0" collapsed="false">
      <c r="A571" s="2" t="n">
        <v>570</v>
      </c>
      <c r="B571" s="2" t="s">
        <v>6483</v>
      </c>
      <c r="C571" s="2" t="s">
        <v>6334</v>
      </c>
      <c r="D571" s="2" t="s">
        <v>6335</v>
      </c>
      <c r="E571" s="2" t="s">
        <v>6484</v>
      </c>
      <c r="F571" s="2" t="s">
        <v>6485</v>
      </c>
      <c r="G571" s="3" t="s">
        <v>6486</v>
      </c>
      <c r="H571" s="2" t="s">
        <v>6487</v>
      </c>
      <c r="I571" s="2" t="s">
        <v>123</v>
      </c>
      <c r="J571" s="3" t="s">
        <v>6488</v>
      </c>
      <c r="K571" s="2" t="s">
        <v>6471</v>
      </c>
      <c r="L571" s="2" t="s">
        <v>6438</v>
      </c>
      <c r="M571" s="2" t="s">
        <v>6487</v>
      </c>
      <c r="N571" s="2"/>
      <c r="O571" s="2" t="s">
        <v>53</v>
      </c>
      <c r="P571" s="2" t="n">
        <v>38.3345</v>
      </c>
      <c r="Q571" s="2" t="n">
        <v>37.9711</v>
      </c>
      <c r="R571" s="2" t="s">
        <v>54</v>
      </c>
      <c r="S571" s="2" t="n">
        <v>431</v>
      </c>
      <c r="T571" s="2" t="s">
        <v>2124</v>
      </c>
      <c r="U571" s="2" t="s">
        <v>56</v>
      </c>
      <c r="V571" s="2" t="s">
        <v>245</v>
      </c>
      <c r="W571" s="2" t="s">
        <v>304</v>
      </c>
      <c r="X571" s="2" t="s">
        <v>289</v>
      </c>
      <c r="Y571" s="2"/>
      <c r="Z571" s="2" t="s">
        <v>170</v>
      </c>
      <c r="AA571" s="2"/>
      <c r="AB571" s="2" t="s">
        <v>63</v>
      </c>
      <c r="AC571" s="2" t="s">
        <v>64</v>
      </c>
      <c r="AD571" s="2"/>
      <c r="AE571" s="3" t="s">
        <v>6276</v>
      </c>
      <c r="AF571" s="3" t="s">
        <v>6489</v>
      </c>
      <c r="AG571" s="2"/>
      <c r="AH571" s="2" t="s">
        <v>113</v>
      </c>
      <c r="AI571" s="3" t="s">
        <v>6490</v>
      </c>
      <c r="AJ571" s="3" t="s">
        <v>6491</v>
      </c>
      <c r="AK571" s="2" t="n">
        <v>628929</v>
      </c>
      <c r="AL571" s="3" t="s">
        <v>6492</v>
      </c>
      <c r="AM571" s="2"/>
      <c r="AN571" s="2"/>
      <c r="AO571" s="3"/>
      <c r="AP571" s="3"/>
      <c r="AQ571" s="2"/>
    </row>
    <row r="572" customFormat="false" ht="23.85" hidden="false" customHeight="false" outlineLevel="0" collapsed="false">
      <c r="A572" s="2" t="n">
        <v>571</v>
      </c>
      <c r="B572" s="2" t="s">
        <v>6493</v>
      </c>
      <c r="C572" s="2" t="s">
        <v>6334</v>
      </c>
      <c r="D572" s="2" t="s">
        <v>6335</v>
      </c>
      <c r="E572" s="2" t="s">
        <v>6494</v>
      </c>
      <c r="F572" s="2" t="s">
        <v>6495</v>
      </c>
      <c r="G572" s="3" t="s">
        <v>6496</v>
      </c>
      <c r="H572" s="2" t="s">
        <v>6497</v>
      </c>
      <c r="I572" s="2" t="s">
        <v>123</v>
      </c>
      <c r="J572" s="3" t="s">
        <v>6498</v>
      </c>
      <c r="K572" s="2" t="s">
        <v>6499</v>
      </c>
      <c r="L572" s="2" t="s">
        <v>3049</v>
      </c>
      <c r="M572" s="2" t="s">
        <v>6497</v>
      </c>
      <c r="N572" s="2"/>
      <c r="O572" s="2" t="s">
        <v>422</v>
      </c>
      <c r="P572" s="2" t="n">
        <v>38.0316</v>
      </c>
      <c r="Q572" s="2" t="n">
        <v>36.4983</v>
      </c>
      <c r="R572" s="2" t="s">
        <v>54</v>
      </c>
      <c r="S572" s="2" t="n">
        <v>404</v>
      </c>
      <c r="T572" s="2" t="s">
        <v>6500</v>
      </c>
      <c r="U572" s="2" t="s">
        <v>56</v>
      </c>
      <c r="V572" s="2" t="s">
        <v>57</v>
      </c>
      <c r="W572" s="2" t="s">
        <v>304</v>
      </c>
      <c r="X572" s="2" t="s">
        <v>289</v>
      </c>
      <c r="Y572" s="2"/>
      <c r="Z572" s="2" t="s">
        <v>170</v>
      </c>
      <c r="AA572" s="2"/>
      <c r="AB572" s="2" t="s">
        <v>63</v>
      </c>
      <c r="AC572" s="2" t="s">
        <v>64</v>
      </c>
      <c r="AD572" s="2"/>
      <c r="AE572" s="3" t="s">
        <v>6276</v>
      </c>
      <c r="AF572" s="3" t="s">
        <v>6501</v>
      </c>
      <c r="AG572" s="2"/>
      <c r="AH572" s="2" t="s">
        <v>113</v>
      </c>
      <c r="AI572" s="3" t="s">
        <v>6502</v>
      </c>
      <c r="AJ572" s="3" t="s">
        <v>6503</v>
      </c>
      <c r="AK572" s="2" t="n">
        <v>629013</v>
      </c>
      <c r="AL572" s="3" t="s">
        <v>6504</v>
      </c>
      <c r="AM572" s="2"/>
      <c r="AN572" s="2" t="s">
        <v>200</v>
      </c>
      <c r="AO572" s="3"/>
      <c r="AP572" s="3"/>
      <c r="AQ572" s="2"/>
    </row>
    <row r="573" customFormat="false" ht="46.25" hidden="false" customHeight="false" outlineLevel="0" collapsed="false">
      <c r="A573" s="2" t="n">
        <v>572</v>
      </c>
      <c r="B573" s="2" t="s">
        <v>6505</v>
      </c>
      <c r="C573" s="2" t="s">
        <v>6334</v>
      </c>
      <c r="D573" s="2" t="s">
        <v>6335</v>
      </c>
      <c r="E573" s="2" t="s">
        <v>6506</v>
      </c>
      <c r="F573" s="2" t="s">
        <v>6249</v>
      </c>
      <c r="G573" s="3" t="s">
        <v>6507</v>
      </c>
      <c r="H573" s="2" t="s">
        <v>300</v>
      </c>
      <c r="I573" s="2" t="s">
        <v>49</v>
      </c>
      <c r="J573" s="3" t="s">
        <v>6508</v>
      </c>
      <c r="K573" s="2" t="s">
        <v>4290</v>
      </c>
      <c r="L573" s="2" t="s">
        <v>3049</v>
      </c>
      <c r="M573" s="2"/>
      <c r="N573" s="2"/>
      <c r="O573" s="2" t="s">
        <v>53</v>
      </c>
      <c r="P573" s="2" t="n">
        <v>38.3313</v>
      </c>
      <c r="Q573" s="2" t="n">
        <v>36.324</v>
      </c>
      <c r="R573" s="2" t="s">
        <v>54</v>
      </c>
      <c r="S573" s="2" t="n">
        <v>-100</v>
      </c>
      <c r="T573" s="2" t="s">
        <v>2084</v>
      </c>
      <c r="U573" s="2" t="s">
        <v>56</v>
      </c>
      <c r="V573" s="2" t="s">
        <v>97</v>
      </c>
      <c r="W573" s="2" t="s">
        <v>195</v>
      </c>
      <c r="X573" s="2" t="s">
        <v>289</v>
      </c>
      <c r="Y573" s="2" t="s">
        <v>6253</v>
      </c>
      <c r="Z573" s="2" t="s">
        <v>170</v>
      </c>
      <c r="AA573" s="2"/>
      <c r="AB573" s="2" t="s">
        <v>63</v>
      </c>
      <c r="AC573" s="2" t="s">
        <v>64</v>
      </c>
      <c r="AD573" s="2" t="s">
        <v>6509</v>
      </c>
      <c r="AE573" s="3" t="s">
        <v>6510</v>
      </c>
      <c r="AF573" s="3" t="s">
        <v>6511</v>
      </c>
      <c r="AG573" s="2"/>
      <c r="AH573" s="2" t="s">
        <v>54</v>
      </c>
      <c r="AI573" s="3" t="s">
        <v>6512</v>
      </c>
      <c r="AJ573" s="3" t="s">
        <v>6513</v>
      </c>
      <c r="AK573" s="2" t="n">
        <v>628959</v>
      </c>
      <c r="AL573" s="3" t="s">
        <v>6514</v>
      </c>
      <c r="AM573" s="2"/>
      <c r="AN573" s="2"/>
      <c r="AO573" s="3"/>
      <c r="AP573" s="3"/>
      <c r="AQ573" s="2"/>
    </row>
    <row r="574" customFormat="false" ht="46.25" hidden="false" customHeight="false" outlineLevel="0" collapsed="false">
      <c r="A574" s="2" t="n">
        <v>573</v>
      </c>
      <c r="B574" s="2" t="s">
        <v>6515</v>
      </c>
      <c r="C574" s="2" t="s">
        <v>6334</v>
      </c>
      <c r="D574" s="2" t="s">
        <v>6335</v>
      </c>
      <c r="E574" s="2" t="s">
        <v>6516</v>
      </c>
      <c r="F574" s="2" t="s">
        <v>6517</v>
      </c>
      <c r="G574" s="3" t="s">
        <v>6518</v>
      </c>
      <c r="H574" s="2" t="s">
        <v>6519</v>
      </c>
      <c r="I574" s="2" t="s">
        <v>123</v>
      </c>
      <c r="J574" s="3" t="s">
        <v>6520</v>
      </c>
      <c r="K574" s="2" t="s">
        <v>6521</v>
      </c>
      <c r="L574" s="2" t="s">
        <v>3931</v>
      </c>
      <c r="M574" s="2" t="s">
        <v>6519</v>
      </c>
      <c r="N574" s="2"/>
      <c r="O574" s="2" t="s">
        <v>53</v>
      </c>
      <c r="P574" s="2" t="n">
        <v>38.7235</v>
      </c>
      <c r="Q574" s="2" t="n">
        <v>36.3923</v>
      </c>
      <c r="R574" s="2" t="s">
        <v>54</v>
      </c>
      <c r="S574" s="2" t="n">
        <v>-190</v>
      </c>
      <c r="T574" s="2" t="s">
        <v>6522</v>
      </c>
      <c r="U574" s="2" t="s">
        <v>139</v>
      </c>
      <c r="V574" s="2" t="s">
        <v>97</v>
      </c>
      <c r="W574" s="2" t="s">
        <v>195</v>
      </c>
      <c r="X574" s="2" t="s">
        <v>246</v>
      </c>
      <c r="Y574" s="2" t="s">
        <v>6523</v>
      </c>
      <c r="Z574" s="2" t="s">
        <v>6524</v>
      </c>
      <c r="AA574" s="2"/>
      <c r="AB574" s="2" t="s">
        <v>81</v>
      </c>
      <c r="AC574" s="2"/>
      <c r="AD574" s="2"/>
      <c r="AE574" s="3"/>
      <c r="AF574" s="3" t="s">
        <v>6525</v>
      </c>
      <c r="AG574" s="2"/>
      <c r="AH574" s="2" t="s">
        <v>54</v>
      </c>
      <c r="AI574" s="3" t="s">
        <v>6526</v>
      </c>
      <c r="AJ574" s="3" t="s">
        <v>6527</v>
      </c>
      <c r="AK574" s="2" t="n">
        <v>628934</v>
      </c>
      <c r="AL574" s="3" t="s">
        <v>6528</v>
      </c>
      <c r="AM574" s="2"/>
      <c r="AN574" s="2"/>
      <c r="AO574" s="3" t="s">
        <v>6529</v>
      </c>
      <c r="AP574" s="3" t="s">
        <v>6530</v>
      </c>
      <c r="AQ574" s="2" t="s">
        <v>89</v>
      </c>
    </row>
    <row r="575" customFormat="false" ht="23.85" hidden="false" customHeight="false" outlineLevel="0" collapsed="false">
      <c r="A575" s="2" t="n">
        <v>574</v>
      </c>
      <c r="B575" s="2" t="s">
        <v>6531</v>
      </c>
      <c r="C575" s="2" t="s">
        <v>6334</v>
      </c>
      <c r="D575" s="2" t="s">
        <v>6335</v>
      </c>
      <c r="E575" s="2" t="s">
        <v>6532</v>
      </c>
      <c r="F575" s="2" t="s">
        <v>6533</v>
      </c>
      <c r="G575" s="3" t="s">
        <v>6534</v>
      </c>
      <c r="H575" s="2"/>
      <c r="I575" s="2" t="s">
        <v>74</v>
      </c>
      <c r="J575" s="3" t="s">
        <v>6535</v>
      </c>
      <c r="K575" s="2" t="s">
        <v>6521</v>
      </c>
      <c r="L575" s="2" t="s">
        <v>3931</v>
      </c>
      <c r="M575" s="2"/>
      <c r="N575" s="2"/>
      <c r="O575" s="2"/>
      <c r="P575" s="2" t="n">
        <v>38.154</v>
      </c>
      <c r="Q575" s="2" t="n">
        <v>35.7868</v>
      </c>
      <c r="R575" s="2" t="s">
        <v>95</v>
      </c>
      <c r="S575" s="2" t="n">
        <v>692</v>
      </c>
      <c r="T575" s="2" t="s">
        <v>791</v>
      </c>
      <c r="U575" s="2" t="s">
        <v>56</v>
      </c>
      <c r="V575" s="2" t="s">
        <v>245</v>
      </c>
      <c r="W575" s="2" t="s">
        <v>304</v>
      </c>
      <c r="X575" s="2" t="s">
        <v>289</v>
      </c>
      <c r="Y575" s="2"/>
      <c r="Z575" s="2" t="s">
        <v>170</v>
      </c>
      <c r="AA575" s="2"/>
      <c r="AB575" s="2" t="s">
        <v>63</v>
      </c>
      <c r="AC575" s="2" t="s">
        <v>64</v>
      </c>
      <c r="AD575" s="2"/>
      <c r="AE575" s="3" t="s">
        <v>6536</v>
      </c>
      <c r="AF575" s="3" t="s">
        <v>6537</v>
      </c>
      <c r="AG575" s="2"/>
      <c r="AH575" s="2" t="s">
        <v>113</v>
      </c>
      <c r="AI575" s="3" t="s">
        <v>6538</v>
      </c>
      <c r="AJ575" s="3" t="s">
        <v>6539</v>
      </c>
      <c r="AK575" s="2" t="n">
        <v>629009</v>
      </c>
      <c r="AL575" s="3" t="s">
        <v>6540</v>
      </c>
      <c r="AM575" s="2"/>
      <c r="AN575" s="2"/>
      <c r="AO575" s="3"/>
      <c r="AP575" s="3"/>
      <c r="AQ575" s="2"/>
    </row>
    <row r="576" customFormat="false" ht="46.25" hidden="false" customHeight="false" outlineLevel="0" collapsed="false">
      <c r="A576" s="2" t="n">
        <v>575</v>
      </c>
      <c r="B576" s="2" t="s">
        <v>6541</v>
      </c>
      <c r="C576" s="2" t="s">
        <v>6334</v>
      </c>
      <c r="D576" s="2" t="s">
        <v>6335</v>
      </c>
      <c r="E576" s="2" t="s">
        <v>6542</v>
      </c>
      <c r="F576" s="2" t="s">
        <v>6543</v>
      </c>
      <c r="G576" s="3" t="s">
        <v>6544</v>
      </c>
      <c r="H576" s="2" t="s">
        <v>6545</v>
      </c>
      <c r="I576" s="2" t="s">
        <v>49</v>
      </c>
      <c r="J576" s="3" t="s">
        <v>6546</v>
      </c>
      <c r="K576" s="2" t="s">
        <v>6521</v>
      </c>
      <c r="L576" s="2" t="s">
        <v>3931</v>
      </c>
      <c r="M576" s="2"/>
      <c r="N576" s="2"/>
      <c r="O576" s="2" t="s">
        <v>53</v>
      </c>
      <c r="P576" s="2" t="n">
        <v>37.9093</v>
      </c>
      <c r="Q576" s="2" t="n">
        <v>35.4829</v>
      </c>
      <c r="R576" s="2" t="s">
        <v>95</v>
      </c>
      <c r="S576" s="2" t="n">
        <v>-250</v>
      </c>
      <c r="T576" s="2" t="s">
        <v>2189</v>
      </c>
      <c r="U576" s="2" t="s">
        <v>139</v>
      </c>
      <c r="V576" s="2" t="s">
        <v>97</v>
      </c>
      <c r="W576" s="2" t="s">
        <v>195</v>
      </c>
      <c r="X576" s="2" t="s">
        <v>246</v>
      </c>
      <c r="Y576" s="2" t="s">
        <v>6547</v>
      </c>
      <c r="Z576" s="2" t="s">
        <v>6524</v>
      </c>
      <c r="AA576" s="2"/>
      <c r="AB576" s="2" t="s">
        <v>81</v>
      </c>
      <c r="AC576" s="2"/>
      <c r="AD576" s="2"/>
      <c r="AE576" s="3"/>
      <c r="AF576" s="3" t="s">
        <v>6548</v>
      </c>
      <c r="AG576" s="2" t="s">
        <v>6549</v>
      </c>
      <c r="AH576" s="2" t="s">
        <v>263</v>
      </c>
      <c r="AI576" s="3" t="s">
        <v>6550</v>
      </c>
      <c r="AJ576" s="3" t="s">
        <v>6551</v>
      </c>
      <c r="AK576" s="2" t="n">
        <v>648569</v>
      </c>
      <c r="AL576" s="3" t="s">
        <v>6552</v>
      </c>
      <c r="AM576" s="2"/>
      <c r="AN576" s="2"/>
      <c r="AO576" s="3" t="s">
        <v>6553</v>
      </c>
      <c r="AP576" s="3" t="s">
        <v>6554</v>
      </c>
      <c r="AQ576" s="2" t="s">
        <v>151</v>
      </c>
    </row>
    <row r="577" customFormat="false" ht="46.25" hidden="false" customHeight="false" outlineLevel="0" collapsed="false">
      <c r="A577" s="2" t="n">
        <v>576</v>
      </c>
      <c r="B577" s="2" t="s">
        <v>6555</v>
      </c>
      <c r="C577" s="2" t="s">
        <v>6334</v>
      </c>
      <c r="D577" s="2" t="s">
        <v>6335</v>
      </c>
      <c r="E577" s="2" t="s">
        <v>6556</v>
      </c>
      <c r="F577" s="2" t="s">
        <v>6557</v>
      </c>
      <c r="G577" s="3" t="s">
        <v>6558</v>
      </c>
      <c r="H577" s="2"/>
      <c r="I577" s="2" t="s">
        <v>74</v>
      </c>
      <c r="J577" s="3" t="s">
        <v>6559</v>
      </c>
      <c r="K577" s="2" t="s">
        <v>6521</v>
      </c>
      <c r="L577" s="2" t="s">
        <v>3931</v>
      </c>
      <c r="M577" s="2"/>
      <c r="N577" s="2"/>
      <c r="O577" s="2"/>
      <c r="P577" s="2" t="n">
        <v>38.8511</v>
      </c>
      <c r="Q577" s="2" t="n">
        <v>35.6353</v>
      </c>
      <c r="R577" s="2" t="s">
        <v>54</v>
      </c>
      <c r="S577" s="2" t="n">
        <v>-150</v>
      </c>
      <c r="T577" s="2" t="s">
        <v>2075</v>
      </c>
      <c r="U577" s="2" t="s">
        <v>56</v>
      </c>
      <c r="V577" s="2" t="s">
        <v>97</v>
      </c>
      <c r="W577" s="2" t="s">
        <v>195</v>
      </c>
      <c r="X577" s="2" t="s">
        <v>289</v>
      </c>
      <c r="Y577" s="2"/>
      <c r="Z577" s="2" t="s">
        <v>170</v>
      </c>
      <c r="AA577" s="2"/>
      <c r="AB577" s="2" t="s">
        <v>63</v>
      </c>
      <c r="AC577" s="2" t="s">
        <v>452</v>
      </c>
      <c r="AD577" s="2" t="s">
        <v>6560</v>
      </c>
      <c r="AE577" s="3" t="s">
        <v>6561</v>
      </c>
      <c r="AF577" s="3" t="s">
        <v>6562</v>
      </c>
      <c r="AG577" s="2"/>
      <c r="AH577" s="2" t="s">
        <v>113</v>
      </c>
      <c r="AI577" s="3" t="s">
        <v>6563</v>
      </c>
      <c r="AJ577" s="3" t="s">
        <v>6564</v>
      </c>
      <c r="AK577" s="2" t="n">
        <v>628923</v>
      </c>
      <c r="AL577" s="3" t="s">
        <v>6565</v>
      </c>
      <c r="AM577" s="2"/>
      <c r="AN577" s="2"/>
      <c r="AO577" s="3"/>
      <c r="AP577" s="3"/>
      <c r="AQ577" s="2"/>
    </row>
    <row r="578" customFormat="false" ht="46.25" hidden="false" customHeight="false" outlineLevel="0" collapsed="false">
      <c r="A578" s="2" t="n">
        <v>577</v>
      </c>
      <c r="B578" s="2" t="s">
        <v>6566</v>
      </c>
      <c r="C578" s="2" t="s">
        <v>6334</v>
      </c>
      <c r="D578" s="2" t="s">
        <v>6335</v>
      </c>
      <c r="E578" s="2" t="s">
        <v>6567</v>
      </c>
      <c r="F578" s="2" t="s">
        <v>6568</v>
      </c>
      <c r="G578" s="3" t="s">
        <v>6569</v>
      </c>
      <c r="H578" s="2" t="s">
        <v>6521</v>
      </c>
      <c r="I578" s="2" t="s">
        <v>123</v>
      </c>
      <c r="J578" s="3" t="s">
        <v>6570</v>
      </c>
      <c r="K578" s="2" t="s">
        <v>6521</v>
      </c>
      <c r="L578" s="2" t="s">
        <v>3931</v>
      </c>
      <c r="M578" s="2" t="s">
        <v>6571</v>
      </c>
      <c r="N578" s="2" t="s">
        <v>63</v>
      </c>
      <c r="O578" s="2" t="s">
        <v>582</v>
      </c>
      <c r="P578" s="2" t="n">
        <v>38.7264</v>
      </c>
      <c r="Q578" s="2" t="n">
        <v>35.4744</v>
      </c>
      <c r="R578" s="2" t="s">
        <v>54</v>
      </c>
      <c r="S578" s="2" t="n">
        <v>-160</v>
      </c>
      <c r="T578" s="2" t="s">
        <v>6572</v>
      </c>
      <c r="U578" s="2" t="s">
        <v>139</v>
      </c>
      <c r="V578" s="2" t="s">
        <v>97</v>
      </c>
      <c r="W578" s="2" t="s">
        <v>195</v>
      </c>
      <c r="X578" s="2" t="s">
        <v>246</v>
      </c>
      <c r="Y578" s="2" t="s">
        <v>6573</v>
      </c>
      <c r="Z578" s="2" t="s">
        <v>6524</v>
      </c>
      <c r="AA578" s="2"/>
      <c r="AB578" s="2" t="s">
        <v>63</v>
      </c>
      <c r="AC578" s="2" t="s">
        <v>64</v>
      </c>
      <c r="AD578" s="2"/>
      <c r="AE578" s="3" t="s">
        <v>6574</v>
      </c>
      <c r="AF578" s="3" t="s">
        <v>6575</v>
      </c>
      <c r="AG578" s="2"/>
      <c r="AH578" s="2" t="s">
        <v>54</v>
      </c>
      <c r="AI578" s="3" t="s">
        <v>6576</v>
      </c>
      <c r="AJ578" s="3" t="s">
        <v>6577</v>
      </c>
      <c r="AK578" s="2" t="n">
        <v>629035</v>
      </c>
      <c r="AL578" s="3" t="s">
        <v>6578</v>
      </c>
      <c r="AM578" s="2"/>
      <c r="AN578" s="2" t="s">
        <v>200</v>
      </c>
      <c r="AO578" s="3"/>
      <c r="AP578" s="3"/>
      <c r="AQ578" s="2"/>
    </row>
    <row r="579" customFormat="false" ht="35.05" hidden="false" customHeight="false" outlineLevel="0" collapsed="false">
      <c r="A579" s="2" t="n">
        <v>578</v>
      </c>
      <c r="B579" s="2" t="s">
        <v>6579</v>
      </c>
      <c r="C579" s="2" t="s">
        <v>6334</v>
      </c>
      <c r="D579" s="2" t="s">
        <v>6335</v>
      </c>
      <c r="E579" s="2" t="s">
        <v>6580</v>
      </c>
      <c r="F579" s="2" t="s">
        <v>6581</v>
      </c>
      <c r="G579" s="3" t="s">
        <v>6582</v>
      </c>
      <c r="H579" s="2"/>
      <c r="I579" s="2" t="s">
        <v>93</v>
      </c>
      <c r="J579" s="3" t="s">
        <v>6583</v>
      </c>
      <c r="K579" s="2" t="s">
        <v>6521</v>
      </c>
      <c r="L579" s="2" t="s">
        <v>3931</v>
      </c>
      <c r="M579" s="2"/>
      <c r="N579" s="2"/>
      <c r="O579" s="2"/>
      <c r="P579" s="2" t="n">
        <v>38.9042</v>
      </c>
      <c r="Q579" s="2" t="n">
        <v>35.244</v>
      </c>
      <c r="R579" s="2" t="s">
        <v>95</v>
      </c>
      <c r="S579" s="2" t="n">
        <v>550</v>
      </c>
      <c r="T579" s="2" t="s">
        <v>4063</v>
      </c>
      <c r="U579" s="2" t="s">
        <v>139</v>
      </c>
      <c r="V579" s="2" t="s">
        <v>97</v>
      </c>
      <c r="W579" s="2" t="s">
        <v>304</v>
      </c>
      <c r="X579" s="2" t="s">
        <v>141</v>
      </c>
      <c r="Y579" s="2" t="s">
        <v>6584</v>
      </c>
      <c r="Z579" s="2" t="s">
        <v>559</v>
      </c>
      <c r="AA579" s="2"/>
      <c r="AB579" s="2" t="s">
        <v>81</v>
      </c>
      <c r="AC579" s="2"/>
      <c r="AD579" s="2"/>
      <c r="AE579" s="3"/>
      <c r="AF579" s="3" t="s">
        <v>6585</v>
      </c>
      <c r="AG579" s="2"/>
      <c r="AH579" s="2" t="s">
        <v>113</v>
      </c>
      <c r="AI579" s="3" t="s">
        <v>6586</v>
      </c>
      <c r="AJ579" s="3" t="s">
        <v>6587</v>
      </c>
      <c r="AK579" s="2" t="n">
        <v>619177</v>
      </c>
      <c r="AL579" s="3" t="s">
        <v>6588</v>
      </c>
      <c r="AM579" s="2"/>
      <c r="AN579" s="2"/>
      <c r="AO579" s="3" t="s">
        <v>6589</v>
      </c>
      <c r="AP579" s="3" t="s">
        <v>6590</v>
      </c>
      <c r="AQ579" s="2" t="s">
        <v>106</v>
      </c>
    </row>
    <row r="580" customFormat="false" ht="46.25" hidden="false" customHeight="false" outlineLevel="0" collapsed="false">
      <c r="A580" s="2" t="n">
        <v>579</v>
      </c>
      <c r="B580" s="2" t="s">
        <v>6591</v>
      </c>
      <c r="C580" s="2" t="s">
        <v>6334</v>
      </c>
      <c r="D580" s="2" t="s">
        <v>6335</v>
      </c>
      <c r="E580" s="2" t="s">
        <v>6592</v>
      </c>
      <c r="F580" s="2" t="s">
        <v>4494</v>
      </c>
      <c r="G580" s="3"/>
      <c r="H580" s="2" t="s">
        <v>6593</v>
      </c>
      <c r="I580" s="2" t="s">
        <v>49</v>
      </c>
      <c r="J580" s="3" t="s">
        <v>6594</v>
      </c>
      <c r="K580" s="2" t="s">
        <v>6595</v>
      </c>
      <c r="L580" s="2" t="s">
        <v>3931</v>
      </c>
      <c r="M580" s="2"/>
      <c r="N580" s="2"/>
      <c r="O580" s="2" t="s">
        <v>53</v>
      </c>
      <c r="P580" s="2" t="n">
        <v>38.4303</v>
      </c>
      <c r="Q580" s="2" t="n">
        <v>34.7396</v>
      </c>
      <c r="R580" s="2" t="s">
        <v>95</v>
      </c>
      <c r="S580" s="2" t="n">
        <v>77</v>
      </c>
      <c r="T580" s="2" t="s">
        <v>1361</v>
      </c>
      <c r="U580" s="2" t="s">
        <v>56</v>
      </c>
      <c r="V580" s="2" t="s">
        <v>97</v>
      </c>
      <c r="W580" s="2" t="s">
        <v>140</v>
      </c>
      <c r="X580" s="2" t="s">
        <v>141</v>
      </c>
      <c r="Y580" s="2" t="s">
        <v>6596</v>
      </c>
      <c r="Z580" s="2" t="s">
        <v>143</v>
      </c>
      <c r="AA580" s="2"/>
      <c r="AB580" s="2" t="s">
        <v>81</v>
      </c>
      <c r="AC580" s="2"/>
      <c r="AD580" s="2"/>
      <c r="AE580" s="3"/>
      <c r="AF580" s="3" t="s">
        <v>6597</v>
      </c>
      <c r="AG580" s="2"/>
      <c r="AH580" s="2" t="s">
        <v>263</v>
      </c>
      <c r="AI580" s="3" t="s">
        <v>6598</v>
      </c>
      <c r="AJ580" s="3" t="s">
        <v>6599</v>
      </c>
      <c r="AK580" s="2" t="n">
        <v>619149</v>
      </c>
      <c r="AL580" s="3" t="s">
        <v>6600</v>
      </c>
      <c r="AM580" s="2"/>
      <c r="AN580" s="2"/>
      <c r="AO580" s="3" t="s">
        <v>6601</v>
      </c>
      <c r="AP580" s="3" t="s">
        <v>6602</v>
      </c>
      <c r="AQ580" s="2" t="s">
        <v>151</v>
      </c>
    </row>
    <row r="581" customFormat="false" ht="46.25" hidden="false" customHeight="false" outlineLevel="0" collapsed="false">
      <c r="A581" s="2" t="n">
        <v>580</v>
      </c>
      <c r="B581" s="2" t="s">
        <v>6603</v>
      </c>
      <c r="C581" s="2" t="s">
        <v>6334</v>
      </c>
      <c r="D581" s="2" t="s">
        <v>6335</v>
      </c>
      <c r="E581" s="2" t="s">
        <v>6604</v>
      </c>
      <c r="F581" s="2" t="s">
        <v>6605</v>
      </c>
      <c r="G581" s="3"/>
      <c r="H581" s="2"/>
      <c r="I581" s="2" t="s">
        <v>74</v>
      </c>
      <c r="J581" s="3" t="s">
        <v>6606</v>
      </c>
      <c r="K581" s="2" t="s">
        <v>6607</v>
      </c>
      <c r="L581" s="2" t="s">
        <v>3931</v>
      </c>
      <c r="M581" s="2"/>
      <c r="N581" s="2"/>
      <c r="O581" s="2"/>
      <c r="P581" s="2" t="n">
        <v>38.9327</v>
      </c>
      <c r="Q581" s="2" t="n">
        <v>33.9519</v>
      </c>
      <c r="R581" s="2" t="s">
        <v>95</v>
      </c>
      <c r="S581" s="2" t="n">
        <v>372</v>
      </c>
      <c r="T581" s="2" t="s">
        <v>6608</v>
      </c>
      <c r="U581" s="2" t="s">
        <v>56</v>
      </c>
      <c r="V581" s="2" t="s">
        <v>245</v>
      </c>
      <c r="W581" s="2" t="s">
        <v>304</v>
      </c>
      <c r="X581" s="2" t="s">
        <v>289</v>
      </c>
      <c r="Y581" s="2"/>
      <c r="Z581" s="2" t="s">
        <v>170</v>
      </c>
      <c r="AA581" s="2"/>
      <c r="AB581" s="2" t="s">
        <v>63</v>
      </c>
      <c r="AC581" s="2" t="s">
        <v>64</v>
      </c>
      <c r="AD581" s="2" t="s">
        <v>6609</v>
      </c>
      <c r="AE581" s="3" t="s">
        <v>6610</v>
      </c>
      <c r="AF581" s="3" t="s">
        <v>6611</v>
      </c>
      <c r="AG581" s="2"/>
      <c r="AH581" s="2" t="s">
        <v>54</v>
      </c>
      <c r="AI581" s="3" t="s">
        <v>6612</v>
      </c>
      <c r="AJ581" s="3" t="s">
        <v>6613</v>
      </c>
      <c r="AK581" s="2" t="n">
        <v>619222</v>
      </c>
      <c r="AL581" s="3" t="s">
        <v>6614</v>
      </c>
      <c r="AM581" s="2"/>
      <c r="AN581" s="2"/>
      <c r="AO581" s="3"/>
      <c r="AP581" s="3"/>
      <c r="AQ581" s="2"/>
    </row>
    <row r="582" customFormat="false" ht="35.05" hidden="false" customHeight="false" outlineLevel="0" collapsed="false">
      <c r="A582" s="2" t="n">
        <v>581</v>
      </c>
      <c r="B582" s="2" t="s">
        <v>6615</v>
      </c>
      <c r="C582" s="2" t="s">
        <v>6334</v>
      </c>
      <c r="D582" s="2" t="s">
        <v>6335</v>
      </c>
      <c r="E582" s="2" t="s">
        <v>6616</v>
      </c>
      <c r="F582" s="2" t="s">
        <v>6617</v>
      </c>
      <c r="G582" s="3" t="s">
        <v>6618</v>
      </c>
      <c r="H582" s="2" t="s">
        <v>6607</v>
      </c>
      <c r="I582" s="2" t="s">
        <v>123</v>
      </c>
      <c r="J582" s="3" t="s">
        <v>6619</v>
      </c>
      <c r="K582" s="2" t="s">
        <v>6607</v>
      </c>
      <c r="L582" s="2" t="s">
        <v>3931</v>
      </c>
      <c r="M582" s="2" t="s">
        <v>581</v>
      </c>
      <c r="N582" s="2" t="s">
        <v>63</v>
      </c>
      <c r="O582" s="2" t="s">
        <v>53</v>
      </c>
      <c r="P582" s="2" t="n">
        <v>38.3705</v>
      </c>
      <c r="Q582" s="2" t="n">
        <v>34.0269</v>
      </c>
      <c r="R582" s="2" t="s">
        <v>54</v>
      </c>
      <c r="S582" s="2" t="n">
        <v>-25</v>
      </c>
      <c r="T582" s="2" t="s">
        <v>3645</v>
      </c>
      <c r="U582" s="2" t="s">
        <v>139</v>
      </c>
      <c r="V582" s="2" t="s">
        <v>97</v>
      </c>
      <c r="W582" s="2" t="s">
        <v>140</v>
      </c>
      <c r="X582" s="2" t="s">
        <v>246</v>
      </c>
      <c r="Y582" s="2" t="s">
        <v>6620</v>
      </c>
      <c r="Z582" s="2" t="s">
        <v>6524</v>
      </c>
      <c r="AA582" s="2"/>
      <c r="AB582" s="2" t="s">
        <v>63</v>
      </c>
      <c r="AC582" s="2" t="s">
        <v>64</v>
      </c>
      <c r="AD582" s="2"/>
      <c r="AE582" s="3" t="s">
        <v>6621</v>
      </c>
      <c r="AF582" s="3" t="s">
        <v>6622</v>
      </c>
      <c r="AG582" s="2"/>
      <c r="AH582" s="2" t="s">
        <v>54</v>
      </c>
      <c r="AI582" s="3" t="s">
        <v>6623</v>
      </c>
      <c r="AJ582" s="3" t="s">
        <v>6624</v>
      </c>
      <c r="AK582" s="2" t="n">
        <v>619164</v>
      </c>
      <c r="AL582" s="3" t="s">
        <v>6625</v>
      </c>
      <c r="AM582" s="2"/>
      <c r="AN582" s="2"/>
      <c r="AO582" s="3"/>
      <c r="AP582" s="3"/>
      <c r="AQ582" s="2"/>
    </row>
    <row r="583" customFormat="false" ht="35.05" hidden="false" customHeight="false" outlineLevel="0" collapsed="false">
      <c r="A583" s="2" t="n">
        <v>582</v>
      </c>
      <c r="B583" s="2" t="s">
        <v>6626</v>
      </c>
      <c r="C583" s="2" t="s">
        <v>6334</v>
      </c>
      <c r="D583" s="2" t="s">
        <v>6335</v>
      </c>
      <c r="E583" s="2" t="s">
        <v>6627</v>
      </c>
      <c r="F583" s="2" t="s">
        <v>6628</v>
      </c>
      <c r="G583" s="3" t="s">
        <v>6629</v>
      </c>
      <c r="H583" s="2"/>
      <c r="I583" s="2" t="s">
        <v>74</v>
      </c>
      <c r="J583" s="3" t="s">
        <v>6630</v>
      </c>
      <c r="K583" s="2" t="s">
        <v>6607</v>
      </c>
      <c r="L583" s="2" t="s">
        <v>3931</v>
      </c>
      <c r="M583" s="2"/>
      <c r="N583" s="2"/>
      <c r="O583" s="2"/>
      <c r="P583" s="2" t="n">
        <v>38.1813</v>
      </c>
      <c r="Q583" s="2" t="n">
        <v>34.1807</v>
      </c>
      <c r="R583" s="2" t="s">
        <v>54</v>
      </c>
      <c r="S583" s="2" t="n">
        <v>536</v>
      </c>
      <c r="T583" s="2" t="s">
        <v>6631</v>
      </c>
      <c r="U583" s="2" t="s">
        <v>139</v>
      </c>
      <c r="V583" s="2" t="s">
        <v>245</v>
      </c>
      <c r="W583" s="2" t="s">
        <v>304</v>
      </c>
      <c r="X583" s="2" t="s">
        <v>141</v>
      </c>
      <c r="Y583" s="2" t="s">
        <v>6584</v>
      </c>
      <c r="Z583" s="2" t="s">
        <v>559</v>
      </c>
      <c r="AA583" s="2"/>
      <c r="AB583" s="2" t="s">
        <v>63</v>
      </c>
      <c r="AC583" s="2" t="s">
        <v>64</v>
      </c>
      <c r="AD583" s="2"/>
      <c r="AE583" s="3" t="s">
        <v>6632</v>
      </c>
      <c r="AF583" s="3" t="s">
        <v>6633</v>
      </c>
      <c r="AG583" s="2"/>
      <c r="AH583" s="2" t="s">
        <v>54</v>
      </c>
      <c r="AI583" s="3" t="s">
        <v>6634</v>
      </c>
      <c r="AJ583" s="3" t="s">
        <v>6635</v>
      </c>
      <c r="AK583" s="2" t="n">
        <v>619174</v>
      </c>
      <c r="AL583" s="3" t="s">
        <v>6636</v>
      </c>
      <c r="AM583" s="2"/>
      <c r="AN583" s="2"/>
      <c r="AO583" s="3"/>
      <c r="AP583" s="3"/>
      <c r="AQ583" s="2"/>
    </row>
    <row r="584" customFormat="false" ht="23.85" hidden="false" customHeight="false" outlineLevel="0" collapsed="false">
      <c r="A584" s="2" t="n">
        <v>583</v>
      </c>
      <c r="B584" s="2" t="s">
        <v>6637</v>
      </c>
      <c r="C584" s="2" t="s">
        <v>6334</v>
      </c>
      <c r="D584" s="2" t="s">
        <v>6335</v>
      </c>
      <c r="E584" s="2" t="s">
        <v>6638</v>
      </c>
      <c r="F584" s="2" t="s">
        <v>6639</v>
      </c>
      <c r="G584" s="3" t="s">
        <v>6640</v>
      </c>
      <c r="H584" s="2" t="s">
        <v>6641</v>
      </c>
      <c r="I584" s="2" t="s">
        <v>49</v>
      </c>
      <c r="J584" s="3" t="s">
        <v>6642</v>
      </c>
      <c r="K584" s="2" t="s">
        <v>6607</v>
      </c>
      <c r="L584" s="2" t="s">
        <v>3931</v>
      </c>
      <c r="M584" s="2"/>
      <c r="N584" s="2"/>
      <c r="O584" s="2" t="s">
        <v>53</v>
      </c>
      <c r="P584" s="2" t="n">
        <v>38.398</v>
      </c>
      <c r="Q584" s="2" t="n">
        <v>34.3498</v>
      </c>
      <c r="R584" s="2" t="s">
        <v>54</v>
      </c>
      <c r="S584" s="2" t="n">
        <v>329</v>
      </c>
      <c r="T584" s="2" t="s">
        <v>6643</v>
      </c>
      <c r="U584" s="2" t="s">
        <v>56</v>
      </c>
      <c r="V584" s="2" t="s">
        <v>57</v>
      </c>
      <c r="W584" s="2" t="s">
        <v>140</v>
      </c>
      <c r="X584" s="2" t="s">
        <v>289</v>
      </c>
      <c r="Y584" s="2"/>
      <c r="Z584" s="2" t="s">
        <v>170</v>
      </c>
      <c r="AA584" s="2"/>
      <c r="AB584" s="2" t="s">
        <v>63</v>
      </c>
      <c r="AC584" s="2" t="s">
        <v>64</v>
      </c>
      <c r="AD584" s="2"/>
      <c r="AE584" s="3" t="s">
        <v>6276</v>
      </c>
      <c r="AF584" s="3" t="s">
        <v>6644</v>
      </c>
      <c r="AG584" s="2"/>
      <c r="AH584" s="2" t="s">
        <v>54</v>
      </c>
      <c r="AI584" s="3" t="s">
        <v>6645</v>
      </c>
      <c r="AJ584" s="3" t="s">
        <v>6646</v>
      </c>
      <c r="AK584" s="2" t="n">
        <v>619218</v>
      </c>
      <c r="AL584" s="3" t="s">
        <v>6647</v>
      </c>
      <c r="AM584" s="2"/>
      <c r="AN584" s="2"/>
      <c r="AO584" s="3"/>
      <c r="AP584" s="3"/>
      <c r="AQ584" s="2"/>
    </row>
    <row r="585" customFormat="false" ht="23.85" hidden="false" customHeight="false" outlineLevel="0" collapsed="false">
      <c r="A585" s="2" t="n">
        <v>584</v>
      </c>
      <c r="B585" s="2" t="s">
        <v>6648</v>
      </c>
      <c r="C585" s="2" t="s">
        <v>6334</v>
      </c>
      <c r="D585" s="2" t="s">
        <v>6335</v>
      </c>
      <c r="E585" s="2" t="s">
        <v>6649</v>
      </c>
      <c r="F585" s="2" t="s">
        <v>6650</v>
      </c>
      <c r="G585" s="3"/>
      <c r="H585" s="2" t="s">
        <v>6651</v>
      </c>
      <c r="I585" s="2" t="s">
        <v>49</v>
      </c>
      <c r="J585" s="3" t="s">
        <v>6652</v>
      </c>
      <c r="K585" s="2" t="s">
        <v>6653</v>
      </c>
      <c r="L585" s="2" t="s">
        <v>3931</v>
      </c>
      <c r="M585" s="2"/>
      <c r="N585" s="2"/>
      <c r="O585" s="2" t="s">
        <v>53</v>
      </c>
      <c r="P585" s="2" t="n">
        <v>38.2298</v>
      </c>
      <c r="Q585" s="2" t="n">
        <v>34.6292</v>
      </c>
      <c r="R585" s="2" t="s">
        <v>54</v>
      </c>
      <c r="S585" s="2" t="n">
        <v>372</v>
      </c>
      <c r="T585" s="2" t="s">
        <v>6608</v>
      </c>
      <c r="U585" s="2" t="s">
        <v>56</v>
      </c>
      <c r="V585" s="2" t="s">
        <v>245</v>
      </c>
      <c r="W585" s="2" t="s">
        <v>304</v>
      </c>
      <c r="X585" s="2" t="s">
        <v>289</v>
      </c>
      <c r="Y585" s="2"/>
      <c r="Z585" s="2" t="s">
        <v>170</v>
      </c>
      <c r="AA585" s="2"/>
      <c r="AB585" s="2" t="s">
        <v>63</v>
      </c>
      <c r="AC585" s="2" t="s">
        <v>64</v>
      </c>
      <c r="AD585" s="2"/>
      <c r="AE585" s="3" t="s">
        <v>6276</v>
      </c>
      <c r="AF585" s="3" t="s">
        <v>6654</v>
      </c>
      <c r="AG585" s="2"/>
      <c r="AH585" s="2" t="s">
        <v>54</v>
      </c>
      <c r="AI585" s="3" t="s">
        <v>6655</v>
      </c>
      <c r="AJ585" s="3" t="s">
        <v>6656</v>
      </c>
      <c r="AK585" s="2" t="n">
        <v>619256</v>
      </c>
      <c r="AL585" s="3" t="s">
        <v>6657</v>
      </c>
      <c r="AM585" s="2"/>
      <c r="AN585" s="2"/>
      <c r="AO585" s="3"/>
      <c r="AP585" s="3"/>
      <c r="AQ585" s="2"/>
    </row>
    <row r="586" customFormat="false" ht="23.85" hidden="false" customHeight="false" outlineLevel="0" collapsed="false">
      <c r="A586" s="2" t="n">
        <v>585</v>
      </c>
      <c r="B586" s="2" t="s">
        <v>6658</v>
      </c>
      <c r="C586" s="2" t="s">
        <v>6334</v>
      </c>
      <c r="D586" s="2" t="s">
        <v>6335</v>
      </c>
      <c r="E586" s="2" t="s">
        <v>6659</v>
      </c>
      <c r="F586" s="2" t="s">
        <v>6660</v>
      </c>
      <c r="G586" s="3" t="s">
        <v>6661</v>
      </c>
      <c r="H586" s="2"/>
      <c r="I586" s="2" t="s">
        <v>74</v>
      </c>
      <c r="J586" s="3" t="s">
        <v>6662</v>
      </c>
      <c r="K586" s="2" t="s">
        <v>6653</v>
      </c>
      <c r="L586" s="2" t="s">
        <v>3931</v>
      </c>
      <c r="M586" s="2"/>
      <c r="N586" s="2"/>
      <c r="O586" s="2"/>
      <c r="P586" s="2" t="n">
        <v>38.2089</v>
      </c>
      <c r="Q586" s="2" t="n">
        <v>34.4243</v>
      </c>
      <c r="R586" s="2" t="s">
        <v>95</v>
      </c>
      <c r="S586" s="2" t="n">
        <v>375</v>
      </c>
      <c r="T586" s="2" t="s">
        <v>6413</v>
      </c>
      <c r="U586" s="2" t="s">
        <v>56</v>
      </c>
      <c r="V586" s="2" t="s">
        <v>57</v>
      </c>
      <c r="W586" s="2" t="s">
        <v>304</v>
      </c>
      <c r="X586" s="2" t="s">
        <v>289</v>
      </c>
      <c r="Y586" s="2"/>
      <c r="Z586" s="2" t="s">
        <v>170</v>
      </c>
      <c r="AA586" s="2"/>
      <c r="AB586" s="2" t="s">
        <v>63</v>
      </c>
      <c r="AC586" s="2" t="s">
        <v>64</v>
      </c>
      <c r="AD586" s="2"/>
      <c r="AE586" s="3" t="s">
        <v>6276</v>
      </c>
      <c r="AF586" s="3" t="s">
        <v>6663</v>
      </c>
      <c r="AG586" s="2"/>
      <c r="AH586" s="2" t="s">
        <v>113</v>
      </c>
      <c r="AI586" s="3" t="s">
        <v>6664</v>
      </c>
      <c r="AJ586" s="3" t="s">
        <v>6665</v>
      </c>
      <c r="AK586" s="2" t="n">
        <v>619151</v>
      </c>
      <c r="AL586" s="3" t="s">
        <v>6666</v>
      </c>
      <c r="AM586" s="2"/>
      <c r="AN586" s="2"/>
      <c r="AO586" s="3"/>
      <c r="AP586" s="3"/>
      <c r="AQ586" s="2"/>
    </row>
    <row r="587" customFormat="false" ht="46.25" hidden="false" customHeight="false" outlineLevel="0" collapsed="false">
      <c r="A587" s="2" t="n">
        <v>586</v>
      </c>
      <c r="B587" s="2" t="s">
        <v>6667</v>
      </c>
      <c r="C587" s="2" t="s">
        <v>6334</v>
      </c>
      <c r="D587" s="2" t="s">
        <v>6335</v>
      </c>
      <c r="E587" s="2" t="s">
        <v>6668</v>
      </c>
      <c r="F587" s="2" t="s">
        <v>6669</v>
      </c>
      <c r="G587" s="3" t="s">
        <v>6670</v>
      </c>
      <c r="H587" s="2" t="s">
        <v>6671</v>
      </c>
      <c r="I587" s="2" t="s">
        <v>123</v>
      </c>
      <c r="J587" s="3" t="s">
        <v>6672</v>
      </c>
      <c r="K587" s="2" t="s">
        <v>6653</v>
      </c>
      <c r="L587" s="2" t="s">
        <v>3931</v>
      </c>
      <c r="M587" s="2"/>
      <c r="N587" s="2"/>
      <c r="O587" s="2" t="s">
        <v>53</v>
      </c>
      <c r="P587" s="2" t="n">
        <v>37.8232</v>
      </c>
      <c r="Q587" s="2" t="n">
        <v>34.5722</v>
      </c>
      <c r="R587" s="2" t="s">
        <v>54</v>
      </c>
      <c r="S587" s="2" t="n">
        <v>-165</v>
      </c>
      <c r="T587" s="2" t="s">
        <v>6673</v>
      </c>
      <c r="U587" s="2" t="s">
        <v>139</v>
      </c>
      <c r="V587" s="2" t="s">
        <v>97</v>
      </c>
      <c r="W587" s="2" t="s">
        <v>195</v>
      </c>
      <c r="X587" s="2" t="s">
        <v>246</v>
      </c>
      <c r="Y587" s="2" t="s">
        <v>6674</v>
      </c>
      <c r="Z587" s="2" t="s">
        <v>6524</v>
      </c>
      <c r="AA587" s="2"/>
      <c r="AB587" s="2" t="s">
        <v>63</v>
      </c>
      <c r="AC587" s="2" t="s">
        <v>452</v>
      </c>
      <c r="AD587" s="2" t="s">
        <v>6675</v>
      </c>
      <c r="AE587" s="3" t="s">
        <v>6676</v>
      </c>
      <c r="AF587" s="3" t="s">
        <v>6677</v>
      </c>
      <c r="AG587" s="2"/>
      <c r="AH587" s="2" t="s">
        <v>54</v>
      </c>
      <c r="AI587" s="3" t="s">
        <v>6678</v>
      </c>
      <c r="AJ587" s="3" t="s">
        <v>6679</v>
      </c>
      <c r="AK587" s="2" t="n">
        <v>648801</v>
      </c>
      <c r="AL587" s="3" t="s">
        <v>6680</v>
      </c>
      <c r="AM587" s="2"/>
      <c r="AN587" s="2"/>
      <c r="AO587" s="3"/>
      <c r="AP587" s="3"/>
      <c r="AQ587" s="2"/>
    </row>
    <row r="588" customFormat="false" ht="35.05" hidden="false" customHeight="false" outlineLevel="0" collapsed="false">
      <c r="A588" s="2" t="n">
        <v>587</v>
      </c>
      <c r="B588" s="2" t="s">
        <v>6681</v>
      </c>
      <c r="C588" s="2" t="s">
        <v>6334</v>
      </c>
      <c r="D588" s="2" t="s">
        <v>6335</v>
      </c>
      <c r="E588" s="2" t="s">
        <v>6682</v>
      </c>
      <c r="F588" s="2" t="s">
        <v>6683</v>
      </c>
      <c r="G588" s="3" t="s">
        <v>6684</v>
      </c>
      <c r="H588" s="2"/>
      <c r="I588" s="2" t="s">
        <v>74</v>
      </c>
      <c r="J588" s="3" t="s">
        <v>6685</v>
      </c>
      <c r="K588" s="2" t="s">
        <v>6653</v>
      </c>
      <c r="L588" s="2" t="s">
        <v>3931</v>
      </c>
      <c r="M588" s="2"/>
      <c r="N588" s="2"/>
      <c r="O588" s="2"/>
      <c r="P588" s="2" t="n">
        <v>37.6594</v>
      </c>
      <c r="Q588" s="2" t="n">
        <v>34.7236</v>
      </c>
      <c r="R588" s="2" t="s">
        <v>54</v>
      </c>
      <c r="S588" s="2" t="n">
        <v>176</v>
      </c>
      <c r="T588" s="2" t="s">
        <v>6686</v>
      </c>
      <c r="U588" s="2" t="s">
        <v>139</v>
      </c>
      <c r="V588" s="2" t="s">
        <v>245</v>
      </c>
      <c r="W588" s="2" t="s">
        <v>140</v>
      </c>
      <c r="X588" s="2" t="s">
        <v>141</v>
      </c>
      <c r="Y588" s="2" t="s">
        <v>6687</v>
      </c>
      <c r="Z588" s="2" t="s">
        <v>143</v>
      </c>
      <c r="AA588" s="2"/>
      <c r="AB588" s="2" t="s">
        <v>63</v>
      </c>
      <c r="AC588" s="2" t="s">
        <v>64</v>
      </c>
      <c r="AD588" s="2"/>
      <c r="AE588" s="3" t="s">
        <v>6688</v>
      </c>
      <c r="AF588" s="3" t="s">
        <v>6689</v>
      </c>
      <c r="AG588" s="2"/>
      <c r="AH588" s="2" t="s">
        <v>54</v>
      </c>
      <c r="AI588" s="3" t="s">
        <v>6690</v>
      </c>
      <c r="AJ588" s="3" t="s">
        <v>6691</v>
      </c>
      <c r="AK588" s="2" t="n">
        <v>648608</v>
      </c>
      <c r="AL588" s="3" t="s">
        <v>6692</v>
      </c>
      <c r="AM588" s="2"/>
      <c r="AN588" s="2"/>
      <c r="AO588" s="3"/>
      <c r="AP588" s="3"/>
      <c r="AQ588" s="2"/>
    </row>
    <row r="589" customFormat="false" ht="35.05" hidden="false" customHeight="false" outlineLevel="0" collapsed="false">
      <c r="A589" s="2" t="n">
        <v>588</v>
      </c>
      <c r="B589" s="2" t="s">
        <v>6693</v>
      </c>
      <c r="C589" s="2" t="s">
        <v>6334</v>
      </c>
      <c r="D589" s="2" t="s">
        <v>6335</v>
      </c>
      <c r="E589" s="2" t="s">
        <v>6694</v>
      </c>
      <c r="F589" s="2" t="s">
        <v>6695</v>
      </c>
      <c r="G589" s="3" t="s">
        <v>6696</v>
      </c>
      <c r="H589" s="2" t="s">
        <v>6697</v>
      </c>
      <c r="I589" s="2" t="s">
        <v>123</v>
      </c>
      <c r="J589" s="3" t="s">
        <v>6698</v>
      </c>
      <c r="K589" s="2" t="s">
        <v>6499</v>
      </c>
      <c r="L589" s="2" t="s">
        <v>3049</v>
      </c>
      <c r="M589" s="2" t="s">
        <v>6697</v>
      </c>
      <c r="N589" s="2"/>
      <c r="O589" s="2" t="s">
        <v>53</v>
      </c>
      <c r="P589" s="2" t="n">
        <v>38.246</v>
      </c>
      <c r="Q589" s="2" t="n">
        <v>36.9117</v>
      </c>
      <c r="R589" s="2" t="s">
        <v>54</v>
      </c>
      <c r="S589" s="2" t="n">
        <v>451</v>
      </c>
      <c r="T589" s="2" t="s">
        <v>2373</v>
      </c>
      <c r="U589" s="2" t="s">
        <v>56</v>
      </c>
      <c r="V589" s="2" t="s">
        <v>245</v>
      </c>
      <c r="W589" s="2" t="s">
        <v>304</v>
      </c>
      <c r="X589" s="2" t="s">
        <v>289</v>
      </c>
      <c r="Y589" s="2"/>
      <c r="Z589" s="2" t="s">
        <v>170</v>
      </c>
      <c r="AA589" s="2"/>
      <c r="AB589" s="2" t="s">
        <v>63</v>
      </c>
      <c r="AC589" s="2" t="s">
        <v>64</v>
      </c>
      <c r="AD589" s="2"/>
      <c r="AE589" s="3" t="s">
        <v>6699</v>
      </c>
      <c r="AF589" s="3" t="s">
        <v>6700</v>
      </c>
      <c r="AG589" s="2"/>
      <c r="AH589" s="2" t="s">
        <v>113</v>
      </c>
      <c r="AI589" s="3" t="s">
        <v>6701</v>
      </c>
      <c r="AJ589" s="3" t="s">
        <v>6702</v>
      </c>
      <c r="AK589" s="2" t="n">
        <v>628925</v>
      </c>
      <c r="AL589" s="3" t="s">
        <v>6703</v>
      </c>
      <c r="AM589" s="2"/>
      <c r="AN589" s="2"/>
      <c r="AO589" s="3"/>
      <c r="AP589" s="3"/>
      <c r="AQ589" s="2"/>
    </row>
    <row r="590" customFormat="false" ht="68.65" hidden="false" customHeight="false" outlineLevel="0" collapsed="false">
      <c r="A590" s="2" t="n">
        <v>589</v>
      </c>
      <c r="B590" s="2" t="s">
        <v>6704</v>
      </c>
      <c r="C590" s="2" t="s">
        <v>6705</v>
      </c>
      <c r="D590" s="2" t="s">
        <v>6706</v>
      </c>
      <c r="E590" s="2" t="s">
        <v>6707</v>
      </c>
      <c r="F590" s="2" t="s">
        <v>6708</v>
      </c>
      <c r="G590" s="3" t="s">
        <v>6709</v>
      </c>
      <c r="H590" s="2" t="s">
        <v>6499</v>
      </c>
      <c r="I590" s="2" t="s">
        <v>123</v>
      </c>
      <c r="J590" s="3" t="s">
        <v>6710</v>
      </c>
      <c r="K590" s="2" t="s">
        <v>6499</v>
      </c>
      <c r="L590" s="2" t="s">
        <v>3049</v>
      </c>
      <c r="M590" s="2" t="s">
        <v>6711</v>
      </c>
      <c r="N590" s="2" t="s">
        <v>63</v>
      </c>
      <c r="O590" s="2" t="s">
        <v>422</v>
      </c>
      <c r="P590" s="2" t="n">
        <v>37.5841</v>
      </c>
      <c r="Q590" s="2" t="n">
        <v>36.9264</v>
      </c>
      <c r="R590" s="2" t="s">
        <v>54</v>
      </c>
      <c r="S590" s="2" t="n">
        <v>40</v>
      </c>
      <c r="T590" s="2" t="s">
        <v>4632</v>
      </c>
      <c r="U590" s="2" t="s">
        <v>139</v>
      </c>
      <c r="V590" s="2" t="s">
        <v>97</v>
      </c>
      <c r="W590" s="2" t="s">
        <v>140</v>
      </c>
      <c r="X590" s="2" t="s">
        <v>246</v>
      </c>
      <c r="Y590" s="2" t="s">
        <v>4008</v>
      </c>
      <c r="Z590" s="2" t="s">
        <v>4009</v>
      </c>
      <c r="AA590" s="2"/>
      <c r="AB590" s="2" t="s">
        <v>63</v>
      </c>
      <c r="AC590" s="2" t="s">
        <v>64</v>
      </c>
      <c r="AD590" s="2" t="s">
        <v>6712</v>
      </c>
      <c r="AE590" s="3" t="s">
        <v>6713</v>
      </c>
      <c r="AF590" s="3" t="s">
        <v>6714</v>
      </c>
      <c r="AG590" s="2" t="s">
        <v>6715</v>
      </c>
      <c r="AH590" s="2" t="s">
        <v>113</v>
      </c>
      <c r="AI590" s="3" t="s">
        <v>6716</v>
      </c>
      <c r="AJ590" s="3" t="s">
        <v>6717</v>
      </c>
      <c r="AK590" s="2"/>
      <c r="AL590" s="3" t="s">
        <v>6718</v>
      </c>
      <c r="AM590" s="2" t="s">
        <v>63</v>
      </c>
      <c r="AN590" s="2" t="s">
        <v>6719</v>
      </c>
      <c r="AO590" s="3"/>
      <c r="AP590" s="3"/>
      <c r="AQ590" s="2"/>
    </row>
    <row r="591" customFormat="false" ht="68.65" hidden="false" customHeight="false" outlineLevel="0" collapsed="false">
      <c r="A591" s="2" t="n">
        <v>590</v>
      </c>
      <c r="B591" s="2" t="s">
        <v>6720</v>
      </c>
      <c r="C591" s="2" t="s">
        <v>6705</v>
      </c>
      <c r="D591" s="2" t="s">
        <v>6706</v>
      </c>
      <c r="E591" s="2" t="s">
        <v>6721</v>
      </c>
      <c r="F591" s="2" t="s">
        <v>6722</v>
      </c>
      <c r="G591" s="3" t="s">
        <v>6723</v>
      </c>
      <c r="H591" s="2" t="s">
        <v>6724</v>
      </c>
      <c r="I591" s="2" t="s">
        <v>49</v>
      </c>
      <c r="J591" s="3" t="s">
        <v>6725</v>
      </c>
      <c r="K591" s="2" t="s">
        <v>4714</v>
      </c>
      <c r="L591" s="2" t="s">
        <v>4715</v>
      </c>
      <c r="M591" s="2"/>
      <c r="N591" s="2"/>
      <c r="O591" s="2" t="s">
        <v>5</v>
      </c>
      <c r="P591" s="2" t="n">
        <v>37.1278</v>
      </c>
      <c r="Q591" s="2" t="n">
        <v>37.3452</v>
      </c>
      <c r="R591" s="2" t="s">
        <v>54</v>
      </c>
      <c r="S591" s="2" t="n">
        <v>-250</v>
      </c>
      <c r="T591" s="2" t="s">
        <v>2189</v>
      </c>
      <c r="U591" s="2" t="s">
        <v>77</v>
      </c>
      <c r="V591" s="2" t="s">
        <v>78</v>
      </c>
      <c r="W591" s="2" t="s">
        <v>195</v>
      </c>
      <c r="X591" s="2" t="s">
        <v>246</v>
      </c>
      <c r="Y591" s="2" t="s">
        <v>6726</v>
      </c>
      <c r="Z591" s="2" t="s">
        <v>2168</v>
      </c>
      <c r="AA591" s="2"/>
      <c r="AB591" s="2" t="s">
        <v>63</v>
      </c>
      <c r="AC591" s="2" t="s">
        <v>77</v>
      </c>
      <c r="AD591" s="2"/>
      <c r="AE591" s="3"/>
      <c r="AF591" s="3" t="s">
        <v>6727</v>
      </c>
      <c r="AG591" s="2" t="s">
        <v>6728</v>
      </c>
      <c r="AH591" s="2" t="s">
        <v>113</v>
      </c>
      <c r="AI591" s="3" t="s">
        <v>6729</v>
      </c>
      <c r="AJ591" s="3" t="s">
        <v>6730</v>
      </c>
      <c r="AK591" s="2" t="n">
        <v>658455</v>
      </c>
      <c r="AL591" s="3" t="s">
        <v>6731</v>
      </c>
      <c r="AM591" s="2" t="s">
        <v>63</v>
      </c>
      <c r="AN591" s="2" t="s">
        <v>200</v>
      </c>
      <c r="AO591" s="3" t="s">
        <v>6732</v>
      </c>
      <c r="AP591" s="3" t="s">
        <v>6733</v>
      </c>
      <c r="AQ591" s="2" t="s">
        <v>151</v>
      </c>
    </row>
    <row r="592" customFormat="false" ht="35.05" hidden="false" customHeight="false" outlineLevel="0" collapsed="false">
      <c r="A592" s="2" t="n">
        <v>591</v>
      </c>
      <c r="B592" s="2" t="s">
        <v>6734</v>
      </c>
      <c r="C592" s="2" t="s">
        <v>6705</v>
      </c>
      <c r="D592" s="2" t="s">
        <v>6706</v>
      </c>
      <c r="E592" s="2" t="s">
        <v>6735</v>
      </c>
      <c r="F592" s="2" t="s">
        <v>6736</v>
      </c>
      <c r="G592" s="3" t="s">
        <v>6737</v>
      </c>
      <c r="H592" s="2"/>
      <c r="I592" s="2" t="s">
        <v>93</v>
      </c>
      <c r="J592" s="3" t="s">
        <v>6738</v>
      </c>
      <c r="K592" s="2" t="s">
        <v>4714</v>
      </c>
      <c r="L592" s="2" t="s">
        <v>4715</v>
      </c>
      <c r="M592" s="2"/>
      <c r="N592" s="2"/>
      <c r="O592" s="2"/>
      <c r="P592" s="2" t="n">
        <v>37.066</v>
      </c>
      <c r="Q592" s="2" t="n">
        <v>37.383</v>
      </c>
      <c r="R592" s="2" t="s">
        <v>637</v>
      </c>
      <c r="S592" s="2" t="n">
        <v>-250</v>
      </c>
      <c r="T592" s="2" t="s">
        <v>2189</v>
      </c>
      <c r="U592" s="2" t="s">
        <v>139</v>
      </c>
      <c r="V592" s="2" t="s">
        <v>97</v>
      </c>
      <c r="W592" s="2" t="s">
        <v>195</v>
      </c>
      <c r="X592" s="2" t="s">
        <v>246</v>
      </c>
      <c r="Y592" s="2" t="s">
        <v>6739</v>
      </c>
      <c r="Z592" s="2" t="s">
        <v>2168</v>
      </c>
      <c r="AA592" s="2"/>
      <c r="AB592" s="2" t="s">
        <v>81</v>
      </c>
      <c r="AC592" s="2"/>
      <c r="AD592" s="2"/>
      <c r="AE592" s="3"/>
      <c r="AF592" s="3" t="s">
        <v>6740</v>
      </c>
      <c r="AG592" s="2" t="s">
        <v>6741</v>
      </c>
      <c r="AH592" s="2" t="s">
        <v>263</v>
      </c>
      <c r="AI592" s="3" t="s">
        <v>6742</v>
      </c>
      <c r="AJ592" s="3" t="s">
        <v>6743</v>
      </c>
      <c r="AK592" s="2"/>
      <c r="AL592" s="3" t="s">
        <v>6744</v>
      </c>
      <c r="AM592" s="2" t="s">
        <v>63</v>
      </c>
      <c r="AN592" s="2"/>
      <c r="AO592" s="3" t="s">
        <v>6745</v>
      </c>
      <c r="AP592" s="3" t="s">
        <v>6746</v>
      </c>
      <c r="AQ592" s="2" t="s">
        <v>106</v>
      </c>
    </row>
    <row r="593" customFormat="false" ht="68.65" hidden="false" customHeight="false" outlineLevel="0" collapsed="false">
      <c r="A593" s="2" t="n">
        <v>592</v>
      </c>
      <c r="B593" s="2" t="s">
        <v>6747</v>
      </c>
      <c r="C593" s="2" t="s">
        <v>6705</v>
      </c>
      <c r="D593" s="2" t="s">
        <v>6706</v>
      </c>
      <c r="E593" s="2" t="s">
        <v>6748</v>
      </c>
      <c r="F593" s="2" t="s">
        <v>6749</v>
      </c>
      <c r="G593" s="3" t="s">
        <v>6750</v>
      </c>
      <c r="H593" s="2" t="s">
        <v>6751</v>
      </c>
      <c r="I593" s="2" t="s">
        <v>49</v>
      </c>
      <c r="J593" s="3" t="s">
        <v>6752</v>
      </c>
      <c r="K593" s="2" t="s">
        <v>6753</v>
      </c>
      <c r="L593" s="2" t="s">
        <v>4715</v>
      </c>
      <c r="M593" s="2"/>
      <c r="N593" s="2"/>
      <c r="O593" s="2" t="s">
        <v>53</v>
      </c>
      <c r="P593" s="2" t="n">
        <v>37.7945</v>
      </c>
      <c r="Q593" s="2" t="n">
        <v>38.2979</v>
      </c>
      <c r="R593" s="2" t="s">
        <v>54</v>
      </c>
      <c r="S593" s="2" t="n">
        <v>198</v>
      </c>
      <c r="T593" s="2" t="s">
        <v>6754</v>
      </c>
      <c r="U593" s="2" t="s">
        <v>56</v>
      </c>
      <c r="V593" s="2" t="s">
        <v>97</v>
      </c>
      <c r="W593" s="2" t="s">
        <v>140</v>
      </c>
      <c r="X593" s="2" t="s">
        <v>289</v>
      </c>
      <c r="Y593" s="2"/>
      <c r="Z593" s="2" t="s">
        <v>170</v>
      </c>
      <c r="AA593" s="2"/>
      <c r="AB593" s="2" t="s">
        <v>63</v>
      </c>
      <c r="AC593" s="2" t="s">
        <v>64</v>
      </c>
      <c r="AD593" s="2"/>
      <c r="AE593" s="3" t="s">
        <v>6755</v>
      </c>
      <c r="AF593" s="3" t="s">
        <v>6756</v>
      </c>
      <c r="AG593" s="2" t="s">
        <v>6757</v>
      </c>
      <c r="AH593" s="2" t="s">
        <v>113</v>
      </c>
      <c r="AI593" s="3" t="s">
        <v>6758</v>
      </c>
      <c r="AJ593" s="3" t="s">
        <v>6759</v>
      </c>
      <c r="AK593" s="2"/>
      <c r="AL593" s="3" t="s">
        <v>6760</v>
      </c>
      <c r="AM593" s="2" t="s">
        <v>63</v>
      </c>
      <c r="AN593" s="2"/>
      <c r="AO593" s="3"/>
      <c r="AP593" s="3"/>
      <c r="AQ593" s="2"/>
    </row>
    <row r="594" customFormat="false" ht="68.65" hidden="false" customHeight="false" outlineLevel="0" collapsed="false">
      <c r="A594" s="2" t="n">
        <v>593</v>
      </c>
      <c r="B594" s="2" t="s">
        <v>6761</v>
      </c>
      <c r="C594" s="2" t="s">
        <v>6705</v>
      </c>
      <c r="D594" s="2" t="s">
        <v>6706</v>
      </c>
      <c r="E594" s="2" t="s">
        <v>6762</v>
      </c>
      <c r="F594" s="2" t="s">
        <v>6763</v>
      </c>
      <c r="G594" s="3" t="s">
        <v>6764</v>
      </c>
      <c r="H594" s="2"/>
      <c r="I594" s="2" t="s">
        <v>74</v>
      </c>
      <c r="J594" s="3" t="s">
        <v>6765</v>
      </c>
      <c r="K594" s="2" t="s">
        <v>6753</v>
      </c>
      <c r="L594" s="2" t="s">
        <v>4715</v>
      </c>
      <c r="M594" s="2"/>
      <c r="N594" s="2"/>
      <c r="O594" s="2"/>
      <c r="P594" s="2" t="n">
        <v>37.5258</v>
      </c>
      <c r="Q594" s="2" t="n">
        <v>38.5304</v>
      </c>
      <c r="R594" s="2" t="s">
        <v>54</v>
      </c>
      <c r="S594" s="2" t="n">
        <v>72</v>
      </c>
      <c r="T594" s="2" t="s">
        <v>6766</v>
      </c>
      <c r="U594" s="2" t="s">
        <v>56</v>
      </c>
      <c r="V594" s="2" t="s">
        <v>245</v>
      </c>
      <c r="W594" s="2" t="s">
        <v>140</v>
      </c>
      <c r="X594" s="2" t="s">
        <v>289</v>
      </c>
      <c r="Y594" s="2"/>
      <c r="Z594" s="2" t="s">
        <v>170</v>
      </c>
      <c r="AA594" s="2"/>
      <c r="AB594" s="2" t="s">
        <v>63</v>
      </c>
      <c r="AC594" s="2" t="s">
        <v>64</v>
      </c>
      <c r="AD594" s="2" t="s">
        <v>6767</v>
      </c>
      <c r="AE594" s="3" t="s">
        <v>6768</v>
      </c>
      <c r="AF594" s="3" t="s">
        <v>6769</v>
      </c>
      <c r="AG594" s="2" t="s">
        <v>6770</v>
      </c>
      <c r="AH594" s="2" t="s">
        <v>54</v>
      </c>
      <c r="AI594" s="3" t="s">
        <v>6771</v>
      </c>
      <c r="AJ594" s="3" t="s">
        <v>6772</v>
      </c>
      <c r="AK594" s="2"/>
      <c r="AL594" s="3" t="s">
        <v>6773</v>
      </c>
      <c r="AM594" s="2" t="s">
        <v>63</v>
      </c>
      <c r="AN594" s="2"/>
      <c r="AO594" s="3"/>
      <c r="AP594" s="3"/>
      <c r="AQ594" s="2"/>
    </row>
    <row r="595" customFormat="false" ht="46.25" hidden="false" customHeight="false" outlineLevel="0" collapsed="false">
      <c r="A595" s="2" t="n">
        <v>594</v>
      </c>
      <c r="B595" s="2" t="s">
        <v>6774</v>
      </c>
      <c r="C595" s="2" t="s">
        <v>6705</v>
      </c>
      <c r="D595" s="2" t="s">
        <v>6706</v>
      </c>
      <c r="E595" s="2" t="s">
        <v>6775</v>
      </c>
      <c r="F595" s="2" t="s">
        <v>6776</v>
      </c>
      <c r="G595" s="3" t="s">
        <v>6777</v>
      </c>
      <c r="H595" s="2"/>
      <c r="I595" s="2" t="s">
        <v>74</v>
      </c>
      <c r="J595" s="3" t="s">
        <v>6778</v>
      </c>
      <c r="K595" s="2" t="s">
        <v>4714</v>
      </c>
      <c r="L595" s="2" t="s">
        <v>4715</v>
      </c>
      <c r="M595" s="2"/>
      <c r="N595" s="2"/>
      <c r="O595" s="2"/>
      <c r="P595" s="2" t="n">
        <v>37.0577</v>
      </c>
      <c r="Q595" s="2" t="n">
        <v>37.8702</v>
      </c>
      <c r="R595" s="2" t="s">
        <v>54</v>
      </c>
      <c r="S595" s="2" t="n">
        <v>-300</v>
      </c>
      <c r="T595" s="2" t="s">
        <v>1942</v>
      </c>
      <c r="U595" s="2" t="s">
        <v>139</v>
      </c>
      <c r="V595" s="2" t="s">
        <v>57</v>
      </c>
      <c r="W595" s="2" t="s">
        <v>195</v>
      </c>
      <c r="X595" s="2" t="s">
        <v>246</v>
      </c>
      <c r="Y595" s="2" t="s">
        <v>2238</v>
      </c>
      <c r="Z595" s="2" t="s">
        <v>2168</v>
      </c>
      <c r="AA595" s="2"/>
      <c r="AB595" s="2" t="s">
        <v>81</v>
      </c>
      <c r="AC595" s="2"/>
      <c r="AD595" s="2"/>
      <c r="AE595" s="3" t="s">
        <v>6779</v>
      </c>
      <c r="AF595" s="3" t="s">
        <v>6780</v>
      </c>
      <c r="AG595" s="2" t="s">
        <v>6781</v>
      </c>
      <c r="AH595" s="2" t="s">
        <v>54</v>
      </c>
      <c r="AI595" s="3" t="s">
        <v>6782</v>
      </c>
      <c r="AJ595" s="3" t="s">
        <v>6783</v>
      </c>
      <c r="AK595" s="2" t="n">
        <v>658636</v>
      </c>
      <c r="AL595" s="3" t="s">
        <v>6784</v>
      </c>
      <c r="AM595" s="2" t="s">
        <v>63</v>
      </c>
      <c r="AN595" s="2"/>
      <c r="AO595" s="3" t="s">
        <v>6785</v>
      </c>
      <c r="AP595" s="3" t="s">
        <v>6786</v>
      </c>
      <c r="AQ595" s="2" t="s">
        <v>151</v>
      </c>
    </row>
    <row r="596" customFormat="false" ht="68.65" hidden="false" customHeight="false" outlineLevel="0" collapsed="false">
      <c r="A596" s="2" t="n">
        <v>595</v>
      </c>
      <c r="B596" s="2" t="s">
        <v>6787</v>
      </c>
      <c r="C596" s="2" t="s">
        <v>6705</v>
      </c>
      <c r="D596" s="2" t="s">
        <v>6706</v>
      </c>
      <c r="E596" s="2" t="s">
        <v>6788</v>
      </c>
      <c r="F596" s="2" t="s">
        <v>6789</v>
      </c>
      <c r="G596" s="3" t="s">
        <v>6790</v>
      </c>
      <c r="H596" s="2"/>
      <c r="I596" s="2" t="s">
        <v>74</v>
      </c>
      <c r="J596" s="3" t="s">
        <v>6791</v>
      </c>
      <c r="K596" s="2" t="s">
        <v>4714</v>
      </c>
      <c r="L596" s="2" t="s">
        <v>4715</v>
      </c>
      <c r="M596" s="2"/>
      <c r="N596" s="2"/>
      <c r="O596" s="2"/>
      <c r="P596" s="2" t="n">
        <v>37.1104</v>
      </c>
      <c r="Q596" s="2" t="n">
        <v>37.8655</v>
      </c>
      <c r="R596" s="2" t="s">
        <v>95</v>
      </c>
      <c r="S596" s="2" t="n">
        <v>-200</v>
      </c>
      <c r="T596" s="2" t="s">
        <v>194</v>
      </c>
      <c r="U596" s="2" t="s">
        <v>139</v>
      </c>
      <c r="V596" s="2" t="s">
        <v>97</v>
      </c>
      <c r="W596" s="2" t="s">
        <v>195</v>
      </c>
      <c r="X596" s="2" t="s">
        <v>246</v>
      </c>
      <c r="Y596" s="2" t="s">
        <v>6792</v>
      </c>
      <c r="Z596" s="2" t="s">
        <v>2168</v>
      </c>
      <c r="AA596" s="2"/>
      <c r="AB596" s="2" t="s">
        <v>63</v>
      </c>
      <c r="AC596" s="2" t="s">
        <v>77</v>
      </c>
      <c r="AD596" s="2"/>
      <c r="AE596" s="3" t="s">
        <v>6793</v>
      </c>
      <c r="AF596" s="3" t="s">
        <v>6794</v>
      </c>
      <c r="AG596" s="2" t="s">
        <v>6795</v>
      </c>
      <c r="AH596" s="2" t="s">
        <v>263</v>
      </c>
      <c r="AI596" s="3" t="s">
        <v>6796</v>
      </c>
      <c r="AJ596" s="3" t="s">
        <v>6797</v>
      </c>
      <c r="AK596" s="2" t="n">
        <v>658562</v>
      </c>
      <c r="AL596" s="3" t="s">
        <v>6798</v>
      </c>
      <c r="AM596" s="2" t="s">
        <v>63</v>
      </c>
      <c r="AN596" s="2"/>
      <c r="AO596" s="3"/>
      <c r="AP596" s="3"/>
      <c r="AQ596" s="2"/>
    </row>
    <row r="597" customFormat="false" ht="35.05" hidden="false" customHeight="false" outlineLevel="0" collapsed="false">
      <c r="A597" s="2" t="n">
        <v>596</v>
      </c>
      <c r="B597" s="2" t="s">
        <v>6799</v>
      </c>
      <c r="C597" s="2" t="s">
        <v>6705</v>
      </c>
      <c r="D597" s="2" t="s">
        <v>6706</v>
      </c>
      <c r="E597" s="2" t="s">
        <v>6800</v>
      </c>
      <c r="F597" s="2" t="s">
        <v>4355</v>
      </c>
      <c r="G597" s="3" t="s">
        <v>6801</v>
      </c>
      <c r="H597" s="2"/>
      <c r="I597" s="2" t="s">
        <v>93</v>
      </c>
      <c r="J597" s="3" t="s">
        <v>6802</v>
      </c>
      <c r="K597" s="2" t="s">
        <v>6803</v>
      </c>
      <c r="L597" s="2" t="s">
        <v>4715</v>
      </c>
      <c r="M597" s="2"/>
      <c r="N597" s="2"/>
      <c r="O597" s="2"/>
      <c r="P597" s="2" t="n">
        <v>37.0982</v>
      </c>
      <c r="Q597" s="2" t="n">
        <v>37.878</v>
      </c>
      <c r="R597" s="2" t="s">
        <v>95</v>
      </c>
      <c r="S597" s="2" t="n">
        <v>-170</v>
      </c>
      <c r="T597" s="2" t="s">
        <v>4295</v>
      </c>
      <c r="U597" s="2" t="s">
        <v>139</v>
      </c>
      <c r="V597" s="2" t="s">
        <v>97</v>
      </c>
      <c r="W597" s="2" t="s">
        <v>195</v>
      </c>
      <c r="X597" s="2" t="s">
        <v>246</v>
      </c>
      <c r="Y597" s="2" t="s">
        <v>6804</v>
      </c>
      <c r="Z597" s="2" t="s">
        <v>2168</v>
      </c>
      <c r="AA597" s="2"/>
      <c r="AB597" s="2" t="s">
        <v>81</v>
      </c>
      <c r="AC597" s="2"/>
      <c r="AD597" s="2"/>
      <c r="AE597" s="3"/>
      <c r="AF597" s="3" t="s">
        <v>6805</v>
      </c>
      <c r="AG597" s="2" t="s">
        <v>6806</v>
      </c>
      <c r="AH597" s="2" t="s">
        <v>263</v>
      </c>
      <c r="AI597" s="3" t="s">
        <v>6807</v>
      </c>
      <c r="AJ597" s="3" t="s">
        <v>6808</v>
      </c>
      <c r="AK597" s="2" t="n">
        <v>658460</v>
      </c>
      <c r="AL597" s="3" t="s">
        <v>6809</v>
      </c>
      <c r="AM597" s="2" t="s">
        <v>63</v>
      </c>
      <c r="AN597" s="2"/>
      <c r="AO597" s="3" t="s">
        <v>6810</v>
      </c>
      <c r="AP597" s="3" t="s">
        <v>6811</v>
      </c>
      <c r="AQ597" s="2" t="s">
        <v>106</v>
      </c>
    </row>
    <row r="598" customFormat="false" ht="124.6" hidden="false" customHeight="false" outlineLevel="0" collapsed="false">
      <c r="A598" s="2" t="n">
        <v>597</v>
      </c>
      <c r="B598" s="2" t="s">
        <v>6812</v>
      </c>
      <c r="C598" s="2" t="s">
        <v>6705</v>
      </c>
      <c r="D598" s="2" t="s">
        <v>6813</v>
      </c>
      <c r="E598" s="2" t="s">
        <v>6814</v>
      </c>
      <c r="F598" s="2" t="s">
        <v>6815</v>
      </c>
      <c r="G598" s="3" t="s">
        <v>6816</v>
      </c>
      <c r="H598" s="2"/>
      <c r="I598" s="2" t="s">
        <v>74</v>
      </c>
      <c r="J598" s="3" t="s">
        <v>6817</v>
      </c>
      <c r="K598" s="2" t="s">
        <v>6803</v>
      </c>
      <c r="L598" s="2" t="s">
        <v>4715</v>
      </c>
      <c r="M598" s="2"/>
      <c r="N598" s="2"/>
      <c r="O598" s="2"/>
      <c r="P598" s="2" t="n">
        <v>37.078</v>
      </c>
      <c r="Q598" s="2" t="n">
        <v>37.887</v>
      </c>
      <c r="R598" s="2" t="s">
        <v>54</v>
      </c>
      <c r="S598" s="2" t="n">
        <v>-300</v>
      </c>
      <c r="T598" s="2" t="s">
        <v>1942</v>
      </c>
      <c r="U598" s="2" t="s">
        <v>139</v>
      </c>
      <c r="V598" s="2" t="s">
        <v>57</v>
      </c>
      <c r="W598" s="2" t="s">
        <v>195</v>
      </c>
      <c r="X598" s="2" t="s">
        <v>246</v>
      </c>
      <c r="Y598" s="2" t="s">
        <v>2238</v>
      </c>
      <c r="Z598" s="2" t="s">
        <v>2168</v>
      </c>
      <c r="AA598" s="2"/>
      <c r="AB598" s="2" t="s">
        <v>81</v>
      </c>
      <c r="AC598" s="2"/>
      <c r="AD598" s="2"/>
      <c r="AE598" s="3"/>
      <c r="AF598" s="3" t="s">
        <v>6818</v>
      </c>
      <c r="AG598" s="2" t="s">
        <v>6819</v>
      </c>
      <c r="AH598" s="2" t="s">
        <v>54</v>
      </c>
      <c r="AI598" s="3" t="s">
        <v>6820</v>
      </c>
      <c r="AJ598" s="3" t="s">
        <v>6821</v>
      </c>
      <c r="AK598" s="2" t="n">
        <v>658385</v>
      </c>
      <c r="AL598" s="3" t="s">
        <v>6822</v>
      </c>
      <c r="AM598" s="2" t="s">
        <v>63</v>
      </c>
      <c r="AN598" s="2"/>
      <c r="AO598" s="3" t="s">
        <v>6823</v>
      </c>
      <c r="AP598" s="3" t="s">
        <v>6824</v>
      </c>
      <c r="AQ598" s="2" t="s">
        <v>89</v>
      </c>
    </row>
    <row r="599" customFormat="false" ht="46.25" hidden="false" customHeight="false" outlineLevel="0" collapsed="false">
      <c r="A599" s="2" t="n">
        <v>598</v>
      </c>
      <c r="B599" s="2" t="s">
        <v>6825</v>
      </c>
      <c r="C599" s="2" t="s">
        <v>6705</v>
      </c>
      <c r="D599" s="2" t="s">
        <v>6813</v>
      </c>
      <c r="E599" s="2" t="s">
        <v>6826</v>
      </c>
      <c r="F599" s="2" t="s">
        <v>6827</v>
      </c>
      <c r="G599" s="3" t="s">
        <v>6828</v>
      </c>
      <c r="H599" s="2"/>
      <c r="I599" s="2" t="s">
        <v>93</v>
      </c>
      <c r="J599" s="3" t="s">
        <v>6829</v>
      </c>
      <c r="K599" s="2" t="s">
        <v>6803</v>
      </c>
      <c r="L599" s="2" t="s">
        <v>4715</v>
      </c>
      <c r="M599" s="2"/>
      <c r="N599" s="2"/>
      <c r="O599" s="2"/>
      <c r="P599" s="2" t="n">
        <v>36.98</v>
      </c>
      <c r="Q599" s="2" t="n">
        <v>38.2</v>
      </c>
      <c r="R599" s="2" t="s">
        <v>637</v>
      </c>
      <c r="S599" s="2" t="n">
        <v>-300</v>
      </c>
      <c r="T599" s="2" t="s">
        <v>1942</v>
      </c>
      <c r="U599" s="2" t="s">
        <v>139</v>
      </c>
      <c r="V599" s="2" t="s">
        <v>97</v>
      </c>
      <c r="W599" s="2" t="s">
        <v>195</v>
      </c>
      <c r="X599" s="2" t="s">
        <v>246</v>
      </c>
      <c r="Y599" s="2" t="s">
        <v>6830</v>
      </c>
      <c r="Z599" s="2" t="s">
        <v>2168</v>
      </c>
      <c r="AA599" s="2"/>
      <c r="AB599" s="2" t="s">
        <v>81</v>
      </c>
      <c r="AC599" s="2"/>
      <c r="AD599" s="2"/>
      <c r="AE599" s="3"/>
      <c r="AF599" s="3" t="s">
        <v>6831</v>
      </c>
      <c r="AG599" s="2" t="s">
        <v>6832</v>
      </c>
      <c r="AH599" s="2" t="s">
        <v>113</v>
      </c>
      <c r="AI599" s="3" t="s">
        <v>6833</v>
      </c>
      <c r="AJ599" s="3" t="s">
        <v>6834</v>
      </c>
      <c r="AK599" s="2"/>
      <c r="AL599" s="3" t="s">
        <v>6835</v>
      </c>
      <c r="AM599" s="2" t="s">
        <v>63</v>
      </c>
      <c r="AN599" s="2"/>
      <c r="AO599" s="3" t="s">
        <v>6836</v>
      </c>
      <c r="AP599" s="3" t="s">
        <v>6837</v>
      </c>
      <c r="AQ599" s="2" t="s">
        <v>106</v>
      </c>
    </row>
    <row r="600" customFormat="false" ht="46.25" hidden="false" customHeight="false" outlineLevel="0" collapsed="false">
      <c r="A600" s="2" t="n">
        <v>599</v>
      </c>
      <c r="B600" s="2" t="s">
        <v>6838</v>
      </c>
      <c r="C600" s="2" t="s">
        <v>6705</v>
      </c>
      <c r="D600" s="2" t="s">
        <v>6813</v>
      </c>
      <c r="E600" s="2" t="s">
        <v>6839</v>
      </c>
      <c r="F600" s="2" t="s">
        <v>6840</v>
      </c>
      <c r="G600" s="3" t="s">
        <v>6841</v>
      </c>
      <c r="H600" s="2" t="s">
        <v>6842</v>
      </c>
      <c r="I600" s="2" t="s">
        <v>123</v>
      </c>
      <c r="J600" s="3" t="s">
        <v>6843</v>
      </c>
      <c r="K600" s="2" t="s">
        <v>6803</v>
      </c>
      <c r="L600" s="2" t="s">
        <v>4715</v>
      </c>
      <c r="M600" s="2" t="s">
        <v>6842</v>
      </c>
      <c r="N600" s="2"/>
      <c r="O600" s="2" t="s">
        <v>422</v>
      </c>
      <c r="P600" s="2" t="n">
        <v>36.9764</v>
      </c>
      <c r="Q600" s="2" t="n">
        <v>38.4244</v>
      </c>
      <c r="R600" s="2" t="s">
        <v>54</v>
      </c>
      <c r="S600" s="2" t="n">
        <v>-300</v>
      </c>
      <c r="T600" s="2" t="s">
        <v>1942</v>
      </c>
      <c r="U600" s="2" t="s">
        <v>139</v>
      </c>
      <c r="V600" s="2" t="s">
        <v>97</v>
      </c>
      <c r="W600" s="2" t="s">
        <v>195</v>
      </c>
      <c r="X600" s="2" t="s">
        <v>246</v>
      </c>
      <c r="Y600" s="2" t="s">
        <v>6844</v>
      </c>
      <c r="Z600" s="2" t="s">
        <v>2168</v>
      </c>
      <c r="AA600" s="2"/>
      <c r="AB600" s="2" t="s">
        <v>63</v>
      </c>
      <c r="AC600" s="2" t="s">
        <v>64</v>
      </c>
      <c r="AD600" s="2" t="s">
        <v>6845</v>
      </c>
      <c r="AE600" s="3" t="s">
        <v>6846</v>
      </c>
      <c r="AF600" s="3" t="s">
        <v>6847</v>
      </c>
      <c r="AG600" s="2" t="s">
        <v>6848</v>
      </c>
      <c r="AH600" s="2" t="s">
        <v>113</v>
      </c>
      <c r="AI600" s="3" t="s">
        <v>6849</v>
      </c>
      <c r="AJ600" s="3" t="s">
        <v>6850</v>
      </c>
      <c r="AK600" s="2" t="n">
        <v>658405</v>
      </c>
      <c r="AL600" s="3" t="s">
        <v>6851</v>
      </c>
      <c r="AM600" s="2" t="s">
        <v>63</v>
      </c>
      <c r="AN600" s="2" t="s">
        <v>6719</v>
      </c>
      <c r="AO600" s="3"/>
      <c r="AP600" s="3"/>
      <c r="AQ600" s="2"/>
    </row>
    <row r="601" customFormat="false" ht="57.45" hidden="false" customHeight="false" outlineLevel="0" collapsed="false">
      <c r="A601" s="2" t="n">
        <v>600</v>
      </c>
      <c r="B601" s="2" t="s">
        <v>6852</v>
      </c>
      <c r="C601" s="2" t="s">
        <v>6705</v>
      </c>
      <c r="D601" s="2" t="s">
        <v>6813</v>
      </c>
      <c r="E601" s="2" t="s">
        <v>6853</v>
      </c>
      <c r="F601" s="2" t="s">
        <v>6854</v>
      </c>
      <c r="G601" s="3" t="s">
        <v>6855</v>
      </c>
      <c r="H601" s="2" t="s">
        <v>6803</v>
      </c>
      <c r="I601" s="2" t="s">
        <v>123</v>
      </c>
      <c r="J601" s="3" t="s">
        <v>6856</v>
      </c>
      <c r="K601" s="2" t="s">
        <v>6803</v>
      </c>
      <c r="L601" s="2" t="s">
        <v>4715</v>
      </c>
      <c r="M601" s="2" t="s">
        <v>6857</v>
      </c>
      <c r="N601" s="2" t="s">
        <v>63</v>
      </c>
      <c r="O601" s="2" t="s">
        <v>422</v>
      </c>
      <c r="P601" s="2" t="n">
        <v>37.1486</v>
      </c>
      <c r="Q601" s="2" t="n">
        <v>38.7867</v>
      </c>
      <c r="R601" s="2" t="s">
        <v>54</v>
      </c>
      <c r="S601" s="2" t="n">
        <v>-303</v>
      </c>
      <c r="T601" s="2" t="s">
        <v>6858</v>
      </c>
      <c r="U601" s="2" t="s">
        <v>139</v>
      </c>
      <c r="V601" s="2" t="s">
        <v>57</v>
      </c>
      <c r="W601" s="2" t="s">
        <v>195</v>
      </c>
      <c r="X601" s="2" t="s">
        <v>246</v>
      </c>
      <c r="Y601" s="2" t="s">
        <v>2238</v>
      </c>
      <c r="Z601" s="2" t="s">
        <v>2168</v>
      </c>
      <c r="AA601" s="2"/>
      <c r="AB601" s="2" t="s">
        <v>63</v>
      </c>
      <c r="AC601" s="2" t="s">
        <v>64</v>
      </c>
      <c r="AD601" s="2" t="s">
        <v>6859</v>
      </c>
      <c r="AE601" s="3" t="s">
        <v>6860</v>
      </c>
      <c r="AF601" s="3" t="s">
        <v>6861</v>
      </c>
      <c r="AG601" s="2" t="s">
        <v>6862</v>
      </c>
      <c r="AH601" s="2" t="s">
        <v>54</v>
      </c>
      <c r="AI601" s="3" t="s">
        <v>6863</v>
      </c>
      <c r="AJ601" s="3" t="s">
        <v>6864</v>
      </c>
      <c r="AK601" s="2" t="n">
        <v>658457</v>
      </c>
      <c r="AL601" s="3" t="s">
        <v>6865</v>
      </c>
      <c r="AM601" s="2" t="s">
        <v>63</v>
      </c>
      <c r="AN601" s="2" t="s">
        <v>6719</v>
      </c>
      <c r="AO601" s="3"/>
      <c r="AP601" s="3"/>
      <c r="AQ601" s="2"/>
    </row>
    <row r="602" customFormat="false" ht="46.25" hidden="false" customHeight="false" outlineLevel="0" collapsed="false">
      <c r="A602" s="2" t="n">
        <v>601</v>
      </c>
      <c r="B602" s="2" t="s">
        <v>6866</v>
      </c>
      <c r="C602" s="2" t="s">
        <v>6705</v>
      </c>
      <c r="D602" s="2" t="s">
        <v>6813</v>
      </c>
      <c r="E602" s="2" t="s">
        <v>6867</v>
      </c>
      <c r="F602" s="2" t="s">
        <v>6868</v>
      </c>
      <c r="G602" s="3" t="s">
        <v>6869</v>
      </c>
      <c r="H602" s="2" t="s">
        <v>6870</v>
      </c>
      <c r="I602" s="2" t="s">
        <v>123</v>
      </c>
      <c r="J602" s="3" t="s">
        <v>6871</v>
      </c>
      <c r="K602" s="2" t="s">
        <v>6803</v>
      </c>
      <c r="L602" s="2" t="s">
        <v>4715</v>
      </c>
      <c r="M602" s="2" t="s">
        <v>6870</v>
      </c>
      <c r="N602" s="2"/>
      <c r="O602" s="2" t="s">
        <v>422</v>
      </c>
      <c r="P602" s="2" t="n">
        <v>36.8636</v>
      </c>
      <c r="Q602" s="2" t="n">
        <v>39.0307</v>
      </c>
      <c r="R602" s="2" t="s">
        <v>54</v>
      </c>
      <c r="S602" s="2" t="n">
        <v>-320</v>
      </c>
      <c r="T602" s="2" t="s">
        <v>2527</v>
      </c>
      <c r="U602" s="2" t="s">
        <v>139</v>
      </c>
      <c r="V602" s="2" t="s">
        <v>97</v>
      </c>
      <c r="W602" s="2" t="s">
        <v>195</v>
      </c>
      <c r="X602" s="2" t="s">
        <v>246</v>
      </c>
      <c r="Y602" s="2" t="s">
        <v>6872</v>
      </c>
      <c r="Z602" s="2" t="s">
        <v>248</v>
      </c>
      <c r="AA602" s="2"/>
      <c r="AB602" s="2" t="s">
        <v>63</v>
      </c>
      <c r="AC602" s="2" t="s">
        <v>452</v>
      </c>
      <c r="AD602" s="2" t="s">
        <v>6873</v>
      </c>
      <c r="AE602" s="3" t="s">
        <v>6874</v>
      </c>
      <c r="AF602" s="3" t="s">
        <v>6875</v>
      </c>
      <c r="AG602" s="2" t="s">
        <v>6876</v>
      </c>
      <c r="AH602" s="2" t="s">
        <v>54</v>
      </c>
      <c r="AI602" s="3" t="s">
        <v>6877</v>
      </c>
      <c r="AJ602" s="3" t="s">
        <v>6878</v>
      </c>
      <c r="AK602" s="2" t="n">
        <v>658427</v>
      </c>
      <c r="AL602" s="3" t="s">
        <v>6879</v>
      </c>
      <c r="AM602" s="2" t="s">
        <v>63</v>
      </c>
      <c r="AN602" s="2" t="s">
        <v>6719</v>
      </c>
      <c r="AO602" s="3"/>
      <c r="AP602" s="3"/>
      <c r="AQ602" s="2"/>
    </row>
    <row r="603" customFormat="false" ht="68.65" hidden="false" customHeight="false" outlineLevel="0" collapsed="false">
      <c r="A603" s="2" t="n">
        <v>602</v>
      </c>
      <c r="B603" s="2" t="s">
        <v>6880</v>
      </c>
      <c r="C603" s="2" t="s">
        <v>6705</v>
      </c>
      <c r="D603" s="2" t="s">
        <v>6813</v>
      </c>
      <c r="E603" s="2" t="s">
        <v>6881</v>
      </c>
      <c r="F603" s="2" t="s">
        <v>6882</v>
      </c>
      <c r="G603" s="3" t="s">
        <v>6883</v>
      </c>
      <c r="H603" s="2" t="s">
        <v>6884</v>
      </c>
      <c r="I603" s="2" t="s">
        <v>123</v>
      </c>
      <c r="J603" s="3" t="s">
        <v>6885</v>
      </c>
      <c r="K603" s="2" t="s">
        <v>6884</v>
      </c>
      <c r="L603" s="2" t="s">
        <v>4715</v>
      </c>
      <c r="M603" s="2" t="s">
        <v>6886</v>
      </c>
      <c r="N603" s="2" t="s">
        <v>63</v>
      </c>
      <c r="O603" s="2" t="s">
        <v>53</v>
      </c>
      <c r="P603" s="2" t="n">
        <v>37.9122</v>
      </c>
      <c r="Q603" s="2" t="n">
        <v>40.2334</v>
      </c>
      <c r="R603" s="2" t="s">
        <v>54</v>
      </c>
      <c r="S603" s="2" t="n">
        <v>381</v>
      </c>
      <c r="T603" s="2" t="s">
        <v>5553</v>
      </c>
      <c r="U603" s="2" t="s">
        <v>56</v>
      </c>
      <c r="V603" s="2" t="s">
        <v>245</v>
      </c>
      <c r="W603" s="2" t="s">
        <v>304</v>
      </c>
      <c r="X603" s="2" t="s">
        <v>289</v>
      </c>
      <c r="Y603" s="2"/>
      <c r="Z603" s="2" t="s">
        <v>170</v>
      </c>
      <c r="AA603" s="2"/>
      <c r="AB603" s="2" t="s">
        <v>63</v>
      </c>
      <c r="AC603" s="2" t="s">
        <v>64</v>
      </c>
      <c r="AD603" s="2" t="s">
        <v>6887</v>
      </c>
      <c r="AE603" s="3" t="s">
        <v>6888</v>
      </c>
      <c r="AF603" s="3" t="s">
        <v>6889</v>
      </c>
      <c r="AG603" s="2" t="s">
        <v>6890</v>
      </c>
      <c r="AH603" s="2" t="s">
        <v>263</v>
      </c>
      <c r="AI603" s="3" t="s">
        <v>6891</v>
      </c>
      <c r="AJ603" s="3" t="s">
        <v>6892</v>
      </c>
      <c r="AK603" s="2"/>
      <c r="AL603" s="3" t="s">
        <v>6893</v>
      </c>
      <c r="AM603" s="2" t="s">
        <v>63</v>
      </c>
      <c r="AN603" s="2"/>
      <c r="AO603" s="3"/>
      <c r="AP603" s="3"/>
      <c r="AQ603" s="2"/>
    </row>
    <row r="604" customFormat="false" ht="46.25" hidden="false" customHeight="false" outlineLevel="0" collapsed="false">
      <c r="A604" s="2" t="n">
        <v>603</v>
      </c>
      <c r="B604" s="2" t="s">
        <v>6894</v>
      </c>
      <c r="C604" s="2" t="s">
        <v>6705</v>
      </c>
      <c r="D604" s="2" t="s">
        <v>6813</v>
      </c>
      <c r="E604" s="2" t="s">
        <v>6895</v>
      </c>
      <c r="F604" s="2" t="s">
        <v>6896</v>
      </c>
      <c r="G604" s="3" t="s">
        <v>6897</v>
      </c>
      <c r="H604" s="2" t="s">
        <v>6898</v>
      </c>
      <c r="I604" s="2" t="s">
        <v>123</v>
      </c>
      <c r="J604" s="3" t="s">
        <v>6899</v>
      </c>
      <c r="K604" s="2" t="s">
        <v>6900</v>
      </c>
      <c r="L604" s="2" t="s">
        <v>4715</v>
      </c>
      <c r="M604" s="2" t="s">
        <v>6898</v>
      </c>
      <c r="N604" s="2"/>
      <c r="O604" s="2" t="s">
        <v>422</v>
      </c>
      <c r="P604" s="2" t="n">
        <v>37.0675</v>
      </c>
      <c r="Q604" s="2" t="n">
        <v>41.2154</v>
      </c>
      <c r="R604" s="2" t="s">
        <v>54</v>
      </c>
      <c r="S604" s="2" t="n">
        <v>-280</v>
      </c>
      <c r="T604" s="2" t="s">
        <v>2166</v>
      </c>
      <c r="U604" s="2" t="s">
        <v>139</v>
      </c>
      <c r="V604" s="2" t="s">
        <v>97</v>
      </c>
      <c r="W604" s="2" t="s">
        <v>195</v>
      </c>
      <c r="X604" s="2" t="s">
        <v>246</v>
      </c>
      <c r="Y604" s="2" t="s">
        <v>6901</v>
      </c>
      <c r="Z604" s="2" t="s">
        <v>2168</v>
      </c>
      <c r="AA604" s="2"/>
      <c r="AB604" s="2" t="s">
        <v>63</v>
      </c>
      <c r="AC604" s="2" t="s">
        <v>64</v>
      </c>
      <c r="AD604" s="2" t="s">
        <v>6902</v>
      </c>
      <c r="AE604" s="3" t="s">
        <v>6903</v>
      </c>
      <c r="AF604" s="3" t="s">
        <v>6904</v>
      </c>
      <c r="AG604" s="2" t="s">
        <v>6905</v>
      </c>
      <c r="AH604" s="2" t="s">
        <v>54</v>
      </c>
      <c r="AI604" s="3" t="s">
        <v>6906</v>
      </c>
      <c r="AJ604" s="3" t="s">
        <v>6907</v>
      </c>
      <c r="AK604" s="2" t="n">
        <v>874623</v>
      </c>
      <c r="AL604" s="3" t="s">
        <v>6908</v>
      </c>
      <c r="AM604" s="2" t="s">
        <v>63</v>
      </c>
      <c r="AN604" s="2" t="s">
        <v>6719</v>
      </c>
      <c r="AO604" s="3"/>
      <c r="AP604" s="3"/>
      <c r="AQ604" s="2"/>
    </row>
  </sheetData>
  <autoFilter ref="A1:AQ6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2"/>
    <col collapsed="false" customWidth="true" hidden="false" outlineLevel="0" max="4" min="4" style="0" width="60"/>
  </cols>
  <sheetData>
    <row r="1" customFormat="false" ht="15" hidden="false" customHeight="false" outlineLevel="0" collapsed="false">
      <c r="A1" s="4" t="s">
        <v>6909</v>
      </c>
    </row>
    <row r="3" customFormat="false" ht="15" hidden="false" customHeight="false" outlineLevel="0" collapsed="false">
      <c r="A3" s="5" t="s">
        <v>6910</v>
      </c>
      <c r="B3" s="6" t="n">
        <f aca="false">COUNTA(Cities!B2:B604)</f>
        <v>603</v>
      </c>
    </row>
    <row r="5" customFormat="false" ht="15" hidden="false" customHeight="false" outlineLevel="0" collapsed="false">
      <c r="A5" s="6" t="s">
        <v>6911</v>
      </c>
      <c r="B5" s="6" t="s">
        <v>6912</v>
      </c>
      <c r="C5" s="6" t="s">
        <v>6913</v>
      </c>
    </row>
    <row r="6" customFormat="false" ht="15" hidden="false" customHeight="false" outlineLevel="0" collapsed="false">
      <c r="A6" s="5" t="s">
        <v>2027</v>
      </c>
      <c r="B6" s="5" t="n">
        <f aca="false">COUNTIF(Cities!X2:X604,A6)</f>
        <v>1</v>
      </c>
      <c r="C6" s="7" t="n">
        <f aca="false">IF($B$3=0,0,B6/$B$3)</f>
        <v>0.00165837479270315</v>
      </c>
    </row>
    <row r="7" customFormat="false" ht="15" hidden="false" customHeight="false" outlineLevel="0" collapsed="false">
      <c r="A7" s="5" t="s">
        <v>901</v>
      </c>
      <c r="B7" s="5" t="n">
        <f aca="false">COUNTIF(Cities!X2:X604,A7)</f>
        <v>34</v>
      </c>
      <c r="C7" s="7" t="n">
        <f aca="false">IF($B$3=0,0,B7/$B$3)</f>
        <v>0.0563847429519071</v>
      </c>
    </row>
    <row r="8" customFormat="false" ht="15" hidden="false" customHeight="false" outlineLevel="0" collapsed="false">
      <c r="A8" s="5" t="s">
        <v>59</v>
      </c>
      <c r="B8" s="5" t="n">
        <f aca="false">COUNTIF(Cities!X2:X604,A8)</f>
        <v>84</v>
      </c>
      <c r="C8" s="7" t="n">
        <f aca="false">IF($B$3=0,0,B8/$B$3)</f>
        <v>0.139303482587065</v>
      </c>
    </row>
    <row r="9" customFormat="false" ht="15" hidden="false" customHeight="false" outlineLevel="0" collapsed="false">
      <c r="A9" s="5" t="s">
        <v>246</v>
      </c>
      <c r="B9" s="5" t="n">
        <f aca="false">COUNTIF(Cities!X2:X604,A9)</f>
        <v>78</v>
      </c>
      <c r="C9" s="7" t="n">
        <f aca="false">IF($B$3=0,0,B9/$B$3)</f>
        <v>0.129353233830846</v>
      </c>
    </row>
    <row r="10" customFormat="false" ht="15" hidden="false" customHeight="false" outlineLevel="0" collapsed="false">
      <c r="A10" s="5" t="s">
        <v>141</v>
      </c>
      <c r="B10" s="5" t="n">
        <f aca="false">COUNTIF(Cities!X2:X604,A10)</f>
        <v>67</v>
      </c>
      <c r="C10" s="7" t="n">
        <f aca="false">IF($B$3=0,0,B10/$B$3)</f>
        <v>0.111111111111111</v>
      </c>
    </row>
    <row r="11" customFormat="false" ht="15" hidden="false" customHeight="false" outlineLevel="0" collapsed="false">
      <c r="A11" s="5" t="s">
        <v>289</v>
      </c>
      <c r="B11" s="5" t="n">
        <f aca="false">COUNTIF(Cities!X2:X604,A11)</f>
        <v>247</v>
      </c>
      <c r="C11" s="7" t="n">
        <f aca="false">IF($B$3=0,0,B11/$B$3)</f>
        <v>0.409618573797678</v>
      </c>
    </row>
    <row r="12" customFormat="false" ht="15" hidden="false" customHeight="false" outlineLevel="0" collapsed="false">
      <c r="A12" s="5" t="s">
        <v>169</v>
      </c>
      <c r="B12" s="5" t="n">
        <f aca="false">COUNTIF(Cities!X2:X604,A12)</f>
        <v>92</v>
      </c>
      <c r="C12" s="7" t="n">
        <f aca="false">IF($B$3=0,0,B12/$B$3)</f>
        <v>0.15257048092869</v>
      </c>
    </row>
    <row r="14" customFormat="false" ht="15" hidden="false" customHeight="false" outlineLevel="0" collapsed="false">
      <c r="A14" s="6" t="s">
        <v>6914</v>
      </c>
      <c r="B14" s="6" t="s">
        <v>6912</v>
      </c>
      <c r="C14" s="6" t="s">
        <v>6913</v>
      </c>
    </row>
    <row r="15" customFormat="false" ht="15" hidden="false" customHeight="false" outlineLevel="0" collapsed="false">
      <c r="A15" s="5" t="s">
        <v>1637</v>
      </c>
      <c r="B15" s="5" t="n">
        <f aca="false">COUNTIF(Cities!W2:W604,A15)</f>
        <v>26</v>
      </c>
      <c r="C15" s="7" t="n">
        <f aca="false">IF($B$3=0,0,B15/$B$3)</f>
        <v>0.0431177446102819</v>
      </c>
    </row>
    <row r="16" customFormat="false" ht="15" hidden="false" customHeight="false" outlineLevel="0" collapsed="false">
      <c r="A16" s="5" t="s">
        <v>58</v>
      </c>
      <c r="B16" s="5" t="n">
        <f aca="false">COUNTIF(Cities!W2:W604,A16)</f>
        <v>57</v>
      </c>
      <c r="C16" s="7" t="n">
        <f aca="false">IF($B$3=0,0,B16/$B$3)</f>
        <v>0.0945273631840796</v>
      </c>
    </row>
    <row r="17" customFormat="false" ht="15" hidden="false" customHeight="false" outlineLevel="0" collapsed="false">
      <c r="A17" s="5" t="s">
        <v>168</v>
      </c>
      <c r="B17" s="5" t="n">
        <f aca="false">COUNTIF(Cities!W2:W604,A17)</f>
        <v>87</v>
      </c>
      <c r="C17" s="7" t="n">
        <f aca="false">IF($B$3=0,0,B17/$B$3)</f>
        <v>0.144278606965174</v>
      </c>
    </row>
    <row r="18" customFormat="false" ht="15" hidden="false" customHeight="false" outlineLevel="0" collapsed="false">
      <c r="A18" s="5" t="s">
        <v>195</v>
      </c>
      <c r="B18" s="5" t="n">
        <f aca="false">COUNTIF(Cities!W2:W604,A18)</f>
        <v>169</v>
      </c>
      <c r="C18" s="7" t="n">
        <f aca="false">IF($B$3=0,0,B18/$B$3)</f>
        <v>0.280265339966833</v>
      </c>
    </row>
    <row r="19" customFormat="false" ht="15" hidden="false" customHeight="false" outlineLevel="0" collapsed="false">
      <c r="A19" s="5" t="s">
        <v>140</v>
      </c>
      <c r="B19" s="5" t="n">
        <f aca="false">COUNTIF(Cities!W2:W604,A19)</f>
        <v>157</v>
      </c>
      <c r="C19" s="7" t="n">
        <f aca="false">IF($B$3=0,0,B19/$B$3)</f>
        <v>0.260364842454395</v>
      </c>
    </row>
    <row r="20" customFormat="false" ht="15" hidden="false" customHeight="false" outlineLevel="0" collapsed="false">
      <c r="A20" s="5" t="s">
        <v>304</v>
      </c>
      <c r="B20" s="5" t="n">
        <f aca="false">COUNTIF(Cities!W2:W604,A20)</f>
        <v>107</v>
      </c>
      <c r="C20" s="7" t="n">
        <f aca="false">IF($B$3=0,0,B20/$B$3)</f>
        <v>0.177446102819237</v>
      </c>
    </row>
    <row r="22" customFormat="false" ht="15" hidden="false" customHeight="false" outlineLevel="0" collapsed="false">
      <c r="A22" s="6" t="s">
        <v>11</v>
      </c>
      <c r="B22" s="6" t="s">
        <v>6912</v>
      </c>
      <c r="C22" s="6" t="s">
        <v>6913</v>
      </c>
    </row>
    <row r="23" customFormat="false" ht="15" hidden="false" customHeight="false" outlineLevel="0" collapsed="false">
      <c r="A23" s="5" t="s">
        <v>1553</v>
      </c>
      <c r="B23" s="5" t="n">
        <f aca="false">COUNTIF(Cities!L2:L604,A23)</f>
        <v>194</v>
      </c>
      <c r="C23" s="7" t="n">
        <f aca="false">IF($B$3=0,0,B23/$B$3)</f>
        <v>0.321724709784411</v>
      </c>
    </row>
    <row r="24" customFormat="false" ht="15" hidden="false" customHeight="false" outlineLevel="0" collapsed="false">
      <c r="A24" s="5" t="s">
        <v>3049</v>
      </c>
      <c r="B24" s="5" t="n">
        <f aca="false">COUNTIF(Cities!L2:L604,A24)</f>
        <v>145</v>
      </c>
      <c r="C24" s="7" t="n">
        <f aca="false">IF($B$3=0,0,B24/$B$3)</f>
        <v>0.240464344941957</v>
      </c>
    </row>
    <row r="25" customFormat="false" ht="15" hidden="false" customHeight="false" outlineLevel="0" collapsed="false">
      <c r="A25" s="5" t="s">
        <v>52</v>
      </c>
      <c r="B25" s="5" t="n">
        <f aca="false">COUNTIF(Cities!L2:L604,A25)</f>
        <v>112</v>
      </c>
      <c r="C25" s="7" t="n">
        <f aca="false">IF($B$3=0,0,B25/$B$3)</f>
        <v>0.185737976782753</v>
      </c>
    </row>
    <row r="26" customFormat="false" ht="15" hidden="false" customHeight="false" outlineLevel="0" collapsed="false">
      <c r="A26" s="5" t="s">
        <v>3931</v>
      </c>
      <c r="B26" s="5" t="n">
        <f aca="false">COUNTIF(Cities!L2:L604,A26)</f>
        <v>75</v>
      </c>
      <c r="C26" s="7" t="n">
        <f aca="false">IF($B$3=0,0,B26/$B$3)</f>
        <v>0.124378109452736</v>
      </c>
    </row>
    <row r="27" customFormat="false" ht="15" hidden="false" customHeight="false" outlineLevel="0" collapsed="false">
      <c r="A27" s="5" t="s">
        <v>723</v>
      </c>
      <c r="B27" s="5" t="n">
        <f aca="false">COUNTIF(Cities!L2:L604,A27)</f>
        <v>57</v>
      </c>
      <c r="C27" s="7" t="n">
        <f aca="false">IF($B$3=0,0,B27/$B$3)</f>
        <v>0.0945273631840796</v>
      </c>
    </row>
    <row r="28" customFormat="false" ht="15" hidden="false" customHeight="false" outlineLevel="0" collapsed="false">
      <c r="A28" s="5" t="s">
        <v>4715</v>
      </c>
      <c r="B28" s="5" t="n">
        <f aca="false">COUNTIF(Cities!L2:L604,A28)</f>
        <v>16</v>
      </c>
      <c r="C28" s="7" t="n">
        <f aca="false">IF($B$3=0,0,B28/$B$3)</f>
        <v>0.0265339966832504</v>
      </c>
    </row>
    <row r="29" customFormat="false" ht="15" hidden="false" customHeight="false" outlineLevel="0" collapsed="false">
      <c r="A29" s="5" t="s">
        <v>6438</v>
      </c>
      <c r="B29" s="5" t="n">
        <f aca="false">COUNTIF(Cities!L2:L604,A29)</f>
        <v>4</v>
      </c>
      <c r="C29" s="7" t="n">
        <f aca="false">IF($B$3=0,0,B29/$B$3)</f>
        <v>0.0066334991708126</v>
      </c>
    </row>
    <row r="31" customFormat="false" ht="15" hidden="false" customHeight="false" outlineLevel="0" collapsed="false">
      <c r="A31" s="6" t="s">
        <v>6915</v>
      </c>
      <c r="B31" s="6" t="s">
        <v>6912</v>
      </c>
      <c r="C31" s="6" t="s">
        <v>6913</v>
      </c>
      <c r="D31" s="8" t="s">
        <v>6916</v>
      </c>
    </row>
    <row r="32" customFormat="false" ht="15" hidden="false" customHeight="false" outlineLevel="0" collapsed="false">
      <c r="A32" s="5" t="s">
        <v>63</v>
      </c>
      <c r="B32" s="5" t="n">
        <f aca="false">COUNTIF(Cities!AB2:AB604,A32)</f>
        <v>358</v>
      </c>
      <c r="C32" s="7" t="n">
        <f aca="false">IF($B$3=0,0,B32/$B$3)</f>
        <v>0.593698175787728</v>
      </c>
    </row>
    <row r="33" customFormat="false" ht="15" hidden="false" customHeight="false" outlineLevel="0" collapsed="false">
      <c r="A33" s="5" t="s">
        <v>695</v>
      </c>
      <c r="B33" s="5" t="n">
        <f aca="false">COUNTIF(Cities!AB2:AB604,A33)</f>
        <v>17</v>
      </c>
      <c r="C33" s="7" t="n">
        <f aca="false">IF($B$3=0,0,B33/$B$3)</f>
        <v>0.0281923714759536</v>
      </c>
    </row>
    <row r="34" customFormat="false" ht="15" hidden="false" customHeight="false" outlineLevel="0" collapsed="false">
      <c r="A34" s="5" t="s">
        <v>81</v>
      </c>
      <c r="B34" s="5" t="n">
        <f aca="false">COUNTIF(Cities!AB2:AB604,A34)</f>
        <v>228</v>
      </c>
      <c r="C34" s="7" t="n">
        <f aca="false">IF($B$3=0,0,B34/$B$3)</f>
        <v>0.378109452736318</v>
      </c>
    </row>
    <row r="36" customFormat="false" ht="15" hidden="false" customHeight="false" outlineLevel="0" collapsed="false">
      <c r="A36" s="6" t="s">
        <v>6917</v>
      </c>
      <c r="B36" s="6" t="s">
        <v>6912</v>
      </c>
      <c r="C36" s="6" t="s">
        <v>6913</v>
      </c>
    </row>
    <row r="37" customFormat="false" ht="15" hidden="false" customHeight="false" outlineLevel="0" collapsed="false">
      <c r="A37" s="5" t="s">
        <v>63</v>
      </c>
      <c r="B37" s="5" t="n">
        <f aca="false">COUNTIF(Cities!AM2:AM604,A37)</f>
        <v>18</v>
      </c>
      <c r="C37" s="7" t="n">
        <f aca="false">IF($B$3=0,0,B37/$B$3)</f>
        <v>0.0298507462686567</v>
      </c>
    </row>
    <row r="39" customFormat="false" ht="15" hidden="false" customHeight="false" outlineLevel="0" collapsed="false">
      <c r="A39" s="6" t="s">
        <v>39</v>
      </c>
      <c r="B39" s="6" t="s">
        <v>6912</v>
      </c>
      <c r="C39" s="6" t="s">
        <v>6913</v>
      </c>
      <c r="D39" s="8" t="s">
        <v>6918</v>
      </c>
    </row>
    <row r="40" customFormat="false" ht="15" hidden="false" customHeight="false" outlineLevel="0" collapsed="false">
      <c r="A40" s="5" t="s">
        <v>200</v>
      </c>
      <c r="B40" s="5" t="n">
        <f aca="false">COUNTIF(Cities!AN2:AN604,A40)</f>
        <v>85</v>
      </c>
      <c r="C40" s="7" t="n">
        <f aca="false">IF($B$3=0,0,B40/$B$3)</f>
        <v>0.140961857379768</v>
      </c>
    </row>
    <row r="41" customFormat="false" ht="15" hidden="false" customHeight="false" outlineLevel="0" collapsed="false">
      <c r="A41" s="5" t="s">
        <v>6719</v>
      </c>
      <c r="B41" s="5" t="n">
        <f aca="false">COUNTIF(Cities!AN2:AN604,A41)</f>
        <v>5</v>
      </c>
      <c r="C41" s="7" t="n">
        <f aca="false">IF($B$3=0,0,B41/$B$3)</f>
        <v>0.00829187396351576</v>
      </c>
    </row>
    <row r="43" customFormat="false" ht="15" hidden="false" customHeight="false" outlineLevel="0" collapsed="false">
      <c r="A43" s="6" t="s">
        <v>6919</v>
      </c>
      <c r="B43" s="6" t="s">
        <v>6912</v>
      </c>
      <c r="C43" s="6" t="s">
        <v>6913</v>
      </c>
    </row>
    <row r="44" customFormat="false" ht="15" hidden="false" customHeight="false" outlineLevel="0" collapsed="false">
      <c r="A44" s="5" t="s">
        <v>123</v>
      </c>
      <c r="B44" s="5" t="n">
        <f aca="false">COUNTIF(Cities!I2:I604,A44)</f>
        <v>157</v>
      </c>
      <c r="C44" s="7" t="n">
        <f aca="false">IF($B$3=0,0,B44/$B$3)</f>
        <v>0.260364842454395</v>
      </c>
    </row>
    <row r="45" customFormat="false" ht="15" hidden="false" customHeight="false" outlineLevel="0" collapsed="false">
      <c r="A45" s="5" t="s">
        <v>49</v>
      </c>
      <c r="B45" s="5" t="n">
        <f aca="false">COUNTIF(Cities!I2:I604,A45)</f>
        <v>101</v>
      </c>
      <c r="C45" s="7" t="n">
        <f aca="false">IF($B$3=0,0,B45/$B$3)</f>
        <v>0.167495854063018</v>
      </c>
    </row>
    <row r="46" customFormat="false" ht="15" hidden="false" customHeight="false" outlineLevel="0" collapsed="false">
      <c r="A46" s="5" t="s">
        <v>74</v>
      </c>
      <c r="B46" s="5" t="n">
        <f aca="false">COUNTIF(Cities!I2:I604,A46)</f>
        <v>270</v>
      </c>
      <c r="C46" s="7" t="n">
        <f aca="false">IF($B$3=0,0,B46/$B$3)</f>
        <v>0.447761194029851</v>
      </c>
    </row>
    <row r="47" customFormat="false" ht="15" hidden="false" customHeight="false" outlineLevel="0" collapsed="false">
      <c r="A47" s="5" t="s">
        <v>93</v>
      </c>
      <c r="B47" s="5" t="n">
        <f aca="false">COUNTIF(Cities!I2:I604,A47)</f>
        <v>75</v>
      </c>
      <c r="C47" s="7" t="n">
        <f aca="false">IF($B$3=0,0,B47/$B$3)</f>
        <v>0.124378109452736</v>
      </c>
    </row>
    <row r="49" customFormat="false" ht="15" hidden="false" customHeight="false" outlineLevel="0" collapsed="false">
      <c r="A49" s="6" t="s">
        <v>14</v>
      </c>
      <c r="B49" s="6" t="s">
        <v>6912</v>
      </c>
      <c r="C49" s="6" t="s">
        <v>6913</v>
      </c>
      <c r="D49" s="8" t="s">
        <v>6920</v>
      </c>
    </row>
    <row r="50" customFormat="false" ht="15" hidden="false" customHeight="false" outlineLevel="0" collapsed="false">
      <c r="A50" s="5" t="s">
        <v>5</v>
      </c>
      <c r="B50" s="5" t="n">
        <f aca="false">COUNTIF(Cities!O2:O604,A50)</f>
        <v>51</v>
      </c>
      <c r="C50" s="7" t="n">
        <f aca="false">IF($B$3=0,0,B50/$B$3)</f>
        <v>0.0845771144278607</v>
      </c>
    </row>
    <row r="51" customFormat="false" ht="15" hidden="false" customHeight="false" outlineLevel="0" collapsed="false">
      <c r="A51" s="5" t="s">
        <v>422</v>
      </c>
      <c r="B51" s="5" t="n">
        <f aca="false">COUNTIF(Cities!O2:O604,A51)</f>
        <v>34</v>
      </c>
      <c r="C51" s="7" t="n">
        <f aca="false">IF($B$3=0,0,B51/$B$3)</f>
        <v>0.0563847429519071</v>
      </c>
    </row>
    <row r="52" customFormat="false" ht="15" hidden="false" customHeight="false" outlineLevel="0" collapsed="false">
      <c r="A52" s="5" t="s">
        <v>3478</v>
      </c>
      <c r="B52" s="5" t="n">
        <f aca="false">COUNTIF(Cities!O2:O604,A52)</f>
        <v>1</v>
      </c>
      <c r="C52" s="7" t="n">
        <f aca="false">IF($B$3=0,0,B52/$B$3)</f>
        <v>0.00165837479270315</v>
      </c>
    </row>
    <row r="53" customFormat="false" ht="15" hidden="false" customHeight="false" outlineLevel="0" collapsed="false">
      <c r="A53" s="5" t="s">
        <v>582</v>
      </c>
      <c r="B53" s="5" t="n">
        <f aca="false">COUNTIF(Cities!O2:O604,A53)</f>
        <v>4</v>
      </c>
      <c r="C53" s="7" t="n">
        <f aca="false">IF($B$3=0,0,B53/$B$3)</f>
        <v>0.0066334991708126</v>
      </c>
    </row>
    <row r="54" customFormat="false" ht="15" hidden="false" customHeight="false" outlineLevel="0" collapsed="false">
      <c r="A54" s="5" t="s">
        <v>53</v>
      </c>
      <c r="B54" s="5" t="n">
        <f aca="false">COUNTIF(Cities!O2:O604,A54)</f>
        <v>168</v>
      </c>
      <c r="C54" s="7" t="n">
        <f aca="false">IF($B$3=0,0,B54/$B$3)</f>
        <v>0.278606965174129</v>
      </c>
    </row>
    <row r="56" customFormat="false" ht="15" hidden="false" customHeight="false" outlineLevel="0" collapsed="false">
      <c r="A56" s="6" t="s">
        <v>6921</v>
      </c>
      <c r="B56" s="6" t="s">
        <v>6922</v>
      </c>
      <c r="C56" s="6" t="s">
        <v>6912</v>
      </c>
    </row>
    <row r="57" customFormat="false" ht="15" hidden="false" customHeight="false" outlineLevel="0" collapsed="false">
      <c r="A57" s="5" t="s">
        <v>6923</v>
      </c>
      <c r="B57" s="9" t="n">
        <v>-480</v>
      </c>
      <c r="C57" s="5" t="n">
        <f aca="false">COUNTIF(Cities!S2:S604,"&lt;"&amp;B57)</f>
        <v>83</v>
      </c>
      <c r="D57" s="7" t="n">
        <f aca="false">IF($B$3=0,0,C57/$B$3)</f>
        <v>0.137645107794362</v>
      </c>
    </row>
    <row r="58" customFormat="false" ht="15" hidden="false" customHeight="false" outlineLevel="0" collapsed="false">
      <c r="A58" s="5" t="s">
        <v>6924</v>
      </c>
      <c r="B58" s="9" t="n">
        <v>-334</v>
      </c>
      <c r="C58" s="5" t="n">
        <f aca="false">COUNTIF(Cities!S2:S604,"&lt;"&amp;B58)</f>
        <v>170</v>
      </c>
      <c r="D58" s="7" t="n">
        <f aca="false">IF($B$3=0,0,C58/$B$3)</f>
        <v>0.281923714759536</v>
      </c>
    </row>
    <row r="59" customFormat="false" ht="15" hidden="false" customHeight="false" outlineLevel="0" collapsed="false">
      <c r="A59" s="5" t="s">
        <v>6925</v>
      </c>
      <c r="B59" s="9" t="n">
        <v>-31</v>
      </c>
      <c r="C59" s="5" t="n">
        <f aca="false">COUNTIF(Cities!S2:S604,"&lt;"&amp;B59)</f>
        <v>339</v>
      </c>
      <c r="D59" s="7" t="n">
        <f aca="false">IF($B$3=0,0,C59/$B$3)</f>
        <v>0.562189054726368</v>
      </c>
    </row>
    <row r="60" customFormat="false" ht="15" hidden="false" customHeight="false" outlineLevel="0" collapsed="false">
      <c r="A60" s="5" t="s">
        <v>6926</v>
      </c>
      <c r="B60" s="9" t="n">
        <v>330</v>
      </c>
      <c r="C60" s="5" t="n">
        <f aca="false">COUNTIF(Cities!S2:S604,"&lt;"&amp;B60)</f>
        <v>496</v>
      </c>
      <c r="D60" s="7" t="n">
        <f aca="false">IF($B$3=0,0,C60/$B$3)</f>
        <v>0.822553897180763</v>
      </c>
    </row>
    <row r="61" customFormat="false" ht="15" hidden="false" customHeight="false" outlineLevel="0" collapsed="false">
      <c r="A61" s="5" t="s">
        <v>6927</v>
      </c>
      <c r="B61" s="9" t="n">
        <v>1071</v>
      </c>
      <c r="C61" s="5" t="n">
        <f aca="false">COUNTIF(Cities!S2:S604,"&lt;"&amp;B61)</f>
        <v>598</v>
      </c>
      <c r="D61" s="7" t="n">
        <f aca="false">IF($B$3=0,0,C61/$B$3)</f>
        <v>0.991708126036484</v>
      </c>
    </row>
    <row r="62" customFormat="false" ht="15" hidden="false" customHeight="false" outlineLevel="0" collapsed="false">
      <c r="A62" s="5" t="s">
        <v>6928</v>
      </c>
      <c r="C62" s="5" t="n">
        <f aca="false">MEDIAN(Cities!S2:S604)</f>
        <v>-150</v>
      </c>
    </row>
    <row r="64" customFormat="false" ht="15" hidden="false" customHeight="false" outlineLevel="0" collapsed="false">
      <c r="A64" s="6" t="s">
        <v>6929</v>
      </c>
    </row>
    <row r="65" customFormat="false" ht="15" hidden="false" customHeight="false" outlineLevel="0" collapsed="false">
      <c r="A65" s="5" t="s">
        <v>6930</v>
      </c>
      <c r="B65" s="5" t="n">
        <f aca="false">SUMPRODUCT((Cities!N2:N604="yes")/COUNTIFS(Cities!K2:K604,Cities!K2:K604,Cities!N2:N604,Cities!N2:N604&amp;""))</f>
        <v>36</v>
      </c>
      <c r="D65" s="8" t="s">
        <v>6931</v>
      </c>
    </row>
    <row r="66" customFormat="false" ht="15" hidden="false" customHeight="false" outlineLevel="0" collapsed="false">
      <c r="A66" s="5" t="s">
        <v>6932</v>
      </c>
      <c r="B66" s="9" t="n">
        <v>142</v>
      </c>
      <c r="D66" s="8" t="s">
        <v>6933</v>
      </c>
    </row>
    <row r="67" customFormat="false" ht="15" hidden="false" customHeight="false" outlineLevel="0" collapsed="false">
      <c r="A67" s="5" t="s">
        <v>6934</v>
      </c>
      <c r="B67" s="5" t="n">
        <f aca="false">COUNTIF(Cities!AD2:AD604,"?*")</f>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0"/>
    <col collapsed="false" customWidth="true" hidden="false" outlineLevel="0" max="3" min="3" style="0" width="8"/>
  </cols>
  <sheetData>
    <row r="1" customFormat="false" ht="15" hidden="false" customHeight="false" outlineLevel="0" collapsed="false">
      <c r="A1" s="10" t="s">
        <v>6935</v>
      </c>
      <c r="B1" s="10" t="s">
        <v>6936</v>
      </c>
      <c r="C1" s="10" t="s">
        <v>6937</v>
      </c>
    </row>
    <row r="2" customFormat="false" ht="23.85" hidden="false" customHeight="false" outlineLevel="0" collapsed="false">
      <c r="A2" s="2" t="s">
        <v>6938</v>
      </c>
      <c r="B2" s="3" t="s">
        <v>6939</v>
      </c>
      <c r="C2" s="2" t="s">
        <v>6940</v>
      </c>
    </row>
    <row r="3" customFormat="false" ht="15" hidden="false" customHeight="false" outlineLevel="0" collapsed="false">
      <c r="A3" s="2" t="s">
        <v>6941</v>
      </c>
      <c r="B3" s="3" t="s">
        <v>6942</v>
      </c>
      <c r="C3" s="2" t="s">
        <v>6940</v>
      </c>
    </row>
    <row r="4" customFormat="false" ht="15" hidden="false" customHeight="false" outlineLevel="0" collapsed="false">
      <c r="A4" s="2" t="s">
        <v>6943</v>
      </c>
      <c r="B4" s="3" t="s">
        <v>6942</v>
      </c>
      <c r="C4" s="2" t="s">
        <v>6940</v>
      </c>
    </row>
    <row r="5" customFormat="false" ht="15" hidden="false" customHeight="false" outlineLevel="0" collapsed="false">
      <c r="A5" s="2" t="s">
        <v>6944</v>
      </c>
      <c r="B5" s="3" t="s">
        <v>6942</v>
      </c>
      <c r="C5" s="2" t="s">
        <v>6940</v>
      </c>
    </row>
    <row r="6" customFormat="false" ht="15" hidden="false" customHeight="false" outlineLevel="0" collapsed="false">
      <c r="A6" s="2" t="s">
        <v>6945</v>
      </c>
      <c r="B6" s="3" t="s">
        <v>6946</v>
      </c>
      <c r="C6" s="2" t="s">
        <v>6940</v>
      </c>
    </row>
    <row r="7" customFormat="false" ht="15" hidden="false" customHeight="false" outlineLevel="0" collapsed="false">
      <c r="A7" s="2" t="s">
        <v>6947</v>
      </c>
      <c r="B7" s="3" t="s">
        <v>6948</v>
      </c>
      <c r="C7" s="2" t="s">
        <v>6940</v>
      </c>
    </row>
    <row r="8" customFormat="false" ht="15" hidden="false" customHeight="false" outlineLevel="0" collapsed="false">
      <c r="A8" s="2" t="s">
        <v>6949</v>
      </c>
      <c r="B8" s="3" t="s">
        <v>6950</v>
      </c>
      <c r="C8" s="2" t="s">
        <v>6940</v>
      </c>
    </row>
    <row r="9" customFormat="false" ht="15" hidden="false" customHeight="false" outlineLevel="0" collapsed="false">
      <c r="A9" s="2" t="s">
        <v>6951</v>
      </c>
      <c r="B9" s="3" t="s">
        <v>6952</v>
      </c>
      <c r="C9" s="2" t="s">
        <v>6940</v>
      </c>
    </row>
    <row r="10" customFormat="false" ht="15" hidden="false" customHeight="false" outlineLevel="0" collapsed="false">
      <c r="A10" s="2" t="s">
        <v>6953</v>
      </c>
      <c r="B10" s="3" t="s">
        <v>6954</v>
      </c>
      <c r="C10" s="2" t="s">
        <v>6940</v>
      </c>
    </row>
    <row r="11" customFormat="false" ht="15" hidden="false" customHeight="false" outlineLevel="0" collapsed="false">
      <c r="A11" s="2" t="s">
        <v>6955</v>
      </c>
      <c r="B11" s="3" t="s">
        <v>6956</v>
      </c>
      <c r="C11" s="2" t="s">
        <v>6940</v>
      </c>
    </row>
    <row r="12" customFormat="false" ht="15" hidden="false" customHeight="false" outlineLevel="0" collapsed="false">
      <c r="A12" s="2" t="s">
        <v>6957</v>
      </c>
      <c r="B12" s="3" t="s">
        <v>6958</v>
      </c>
      <c r="C12" s="2" t="s">
        <v>6940</v>
      </c>
    </row>
    <row r="13" customFormat="false" ht="15" hidden="false" customHeight="false" outlineLevel="0" collapsed="false">
      <c r="A13" s="2" t="s">
        <v>6959</v>
      </c>
      <c r="B13" s="3" t="s">
        <v>6960</v>
      </c>
      <c r="C13" s="2" t="s">
        <v>6940</v>
      </c>
    </row>
    <row r="14" customFormat="false" ht="15" hidden="false" customHeight="false" outlineLevel="0" collapsed="false">
      <c r="A14" s="2" t="s">
        <v>6961</v>
      </c>
      <c r="B14" s="3" t="s">
        <v>6962</v>
      </c>
      <c r="C14" s="2" t="s">
        <v>6940</v>
      </c>
    </row>
    <row r="15" customFormat="false" ht="15" hidden="false" customHeight="false" outlineLevel="0" collapsed="false">
      <c r="A15" s="2" t="s">
        <v>6963</v>
      </c>
      <c r="B15" s="3" t="s">
        <v>6964</v>
      </c>
      <c r="C15" s="2" t="s">
        <v>6940</v>
      </c>
    </row>
    <row r="16" customFormat="false" ht="15" hidden="false" customHeight="false" outlineLevel="0" collapsed="false">
      <c r="A16" s="2" t="s">
        <v>6965</v>
      </c>
      <c r="B16" s="3" t="s">
        <v>6966</v>
      </c>
      <c r="C16" s="2" t="s">
        <v>6940</v>
      </c>
    </row>
    <row r="17" customFormat="false" ht="15" hidden="false" customHeight="false" outlineLevel="0" collapsed="false">
      <c r="A17" s="2" t="s">
        <v>6967</v>
      </c>
      <c r="B17" s="3" t="s">
        <v>6968</v>
      </c>
      <c r="C17" s="2" t="s">
        <v>6940</v>
      </c>
    </row>
    <row r="18" customFormat="false" ht="15" hidden="false" customHeight="false" outlineLevel="0" collapsed="false">
      <c r="A18" s="2" t="s">
        <v>6969</v>
      </c>
      <c r="B18" s="3" t="s">
        <v>6970</v>
      </c>
      <c r="C18" s="2" t="s">
        <v>6940</v>
      </c>
    </row>
    <row r="19" customFormat="false" ht="23.85" hidden="false" customHeight="false" outlineLevel="0" collapsed="false">
      <c r="A19" s="2" t="s">
        <v>6971</v>
      </c>
      <c r="B19" s="3" t="s">
        <v>6972</v>
      </c>
      <c r="C19" s="2" t="s">
        <v>6940</v>
      </c>
    </row>
    <row r="20" customFormat="false" ht="23.85" hidden="false" customHeight="false" outlineLevel="0" collapsed="false">
      <c r="A20" s="2" t="s">
        <v>6973</v>
      </c>
      <c r="B20" s="3" t="s">
        <v>6974</v>
      </c>
      <c r="C20" s="2" t="s">
        <v>6940</v>
      </c>
    </row>
    <row r="21" customFormat="false" ht="15" hidden="false" customHeight="false" outlineLevel="0" collapsed="false">
      <c r="A21" s="2" t="s">
        <v>6975</v>
      </c>
      <c r="B21" s="3" t="s">
        <v>6976</v>
      </c>
      <c r="C21" s="2" t="s">
        <v>6940</v>
      </c>
    </row>
    <row r="22" customFormat="false" ht="15" hidden="false" customHeight="false" outlineLevel="0" collapsed="false">
      <c r="A22" s="2" t="s">
        <v>6977</v>
      </c>
      <c r="B22" s="3" t="s">
        <v>6978</v>
      </c>
      <c r="C22" s="2" t="s">
        <v>6940</v>
      </c>
    </row>
    <row r="23" customFormat="false" ht="15" hidden="false" customHeight="false" outlineLevel="0" collapsed="false">
      <c r="A23" s="2" t="s">
        <v>6979</v>
      </c>
      <c r="B23" s="3" t="s">
        <v>6980</v>
      </c>
      <c r="C23" s="2" t="s">
        <v>6940</v>
      </c>
    </row>
    <row r="24" customFormat="false" ht="15" hidden="false" customHeight="false" outlineLevel="0" collapsed="false">
      <c r="A24" s="2" t="s">
        <v>6981</v>
      </c>
      <c r="B24" s="3" t="s">
        <v>6982</v>
      </c>
      <c r="C24" s="2" t="s">
        <v>6940</v>
      </c>
    </row>
    <row r="25" customFormat="false" ht="15" hidden="false" customHeight="false" outlineLevel="0" collapsed="false">
      <c r="A25" s="2" t="s">
        <v>6983</v>
      </c>
      <c r="B25" s="3" t="s">
        <v>6984</v>
      </c>
      <c r="C25" s="2" t="s">
        <v>6940</v>
      </c>
    </row>
    <row r="26" customFormat="false" ht="15" hidden="false" customHeight="false" outlineLevel="0" collapsed="false">
      <c r="A26" s="2" t="s">
        <v>6985</v>
      </c>
      <c r="B26" s="3" t="s">
        <v>6986</v>
      </c>
      <c r="C26" s="2" t="s">
        <v>6940</v>
      </c>
    </row>
    <row r="27" customFormat="false" ht="15" hidden="false" customHeight="false" outlineLevel="0" collapsed="false">
      <c r="A27" s="2" t="s">
        <v>6987</v>
      </c>
      <c r="B27" s="3" t="s">
        <v>6988</v>
      </c>
      <c r="C27" s="2" t="s">
        <v>6940</v>
      </c>
    </row>
    <row r="28" customFormat="false" ht="15" hidden="false" customHeight="false" outlineLevel="0" collapsed="false">
      <c r="A28" s="2" t="s">
        <v>6989</v>
      </c>
      <c r="B28" s="3" t="s">
        <v>6990</v>
      </c>
      <c r="C28" s="2" t="s">
        <v>6940</v>
      </c>
    </row>
    <row r="29" customFormat="false" ht="15" hidden="false" customHeight="false" outlineLevel="0" collapsed="false">
      <c r="A29" s="2" t="s">
        <v>6991</v>
      </c>
      <c r="B29" s="3" t="s">
        <v>6992</v>
      </c>
      <c r="C29" s="2" t="s">
        <v>6940</v>
      </c>
    </row>
    <row r="30" customFormat="false" ht="15" hidden="false" customHeight="false" outlineLevel="0" collapsed="false">
      <c r="A30" s="2" t="s">
        <v>6993</v>
      </c>
      <c r="B30" s="3" t="s">
        <v>6994</v>
      </c>
      <c r="C30" s="2" t="s">
        <v>6940</v>
      </c>
    </row>
    <row r="31" customFormat="false" ht="15" hidden="false" customHeight="false" outlineLevel="0" collapsed="false">
      <c r="A31" s="2" t="s">
        <v>6995</v>
      </c>
      <c r="B31" s="3" t="s">
        <v>6996</v>
      </c>
      <c r="C31" s="2" t="s">
        <v>6940</v>
      </c>
    </row>
    <row r="32" customFormat="false" ht="15" hidden="false" customHeight="false" outlineLevel="0" collapsed="false">
      <c r="A32" s="2" t="s">
        <v>6997</v>
      </c>
      <c r="B32" s="3" t="s">
        <v>6998</v>
      </c>
      <c r="C32" s="2" t="s">
        <v>6999</v>
      </c>
    </row>
    <row r="33" customFormat="false" ht="15" hidden="false" customHeight="false" outlineLevel="0" collapsed="false">
      <c r="A33" s="2" t="s">
        <v>7000</v>
      </c>
      <c r="B33" s="3" t="s">
        <v>7001</v>
      </c>
      <c r="C33" s="2" t="s">
        <v>6999</v>
      </c>
    </row>
    <row r="34" customFormat="false" ht="15" hidden="false" customHeight="false" outlineLevel="0" collapsed="false">
      <c r="A34" s="2" t="s">
        <v>7002</v>
      </c>
      <c r="B34" s="3" t="s">
        <v>7003</v>
      </c>
      <c r="C34" s="2" t="s">
        <v>6999</v>
      </c>
    </row>
    <row r="35" customFormat="false" ht="15" hidden="false" customHeight="false" outlineLevel="0" collapsed="false">
      <c r="A35" s="2" t="s">
        <v>7004</v>
      </c>
      <c r="B35" s="3" t="s">
        <v>7005</v>
      </c>
      <c r="C35" s="2" t="s">
        <v>6999</v>
      </c>
    </row>
    <row r="36" customFormat="false" ht="15" hidden="false" customHeight="false" outlineLevel="0" collapsed="false">
      <c r="A36" s="2" t="s">
        <v>7006</v>
      </c>
      <c r="B36" s="3" t="s">
        <v>7007</v>
      </c>
      <c r="C36" s="2" t="s">
        <v>6999</v>
      </c>
    </row>
    <row r="37" customFormat="false" ht="15" hidden="false" customHeight="false" outlineLevel="0" collapsed="false">
      <c r="A37" s="2" t="s">
        <v>7008</v>
      </c>
      <c r="B37" s="3" t="s">
        <v>7009</v>
      </c>
      <c r="C37" s="2" t="s">
        <v>6999</v>
      </c>
    </row>
    <row r="38" customFormat="false" ht="15" hidden="false" customHeight="false" outlineLevel="0" collapsed="false">
      <c r="A38" s="2" t="s">
        <v>7010</v>
      </c>
      <c r="B38" s="3" t="s">
        <v>7011</v>
      </c>
      <c r="C38" s="2" t="s">
        <v>6999</v>
      </c>
    </row>
    <row r="39" customFormat="false" ht="15" hidden="false" customHeight="false" outlineLevel="0" collapsed="false">
      <c r="A39" s="2" t="s">
        <v>7012</v>
      </c>
      <c r="B39" s="3" t="s">
        <v>7013</v>
      </c>
      <c r="C39" s="2" t="s">
        <v>6999</v>
      </c>
    </row>
    <row r="40" customFormat="false" ht="15" hidden="false" customHeight="false" outlineLevel="0" collapsed="false">
      <c r="A40" s="2" t="s">
        <v>7014</v>
      </c>
      <c r="B40" s="3" t="s">
        <v>7015</v>
      </c>
      <c r="C40" s="2" t="s">
        <v>6999</v>
      </c>
    </row>
    <row r="41" customFormat="false" ht="15" hidden="false" customHeight="false" outlineLevel="0" collapsed="false">
      <c r="A41" s="2" t="s">
        <v>7016</v>
      </c>
      <c r="B41" s="3" t="s">
        <v>7015</v>
      </c>
      <c r="C41" s="2" t="s">
        <v>6999</v>
      </c>
    </row>
    <row r="42" customFormat="false" ht="15" hidden="false" customHeight="false" outlineLevel="0" collapsed="false">
      <c r="A42" s="2" t="s">
        <v>7017</v>
      </c>
      <c r="B42" s="3" t="s">
        <v>7015</v>
      </c>
      <c r="C42" s="2" t="s">
        <v>6999</v>
      </c>
    </row>
    <row r="43" customFormat="false" ht="15" hidden="false" customHeight="false" outlineLevel="0" collapsed="false">
      <c r="A43" s="2" t="s">
        <v>7018</v>
      </c>
      <c r="B43" s="3" t="s">
        <v>7015</v>
      </c>
      <c r="C43" s="2" t="s">
        <v>6999</v>
      </c>
    </row>
    <row r="44" customFormat="false" ht="15" hidden="false" customHeight="false" outlineLevel="0" collapsed="false">
      <c r="A44" s="2" t="s">
        <v>7019</v>
      </c>
      <c r="B44" s="3" t="s">
        <v>7015</v>
      </c>
      <c r="C44" s="2" t="s">
        <v>6999</v>
      </c>
    </row>
    <row r="45" customFormat="false" ht="15" hidden="false" customHeight="false" outlineLevel="0" collapsed="false">
      <c r="A45" s="2" t="s">
        <v>7020</v>
      </c>
      <c r="B45" s="3" t="s">
        <v>7015</v>
      </c>
      <c r="C45" s="2" t="s">
        <v>6999</v>
      </c>
    </row>
    <row r="46" customFormat="false" ht="15" hidden="false" customHeight="false" outlineLevel="0" collapsed="false">
      <c r="A46" s="2" t="s">
        <v>7021</v>
      </c>
      <c r="B46" s="3" t="s">
        <v>7022</v>
      </c>
      <c r="C46" s="2" t="s">
        <v>6999</v>
      </c>
    </row>
    <row r="47" customFormat="false" ht="15" hidden="false" customHeight="false" outlineLevel="0" collapsed="false">
      <c r="A47" s="2" t="s">
        <v>7023</v>
      </c>
      <c r="B47" s="3" t="s">
        <v>7024</v>
      </c>
      <c r="C47" s="2" t="s">
        <v>6999</v>
      </c>
    </row>
    <row r="48" customFormat="false" ht="15" hidden="false" customHeight="false" outlineLevel="0" collapsed="false">
      <c r="A48" s="2" t="s">
        <v>7025</v>
      </c>
      <c r="B48" s="3" t="s">
        <v>7026</v>
      </c>
      <c r="C48" s="2" t="s">
        <v>6999</v>
      </c>
    </row>
    <row r="49" customFormat="false" ht="15" hidden="false" customHeight="false" outlineLevel="0" collapsed="false">
      <c r="A49" s="2" t="s">
        <v>7027</v>
      </c>
      <c r="B49" s="3" t="s">
        <v>7028</v>
      </c>
      <c r="C49" s="2" t="s">
        <v>6999</v>
      </c>
    </row>
    <row r="50" customFormat="false" ht="15" hidden="false" customHeight="false" outlineLevel="0" collapsed="false">
      <c r="A50" s="2" t="s">
        <v>7029</v>
      </c>
      <c r="B50" s="3" t="s">
        <v>7026</v>
      </c>
      <c r="C50" s="2" t="s">
        <v>6999</v>
      </c>
    </row>
    <row r="51" customFormat="false" ht="15" hidden="false" customHeight="false" outlineLevel="0" collapsed="false">
      <c r="A51" s="2" t="s">
        <v>7030</v>
      </c>
      <c r="B51" s="3" t="s">
        <v>7031</v>
      </c>
      <c r="C51" s="2" t="s">
        <v>6999</v>
      </c>
    </row>
    <row r="52" customFormat="false" ht="15" hidden="false" customHeight="false" outlineLevel="0" collapsed="false">
      <c r="A52" s="2" t="s">
        <v>7032</v>
      </c>
      <c r="B52" s="3" t="s">
        <v>7033</v>
      </c>
      <c r="C52" s="2" t="s">
        <v>6999</v>
      </c>
    </row>
    <row r="53" customFormat="false" ht="15" hidden="false" customHeight="false" outlineLevel="0" collapsed="false">
      <c r="A53" s="2" t="s">
        <v>7034</v>
      </c>
      <c r="B53" s="3" t="s">
        <v>7035</v>
      </c>
      <c r="C53" s="2" t="s">
        <v>6999</v>
      </c>
    </row>
    <row r="54" customFormat="false" ht="15" hidden="false" customHeight="false" outlineLevel="0" collapsed="false">
      <c r="A54" s="2" t="s">
        <v>7036</v>
      </c>
      <c r="B54" s="3" t="s">
        <v>7037</v>
      </c>
      <c r="C54" s="2" t="s">
        <v>6999</v>
      </c>
    </row>
    <row r="55" customFormat="false" ht="15" hidden="false" customHeight="false" outlineLevel="0" collapsed="false">
      <c r="A55" s="2" t="s">
        <v>7038</v>
      </c>
      <c r="B55" s="3" t="s">
        <v>7039</v>
      </c>
      <c r="C55" s="2" t="s">
        <v>6999</v>
      </c>
    </row>
    <row r="56" customFormat="false" ht="15" hidden="false" customHeight="false" outlineLevel="0" collapsed="false">
      <c r="A56" s="2" t="s">
        <v>7040</v>
      </c>
      <c r="B56" s="3" t="s">
        <v>7041</v>
      </c>
      <c r="C56" s="2" t="s">
        <v>6999</v>
      </c>
    </row>
    <row r="57" customFormat="false" ht="15" hidden="false" customHeight="false" outlineLevel="0" collapsed="false">
      <c r="A57" s="2" t="s">
        <v>7042</v>
      </c>
      <c r="B57" s="3" t="s">
        <v>7043</v>
      </c>
      <c r="C57" s="2" t="s">
        <v>6999</v>
      </c>
    </row>
    <row r="58" customFormat="false" ht="15" hidden="false" customHeight="false" outlineLevel="0" collapsed="false">
      <c r="A58" s="2" t="s">
        <v>7044</v>
      </c>
      <c r="B58" s="3" t="s">
        <v>7045</v>
      </c>
      <c r="C58" s="2" t="s">
        <v>6999</v>
      </c>
    </row>
    <row r="59" customFormat="false" ht="15" hidden="false" customHeight="false" outlineLevel="0" collapsed="false">
      <c r="A59" s="2" t="s">
        <v>7046</v>
      </c>
      <c r="B59" s="3" t="s">
        <v>7047</v>
      </c>
      <c r="C59" s="2" t="s">
        <v>6999</v>
      </c>
    </row>
    <row r="60" customFormat="false" ht="15" hidden="false" customHeight="false" outlineLevel="0" collapsed="false">
      <c r="A60" s="2" t="s">
        <v>7048</v>
      </c>
      <c r="B60" s="3" t="s">
        <v>7049</v>
      </c>
      <c r="C60" s="2" t="s">
        <v>6999</v>
      </c>
    </row>
    <row r="61" customFormat="false" ht="15" hidden="false" customHeight="false" outlineLevel="0" collapsed="false">
      <c r="A61" s="2" t="s">
        <v>7050</v>
      </c>
      <c r="B61" s="3" t="s">
        <v>7051</v>
      </c>
      <c r="C61" s="2" t="s">
        <v>6999</v>
      </c>
    </row>
    <row r="62" customFormat="false" ht="23.85" hidden="false" customHeight="false" outlineLevel="0" collapsed="false">
      <c r="A62" s="2" t="s">
        <v>7052</v>
      </c>
      <c r="B62" s="3" t="s">
        <v>7053</v>
      </c>
      <c r="C62" s="2" t="s">
        <v>6999</v>
      </c>
    </row>
    <row r="63" customFormat="false" ht="15" hidden="false" customHeight="false" outlineLevel="0" collapsed="false">
      <c r="A63" s="2" t="s">
        <v>7054</v>
      </c>
      <c r="B63" s="3" t="s">
        <v>7055</v>
      </c>
      <c r="C63" s="2" t="s">
        <v>6999</v>
      </c>
    </row>
    <row r="64" customFormat="false" ht="15" hidden="false" customHeight="false" outlineLevel="0" collapsed="false">
      <c r="A64" s="2" t="s">
        <v>7056</v>
      </c>
      <c r="B64" s="3" t="s">
        <v>7057</v>
      </c>
      <c r="C64" s="2" t="s">
        <v>6999</v>
      </c>
    </row>
    <row r="65" customFormat="false" ht="15" hidden="false" customHeight="false" outlineLevel="0" collapsed="false">
      <c r="A65" s="2" t="s">
        <v>7058</v>
      </c>
      <c r="B65" s="3" t="s">
        <v>7059</v>
      </c>
      <c r="C65" s="2" t="s">
        <v>6999</v>
      </c>
    </row>
    <row r="66" customFormat="false" ht="15" hidden="false" customHeight="false" outlineLevel="0" collapsed="false">
      <c r="A66" s="2" t="s">
        <v>7060</v>
      </c>
      <c r="B66" s="3" t="s">
        <v>7061</v>
      </c>
      <c r="C66" s="2" t="s">
        <v>6999</v>
      </c>
    </row>
    <row r="67" customFormat="false" ht="15" hidden="false" customHeight="false" outlineLevel="0" collapsed="false">
      <c r="A67" s="2" t="s">
        <v>7062</v>
      </c>
      <c r="B67" s="3" t="s">
        <v>7063</v>
      </c>
      <c r="C67" s="2" t="s">
        <v>6999</v>
      </c>
    </row>
    <row r="68" customFormat="false" ht="23.85" hidden="false" customHeight="false" outlineLevel="0" collapsed="false">
      <c r="A68" s="2" t="s">
        <v>7064</v>
      </c>
      <c r="B68" s="3" t="s">
        <v>7065</v>
      </c>
      <c r="C68" s="2" t="s">
        <v>6999</v>
      </c>
    </row>
    <row r="69" customFormat="false" ht="15" hidden="false" customHeight="false" outlineLevel="0" collapsed="false">
      <c r="A69" s="2" t="s">
        <v>7066</v>
      </c>
      <c r="B69" s="3" t="s">
        <v>7067</v>
      </c>
      <c r="C69" s="2" t="s">
        <v>6999</v>
      </c>
    </row>
    <row r="70" customFormat="false" ht="23.85" hidden="false" customHeight="false" outlineLevel="0" collapsed="false">
      <c r="A70" s="2" t="s">
        <v>7068</v>
      </c>
      <c r="B70" s="3" t="s">
        <v>7069</v>
      </c>
      <c r="C70" s="2" t="s">
        <v>6999</v>
      </c>
    </row>
    <row r="71" customFormat="false" ht="15" hidden="false" customHeight="false" outlineLevel="0" collapsed="false">
      <c r="A71" s="2" t="s">
        <v>7070</v>
      </c>
      <c r="B71" s="3" t="s">
        <v>7071</v>
      </c>
      <c r="C71" s="2" t="s">
        <v>6999</v>
      </c>
    </row>
    <row r="72" customFormat="false" ht="15" hidden="false" customHeight="false" outlineLevel="0" collapsed="false">
      <c r="A72" s="2" t="s">
        <v>7072</v>
      </c>
      <c r="B72" s="3" t="s">
        <v>7073</v>
      </c>
      <c r="C72" s="2" t="s">
        <v>6999</v>
      </c>
    </row>
    <row r="73" customFormat="false" ht="15" hidden="false" customHeight="false" outlineLevel="0" collapsed="false">
      <c r="A73" s="2" t="s">
        <v>7074</v>
      </c>
      <c r="B73" s="3" t="s">
        <v>7075</v>
      </c>
      <c r="C73" s="2" t="s">
        <v>6999</v>
      </c>
    </row>
    <row r="74" customFormat="false" ht="15" hidden="false" customHeight="false" outlineLevel="0" collapsed="false">
      <c r="A74" s="2" t="s">
        <v>7076</v>
      </c>
      <c r="B74" s="3" t="s">
        <v>7077</v>
      </c>
      <c r="C74" s="2" t="s">
        <v>6999</v>
      </c>
    </row>
    <row r="75" customFormat="false" ht="15" hidden="false" customHeight="false" outlineLevel="0" collapsed="false">
      <c r="A75" s="2" t="s">
        <v>7078</v>
      </c>
      <c r="B75" s="3" t="s">
        <v>7079</v>
      </c>
      <c r="C75" s="2" t="s">
        <v>6999</v>
      </c>
    </row>
    <row r="76" customFormat="false" ht="15" hidden="false" customHeight="false" outlineLevel="0" collapsed="false">
      <c r="A76" s="2" t="s">
        <v>7080</v>
      </c>
      <c r="B76" s="3" t="s">
        <v>7081</v>
      </c>
      <c r="C76" s="2" t="s">
        <v>6999</v>
      </c>
    </row>
    <row r="77" customFormat="false" ht="15" hidden="false" customHeight="false" outlineLevel="0" collapsed="false">
      <c r="A77" s="2" t="s">
        <v>7082</v>
      </c>
      <c r="B77" s="3" t="s">
        <v>7083</v>
      </c>
      <c r="C77" s="2" t="s">
        <v>6999</v>
      </c>
    </row>
    <row r="78" customFormat="false" ht="15" hidden="false" customHeight="false" outlineLevel="0" collapsed="false">
      <c r="A78" s="2" t="s">
        <v>7084</v>
      </c>
      <c r="B78" s="3" t="s">
        <v>7085</v>
      </c>
      <c r="C78" s="2" t="s">
        <v>7086</v>
      </c>
    </row>
    <row r="79" customFormat="false" ht="15" hidden="false" customHeight="false" outlineLevel="0" collapsed="false">
      <c r="A79" s="2" t="s">
        <v>7087</v>
      </c>
      <c r="B79" s="3" t="s">
        <v>7088</v>
      </c>
      <c r="C79" s="2" t="s">
        <v>7086</v>
      </c>
    </row>
    <row r="80" customFormat="false" ht="15" hidden="false" customHeight="false" outlineLevel="0" collapsed="false">
      <c r="A80" s="2" t="s">
        <v>7089</v>
      </c>
      <c r="B80" s="3" t="s">
        <v>7090</v>
      </c>
      <c r="C80" s="2" t="s">
        <v>7086</v>
      </c>
    </row>
    <row r="81" customFormat="false" ht="15" hidden="false" customHeight="false" outlineLevel="0" collapsed="false">
      <c r="A81" s="2" t="s">
        <v>7091</v>
      </c>
      <c r="B81" s="3" t="s">
        <v>7092</v>
      </c>
      <c r="C81" s="2" t="s">
        <v>7086</v>
      </c>
    </row>
    <row r="82" customFormat="false" ht="15" hidden="false" customHeight="false" outlineLevel="0" collapsed="false">
      <c r="A82" s="2" t="s">
        <v>7093</v>
      </c>
      <c r="B82" s="3" t="s">
        <v>7094</v>
      </c>
      <c r="C82" s="2" t="s">
        <v>7086</v>
      </c>
    </row>
    <row r="83" customFormat="false" ht="15" hidden="false" customHeight="false" outlineLevel="0" collapsed="false">
      <c r="A83" s="2" t="s">
        <v>7095</v>
      </c>
      <c r="B83" s="3" t="s">
        <v>7096</v>
      </c>
      <c r="C83" s="2" t="s">
        <v>7086</v>
      </c>
    </row>
    <row r="84" customFormat="false" ht="15" hidden="false" customHeight="false" outlineLevel="0" collapsed="false">
      <c r="A84" s="2" t="s">
        <v>7097</v>
      </c>
      <c r="B84" s="3" t="s">
        <v>7098</v>
      </c>
      <c r="C84" s="2" t="s">
        <v>7086</v>
      </c>
    </row>
    <row r="85" customFormat="false" ht="15" hidden="false" customHeight="false" outlineLevel="0" collapsed="false">
      <c r="A85" s="2" t="s">
        <v>7099</v>
      </c>
      <c r="B85" s="3" t="s">
        <v>7100</v>
      </c>
      <c r="C85" s="2" t="s">
        <v>7086</v>
      </c>
    </row>
    <row r="86" customFormat="false" ht="23.85" hidden="false" customHeight="false" outlineLevel="0" collapsed="false">
      <c r="A86" s="2" t="s">
        <v>7101</v>
      </c>
      <c r="B86" s="3" t="s">
        <v>7102</v>
      </c>
      <c r="C86" s="2" t="s">
        <v>7086</v>
      </c>
    </row>
    <row r="87" customFormat="false" ht="15" hidden="false" customHeight="false" outlineLevel="0" collapsed="false">
      <c r="A87" s="2" t="s">
        <v>7103</v>
      </c>
      <c r="B87" s="3" t="s">
        <v>7104</v>
      </c>
      <c r="C87" s="2" t="s">
        <v>7086</v>
      </c>
    </row>
    <row r="88" customFormat="false" ht="15" hidden="false" customHeight="false" outlineLevel="0" collapsed="false">
      <c r="A88" s="2" t="s">
        <v>7105</v>
      </c>
      <c r="B88" s="3" t="s">
        <v>7106</v>
      </c>
      <c r="C88" s="2" t="s">
        <v>7086</v>
      </c>
    </row>
    <row r="89" customFormat="false" ht="15" hidden="false" customHeight="false" outlineLevel="0" collapsed="false">
      <c r="A89" s="2" t="s">
        <v>7107</v>
      </c>
      <c r="B89" s="3" t="s">
        <v>7108</v>
      </c>
      <c r="C89" s="2" t="s">
        <v>7086</v>
      </c>
    </row>
    <row r="90" customFormat="false" ht="23.85" hidden="false" customHeight="false" outlineLevel="0" collapsed="false">
      <c r="A90" s="2" t="s">
        <v>7109</v>
      </c>
      <c r="B90" s="3" t="s">
        <v>7110</v>
      </c>
      <c r="C90" s="2" t="s">
        <v>7086</v>
      </c>
    </row>
    <row r="91" customFormat="false" ht="15" hidden="false" customHeight="false" outlineLevel="0" collapsed="false">
      <c r="A91" s="2" t="s">
        <v>7111</v>
      </c>
      <c r="B91" s="3" t="s">
        <v>7112</v>
      </c>
      <c r="C91" s="2" t="s">
        <v>7086</v>
      </c>
    </row>
    <row r="92" customFormat="false" ht="15" hidden="false" customHeight="false" outlineLevel="0" collapsed="false">
      <c r="A92" s="2" t="s">
        <v>7113</v>
      </c>
      <c r="B92" s="3" t="s">
        <v>7114</v>
      </c>
      <c r="C92" s="2" t="s">
        <v>7086</v>
      </c>
    </row>
    <row r="93" customFormat="false" ht="15" hidden="false" customHeight="false" outlineLevel="0" collapsed="false">
      <c r="A93" s="2" t="s">
        <v>7115</v>
      </c>
      <c r="B93" s="3" t="s">
        <v>7116</v>
      </c>
      <c r="C93" s="2" t="s">
        <v>7086</v>
      </c>
    </row>
    <row r="94" customFormat="false" ht="15" hidden="false" customHeight="false" outlineLevel="0" collapsed="false">
      <c r="A94" s="2" t="s">
        <v>7117</v>
      </c>
      <c r="B94" s="3" t="s">
        <v>7118</v>
      </c>
      <c r="C94" s="2" t="s">
        <v>7086</v>
      </c>
    </row>
    <row r="95" customFormat="false" ht="15" hidden="false" customHeight="false" outlineLevel="0" collapsed="false">
      <c r="A95" s="2" t="s">
        <v>7119</v>
      </c>
      <c r="B95" s="3" t="s">
        <v>7120</v>
      </c>
      <c r="C95" s="2" t="s">
        <v>7086</v>
      </c>
    </row>
    <row r="96" customFormat="false" ht="15" hidden="false" customHeight="false" outlineLevel="0" collapsed="false">
      <c r="A96" s="2" t="s">
        <v>7121</v>
      </c>
      <c r="B96" s="3" t="s">
        <v>7122</v>
      </c>
      <c r="C96" s="2" t="s">
        <v>7086</v>
      </c>
    </row>
    <row r="97" customFormat="false" ht="15" hidden="false" customHeight="false" outlineLevel="0" collapsed="false">
      <c r="A97" s="2" t="s">
        <v>7123</v>
      </c>
      <c r="B97" s="3" t="s">
        <v>7124</v>
      </c>
      <c r="C97" s="2" t="s">
        <v>7086</v>
      </c>
    </row>
    <row r="98" customFormat="false" ht="15" hidden="false" customHeight="false" outlineLevel="0" collapsed="false">
      <c r="A98" s="2" t="s">
        <v>7125</v>
      </c>
      <c r="B98" s="3" t="s">
        <v>7126</v>
      </c>
      <c r="C98" s="2" t="s">
        <v>7086</v>
      </c>
    </row>
    <row r="99" customFormat="false" ht="15" hidden="false" customHeight="false" outlineLevel="0" collapsed="false">
      <c r="A99" s="2" t="s">
        <v>7127</v>
      </c>
      <c r="B99" s="3" t="s">
        <v>7128</v>
      </c>
      <c r="C99" s="2" t="s">
        <v>7086</v>
      </c>
    </row>
    <row r="100" customFormat="false" ht="15" hidden="false" customHeight="false" outlineLevel="0" collapsed="false">
      <c r="A100" s="2" t="s">
        <v>7129</v>
      </c>
      <c r="B100" s="3" t="s">
        <v>7130</v>
      </c>
      <c r="C100" s="2" t="s">
        <v>7086</v>
      </c>
    </row>
    <row r="101" customFormat="false" ht="15" hidden="false" customHeight="false" outlineLevel="0" collapsed="false">
      <c r="A101" s="2" t="s">
        <v>7131</v>
      </c>
      <c r="B101" s="3" t="s">
        <v>7132</v>
      </c>
      <c r="C101" s="2" t="s">
        <v>7086</v>
      </c>
    </row>
    <row r="102" customFormat="false" ht="15" hidden="false" customHeight="false" outlineLevel="0" collapsed="false">
      <c r="A102" s="2" t="s">
        <v>7133</v>
      </c>
      <c r="B102" s="3" t="s">
        <v>7134</v>
      </c>
      <c r="C102" s="2" t="s">
        <v>7086</v>
      </c>
    </row>
    <row r="103" customFormat="false" ht="15" hidden="false" customHeight="false" outlineLevel="0" collapsed="false">
      <c r="A103" s="2" t="s">
        <v>7135</v>
      </c>
      <c r="B103" s="3" t="s">
        <v>7136</v>
      </c>
      <c r="C103" s="2" t="s">
        <v>7086</v>
      </c>
    </row>
    <row r="104" customFormat="false" ht="15" hidden="false" customHeight="false" outlineLevel="0" collapsed="false">
      <c r="A104" s="2" t="s">
        <v>7137</v>
      </c>
      <c r="B104" s="3" t="s">
        <v>7138</v>
      </c>
      <c r="C104" s="2" t="s">
        <v>7086</v>
      </c>
    </row>
    <row r="105" customFormat="false" ht="15" hidden="false" customHeight="false" outlineLevel="0" collapsed="false">
      <c r="A105" s="2" t="s">
        <v>7139</v>
      </c>
      <c r="B105" s="3" t="s">
        <v>7140</v>
      </c>
      <c r="C105" s="2" t="s">
        <v>7086</v>
      </c>
    </row>
    <row r="106" customFormat="false" ht="15" hidden="false" customHeight="false" outlineLevel="0" collapsed="false">
      <c r="A106" s="2" t="s">
        <v>7141</v>
      </c>
      <c r="B106" s="3" t="s">
        <v>7142</v>
      </c>
      <c r="C106" s="2" t="s">
        <v>7086</v>
      </c>
    </row>
    <row r="107" customFormat="false" ht="23.85" hidden="false" customHeight="false" outlineLevel="0" collapsed="false">
      <c r="A107" s="2" t="s">
        <v>7143</v>
      </c>
      <c r="B107" s="3" t="s">
        <v>7144</v>
      </c>
      <c r="C107" s="2" t="s">
        <v>7086</v>
      </c>
    </row>
    <row r="108" customFormat="false" ht="15" hidden="false" customHeight="false" outlineLevel="0" collapsed="false">
      <c r="A108" s="2" t="s">
        <v>7145</v>
      </c>
      <c r="B108" s="3" t="s">
        <v>7146</v>
      </c>
      <c r="C108" s="2" t="s">
        <v>7086</v>
      </c>
    </row>
    <row r="109" customFormat="false" ht="15" hidden="false" customHeight="false" outlineLevel="0" collapsed="false">
      <c r="A109" s="2" t="s">
        <v>7147</v>
      </c>
      <c r="B109" s="3" t="s">
        <v>7148</v>
      </c>
      <c r="C109" s="2" t="s">
        <v>7086</v>
      </c>
    </row>
    <row r="110" customFormat="false" ht="15" hidden="false" customHeight="false" outlineLevel="0" collapsed="false">
      <c r="A110" s="2" t="s">
        <v>7149</v>
      </c>
      <c r="B110" s="3" t="s">
        <v>7150</v>
      </c>
      <c r="C110" s="2" t="s">
        <v>7086</v>
      </c>
    </row>
    <row r="111" customFormat="false" ht="15" hidden="false" customHeight="false" outlineLevel="0" collapsed="false">
      <c r="A111" s="2" t="s">
        <v>7151</v>
      </c>
      <c r="B111" s="3" t="s">
        <v>7152</v>
      </c>
      <c r="C111" s="2" t="s">
        <v>7086</v>
      </c>
    </row>
    <row r="112" customFormat="false" ht="15" hidden="false" customHeight="false" outlineLevel="0" collapsed="false">
      <c r="A112" s="2" t="s">
        <v>7153</v>
      </c>
      <c r="B112" s="3" t="s">
        <v>7154</v>
      </c>
      <c r="C112" s="2" t="s">
        <v>7086</v>
      </c>
    </row>
    <row r="113" customFormat="false" ht="15" hidden="false" customHeight="false" outlineLevel="0" collapsed="false">
      <c r="A113" s="2" t="s">
        <v>7155</v>
      </c>
      <c r="B113" s="3" t="s">
        <v>7156</v>
      </c>
      <c r="C113" s="2" t="s">
        <v>7086</v>
      </c>
    </row>
    <row r="114" customFormat="false" ht="15" hidden="false" customHeight="false" outlineLevel="0" collapsed="false">
      <c r="A114" s="2" t="s">
        <v>7157</v>
      </c>
      <c r="B114" s="3" t="s">
        <v>7158</v>
      </c>
      <c r="C114" s="2" t="s">
        <v>7086</v>
      </c>
    </row>
    <row r="115" customFormat="false" ht="15" hidden="false" customHeight="false" outlineLevel="0" collapsed="false">
      <c r="A115" s="2" t="s">
        <v>7159</v>
      </c>
      <c r="B115" s="3" t="s">
        <v>7160</v>
      </c>
      <c r="C115" s="2" t="s">
        <v>7086</v>
      </c>
    </row>
    <row r="116" customFormat="false" ht="15" hidden="false" customHeight="false" outlineLevel="0" collapsed="false">
      <c r="A116" s="2" t="s">
        <v>7161</v>
      </c>
      <c r="B116" s="3" t="s">
        <v>7162</v>
      </c>
      <c r="C116" s="2" t="s">
        <v>7086</v>
      </c>
    </row>
    <row r="117" customFormat="false" ht="15" hidden="false" customHeight="false" outlineLevel="0" collapsed="false">
      <c r="A117" s="2" t="s">
        <v>7163</v>
      </c>
      <c r="B117" s="3" t="s">
        <v>7164</v>
      </c>
      <c r="C117" s="2" t="s">
        <v>7165</v>
      </c>
    </row>
    <row r="118" customFormat="false" ht="15" hidden="false" customHeight="false" outlineLevel="0" collapsed="false">
      <c r="A118" s="2" t="s">
        <v>7166</v>
      </c>
      <c r="B118" s="3" t="s">
        <v>7167</v>
      </c>
      <c r="C118" s="2" t="s">
        <v>7165</v>
      </c>
    </row>
    <row r="119" customFormat="false" ht="15" hidden="false" customHeight="false" outlineLevel="0" collapsed="false">
      <c r="A119" s="2" t="s">
        <v>7168</v>
      </c>
      <c r="B119" s="3" t="s">
        <v>7169</v>
      </c>
      <c r="C119" s="2" t="s">
        <v>7165</v>
      </c>
    </row>
    <row r="120" customFormat="false" ht="15" hidden="false" customHeight="false" outlineLevel="0" collapsed="false">
      <c r="A120" s="2" t="s">
        <v>7170</v>
      </c>
      <c r="B120" s="3" t="s">
        <v>7171</v>
      </c>
      <c r="C120" s="2" t="s">
        <v>7165</v>
      </c>
    </row>
    <row r="121" customFormat="false" ht="15" hidden="false" customHeight="false" outlineLevel="0" collapsed="false">
      <c r="A121" s="2" t="s">
        <v>7172</v>
      </c>
      <c r="B121" s="3" t="s">
        <v>7173</v>
      </c>
      <c r="C121" s="2" t="s">
        <v>7165</v>
      </c>
    </row>
    <row r="122" customFormat="false" ht="15" hidden="false" customHeight="false" outlineLevel="0" collapsed="false">
      <c r="A122" s="2" t="s">
        <v>7174</v>
      </c>
      <c r="B122" s="3" t="s">
        <v>7175</v>
      </c>
      <c r="C122" s="2" t="s">
        <v>7165</v>
      </c>
    </row>
    <row r="123" customFormat="false" ht="15" hidden="false" customHeight="false" outlineLevel="0" collapsed="false">
      <c r="A123" s="2" t="s">
        <v>7176</v>
      </c>
      <c r="B123" s="3" t="s">
        <v>7177</v>
      </c>
      <c r="C123" s="2" t="s">
        <v>7165</v>
      </c>
    </row>
    <row r="124" customFormat="false" ht="15" hidden="false" customHeight="false" outlineLevel="0" collapsed="false">
      <c r="A124" s="2" t="s">
        <v>7178</v>
      </c>
      <c r="B124" s="3" t="s">
        <v>7177</v>
      </c>
      <c r="C124" s="2" t="s">
        <v>7165</v>
      </c>
    </row>
    <row r="125" customFormat="false" ht="15" hidden="false" customHeight="false" outlineLevel="0" collapsed="false">
      <c r="A125" s="2" t="s">
        <v>7179</v>
      </c>
      <c r="B125" s="3" t="s">
        <v>7180</v>
      </c>
      <c r="C125" s="2" t="s">
        <v>7165</v>
      </c>
    </row>
    <row r="126" customFormat="false" ht="15" hidden="false" customHeight="false" outlineLevel="0" collapsed="false">
      <c r="A126" s="2" t="s">
        <v>7181</v>
      </c>
      <c r="B126" s="3" t="s">
        <v>7182</v>
      </c>
      <c r="C126" s="2" t="s">
        <v>7165</v>
      </c>
    </row>
    <row r="127" customFormat="false" ht="15" hidden="false" customHeight="false" outlineLevel="0" collapsed="false">
      <c r="A127" s="2" t="s">
        <v>7183</v>
      </c>
      <c r="B127" s="3" t="s">
        <v>7184</v>
      </c>
      <c r="C127" s="2" t="s">
        <v>7165</v>
      </c>
    </row>
    <row r="128" customFormat="false" ht="15" hidden="false" customHeight="false" outlineLevel="0" collapsed="false">
      <c r="A128" s="2" t="s">
        <v>7185</v>
      </c>
      <c r="B128" s="3" t="s">
        <v>7186</v>
      </c>
      <c r="C128" s="2" t="s">
        <v>7165</v>
      </c>
    </row>
    <row r="129" customFormat="false" ht="15" hidden="false" customHeight="false" outlineLevel="0" collapsed="false">
      <c r="A129" s="2" t="s">
        <v>7187</v>
      </c>
      <c r="B129" s="3" t="s">
        <v>6942</v>
      </c>
      <c r="C129" s="2" t="s">
        <v>7165</v>
      </c>
    </row>
    <row r="130" customFormat="false" ht="15" hidden="false" customHeight="false" outlineLevel="0" collapsed="false">
      <c r="A130" s="2" t="s">
        <v>7188</v>
      </c>
      <c r="B130" s="3" t="s">
        <v>6942</v>
      </c>
      <c r="C130" s="2" t="s">
        <v>7165</v>
      </c>
    </row>
    <row r="131" customFormat="false" ht="15" hidden="false" customHeight="false" outlineLevel="0" collapsed="false">
      <c r="A131" s="2" t="s">
        <v>7189</v>
      </c>
      <c r="B131" s="3" t="s">
        <v>7190</v>
      </c>
      <c r="C131" s="2" t="s">
        <v>7165</v>
      </c>
    </row>
    <row r="132" customFormat="false" ht="15" hidden="false" customHeight="false" outlineLevel="0" collapsed="false">
      <c r="A132" s="2" t="s">
        <v>7191</v>
      </c>
      <c r="B132" s="3" t="s">
        <v>7192</v>
      </c>
      <c r="C132" s="2" t="s">
        <v>7165</v>
      </c>
    </row>
    <row r="133" customFormat="false" ht="15" hidden="false" customHeight="false" outlineLevel="0" collapsed="false">
      <c r="A133" s="2" t="s">
        <v>7193</v>
      </c>
      <c r="B133" s="3" t="s">
        <v>7194</v>
      </c>
      <c r="C133" s="2" t="s">
        <v>7165</v>
      </c>
    </row>
    <row r="134" customFormat="false" ht="15" hidden="false" customHeight="false" outlineLevel="0" collapsed="false">
      <c r="A134" s="2" t="s">
        <v>7195</v>
      </c>
      <c r="B134" s="3" t="s">
        <v>7194</v>
      </c>
      <c r="C134" s="2" t="s">
        <v>7165</v>
      </c>
    </row>
    <row r="135" customFormat="false" ht="15" hidden="false" customHeight="false" outlineLevel="0" collapsed="false">
      <c r="A135" s="2" t="s">
        <v>7196</v>
      </c>
      <c r="B135" s="3" t="s">
        <v>7197</v>
      </c>
      <c r="C135" s="2" t="s">
        <v>7165</v>
      </c>
    </row>
    <row r="136" customFormat="false" ht="15" hidden="false" customHeight="false" outlineLevel="0" collapsed="false">
      <c r="A136" s="2" t="s">
        <v>7198</v>
      </c>
      <c r="B136" s="3" t="s">
        <v>7199</v>
      </c>
      <c r="C136" s="2" t="s">
        <v>7165</v>
      </c>
    </row>
    <row r="137" customFormat="false" ht="23.85" hidden="false" customHeight="false" outlineLevel="0" collapsed="false">
      <c r="A137" s="2" t="s">
        <v>7200</v>
      </c>
      <c r="B137" s="3" t="s">
        <v>7201</v>
      </c>
      <c r="C137" s="2" t="s">
        <v>7165</v>
      </c>
    </row>
    <row r="138" customFormat="false" ht="15" hidden="false" customHeight="false" outlineLevel="0" collapsed="false">
      <c r="A138" s="2" t="s">
        <v>7202</v>
      </c>
      <c r="B138" s="3" t="s">
        <v>7203</v>
      </c>
      <c r="C138" s="2" t="s">
        <v>7165</v>
      </c>
    </row>
    <row r="139" customFormat="false" ht="15" hidden="false" customHeight="false" outlineLevel="0" collapsed="false">
      <c r="A139" s="2" t="s">
        <v>7204</v>
      </c>
      <c r="B139" s="3" t="s">
        <v>7205</v>
      </c>
      <c r="C139" s="2" t="s">
        <v>7165</v>
      </c>
    </row>
    <row r="140" customFormat="false" ht="15" hidden="false" customHeight="false" outlineLevel="0" collapsed="false">
      <c r="A140" s="2" t="s">
        <v>7206</v>
      </c>
      <c r="B140" s="3" t="s">
        <v>7207</v>
      </c>
      <c r="C140" s="2" t="s">
        <v>7165</v>
      </c>
    </row>
    <row r="141" customFormat="false" ht="15" hidden="false" customHeight="false" outlineLevel="0" collapsed="false">
      <c r="A141" s="2" t="s">
        <v>7208</v>
      </c>
      <c r="B141" s="3" t="s">
        <v>7209</v>
      </c>
      <c r="C141" s="2" t="s">
        <v>7165</v>
      </c>
    </row>
    <row r="142" customFormat="false" ht="15" hidden="false" customHeight="false" outlineLevel="0" collapsed="false">
      <c r="A142" s="2" t="s">
        <v>7210</v>
      </c>
      <c r="B142" s="3" t="s">
        <v>7211</v>
      </c>
      <c r="C142" s="2" t="s">
        <v>7165</v>
      </c>
    </row>
    <row r="143" customFormat="false" ht="15" hidden="false" customHeight="false" outlineLevel="0" collapsed="false">
      <c r="A143" s="2" t="s">
        <v>7212</v>
      </c>
      <c r="B143" s="3" t="s">
        <v>7213</v>
      </c>
      <c r="C143" s="2" t="s">
        <v>7165</v>
      </c>
    </row>
    <row r="144" customFormat="false" ht="15" hidden="false" customHeight="false" outlineLevel="0" collapsed="false">
      <c r="A144" s="2" t="s">
        <v>7214</v>
      </c>
      <c r="B144" s="3" t="s">
        <v>7215</v>
      </c>
      <c r="C144" s="2" t="s">
        <v>7165</v>
      </c>
    </row>
    <row r="145" customFormat="false" ht="15" hidden="false" customHeight="false" outlineLevel="0" collapsed="false">
      <c r="A145" s="2" t="s">
        <v>7216</v>
      </c>
      <c r="B145" s="3" t="s">
        <v>7217</v>
      </c>
      <c r="C145" s="2" t="s">
        <v>7165</v>
      </c>
    </row>
    <row r="146" customFormat="false" ht="15" hidden="false" customHeight="false" outlineLevel="0" collapsed="false">
      <c r="A146" s="2" t="s">
        <v>7218</v>
      </c>
      <c r="B146" s="3" t="s">
        <v>7219</v>
      </c>
      <c r="C146" s="2" t="s">
        <v>7165</v>
      </c>
    </row>
    <row r="147" customFormat="false" ht="15" hidden="false" customHeight="false" outlineLevel="0" collapsed="false">
      <c r="A147" s="2" t="s">
        <v>7220</v>
      </c>
      <c r="B147" s="3" t="s">
        <v>7221</v>
      </c>
      <c r="C147" s="2" t="s">
        <v>7222</v>
      </c>
    </row>
    <row r="148" customFormat="false" ht="15" hidden="false" customHeight="false" outlineLevel="0" collapsed="false">
      <c r="A148" s="2" t="s">
        <v>7223</v>
      </c>
      <c r="B148" s="3" t="s">
        <v>7221</v>
      </c>
      <c r="C148" s="2" t="s">
        <v>7222</v>
      </c>
    </row>
    <row r="149" customFormat="false" ht="15" hidden="false" customHeight="false" outlineLevel="0" collapsed="false">
      <c r="A149" s="2" t="s">
        <v>7224</v>
      </c>
      <c r="B149" s="3" t="s">
        <v>7225</v>
      </c>
      <c r="C149" s="2" t="s">
        <v>7222</v>
      </c>
    </row>
    <row r="150" customFormat="false" ht="15" hidden="false" customHeight="false" outlineLevel="0" collapsed="false">
      <c r="A150" s="2" t="s">
        <v>7226</v>
      </c>
      <c r="B150" s="3" t="s">
        <v>7227</v>
      </c>
      <c r="C150" s="2" t="s">
        <v>7222</v>
      </c>
    </row>
    <row r="151" customFormat="false" ht="15" hidden="false" customHeight="false" outlineLevel="0" collapsed="false">
      <c r="A151" s="2" t="s">
        <v>7228</v>
      </c>
      <c r="B151" s="3" t="s">
        <v>7229</v>
      </c>
      <c r="C151" s="2" t="s">
        <v>7222</v>
      </c>
    </row>
    <row r="152" customFormat="false" ht="15" hidden="false" customHeight="false" outlineLevel="0" collapsed="false">
      <c r="A152" s="2" t="s">
        <v>7230</v>
      </c>
      <c r="B152" s="3" t="s">
        <v>7231</v>
      </c>
      <c r="C152" s="2" t="s">
        <v>7222</v>
      </c>
    </row>
    <row r="153" customFormat="false" ht="23.85" hidden="false" customHeight="false" outlineLevel="0" collapsed="false">
      <c r="A153" s="2" t="s">
        <v>7232</v>
      </c>
      <c r="B153" s="3" t="s">
        <v>7233</v>
      </c>
      <c r="C153" s="2" t="s">
        <v>7222</v>
      </c>
    </row>
    <row r="154" customFormat="false" ht="15" hidden="false" customHeight="false" outlineLevel="0" collapsed="false">
      <c r="A154" s="2" t="s">
        <v>7234</v>
      </c>
      <c r="B154" s="3" t="s">
        <v>7235</v>
      </c>
      <c r="C154" s="2" t="s">
        <v>7222</v>
      </c>
    </row>
    <row r="155" customFormat="false" ht="15" hidden="false" customHeight="false" outlineLevel="0" collapsed="false">
      <c r="A155" s="2" t="s">
        <v>7236</v>
      </c>
      <c r="B155" s="3" t="s">
        <v>7237</v>
      </c>
      <c r="C155" s="2" t="s">
        <v>7222</v>
      </c>
    </row>
    <row r="156" customFormat="false" ht="15" hidden="false" customHeight="false" outlineLevel="0" collapsed="false">
      <c r="A156" s="2" t="s">
        <v>7238</v>
      </c>
      <c r="B156" s="3" t="s">
        <v>7237</v>
      </c>
      <c r="C156" s="2" t="s">
        <v>7222</v>
      </c>
    </row>
    <row r="157" customFormat="false" ht="15" hidden="false" customHeight="false" outlineLevel="0" collapsed="false">
      <c r="A157" s="2" t="s">
        <v>7239</v>
      </c>
      <c r="B157" s="3" t="s">
        <v>7237</v>
      </c>
      <c r="C157" s="2" t="s">
        <v>7222</v>
      </c>
    </row>
    <row r="158" customFormat="false" ht="15" hidden="false" customHeight="false" outlineLevel="0" collapsed="false">
      <c r="A158" s="2" t="s">
        <v>7240</v>
      </c>
      <c r="B158" s="3" t="s">
        <v>7237</v>
      </c>
      <c r="C158" s="2" t="s">
        <v>7222</v>
      </c>
    </row>
    <row r="159" customFormat="false" ht="15" hidden="false" customHeight="false" outlineLevel="0" collapsed="false">
      <c r="A159" s="2" t="s">
        <v>7241</v>
      </c>
      <c r="B159" s="3" t="s">
        <v>7229</v>
      </c>
      <c r="C159" s="2" t="s">
        <v>7222</v>
      </c>
    </row>
    <row r="160" customFormat="false" ht="15" hidden="false" customHeight="false" outlineLevel="0" collapsed="false">
      <c r="A160" s="2" t="s">
        <v>7242</v>
      </c>
      <c r="B160" s="3" t="s">
        <v>7237</v>
      </c>
      <c r="C160" s="2" t="s">
        <v>7222</v>
      </c>
    </row>
    <row r="161" customFormat="false" ht="15" hidden="false" customHeight="false" outlineLevel="0" collapsed="false">
      <c r="A161" s="2" t="s">
        <v>7243</v>
      </c>
      <c r="B161" s="3" t="s">
        <v>7244</v>
      </c>
      <c r="C161" s="2" t="s">
        <v>7222</v>
      </c>
    </row>
    <row r="162" customFormat="false" ht="15" hidden="false" customHeight="false" outlineLevel="0" collapsed="false">
      <c r="A162" s="2" t="s">
        <v>7245</v>
      </c>
      <c r="B162" s="3" t="s">
        <v>7246</v>
      </c>
      <c r="C162" s="2" t="s">
        <v>7222</v>
      </c>
    </row>
    <row r="163" customFormat="false" ht="15" hidden="false" customHeight="false" outlineLevel="0" collapsed="false">
      <c r="A163" s="2" t="s">
        <v>7247</v>
      </c>
      <c r="B163" s="3" t="s">
        <v>7248</v>
      </c>
      <c r="C163" s="2" t="s">
        <v>7222</v>
      </c>
    </row>
    <row r="164" customFormat="false" ht="15" hidden="false" customHeight="false" outlineLevel="0" collapsed="false">
      <c r="A164" s="2" t="s">
        <v>7249</v>
      </c>
      <c r="B164" s="3" t="s">
        <v>7250</v>
      </c>
      <c r="C164" s="2" t="s">
        <v>7222</v>
      </c>
    </row>
    <row r="165" customFormat="false" ht="15" hidden="false" customHeight="false" outlineLevel="0" collapsed="false">
      <c r="A165" s="2" t="s">
        <v>7251</v>
      </c>
      <c r="B165" s="3" t="s">
        <v>7252</v>
      </c>
      <c r="C165" s="2" t="s">
        <v>7222</v>
      </c>
    </row>
    <row r="166" customFormat="false" ht="15" hidden="false" customHeight="false" outlineLevel="0" collapsed="false">
      <c r="A166" s="2" t="s">
        <v>7253</v>
      </c>
      <c r="B166" s="3" t="s">
        <v>7254</v>
      </c>
      <c r="C166" s="2" t="s">
        <v>7222</v>
      </c>
    </row>
    <row r="167" customFormat="false" ht="15" hidden="false" customHeight="false" outlineLevel="0" collapsed="false">
      <c r="A167" s="2" t="s">
        <v>7255</v>
      </c>
      <c r="B167" s="3" t="s">
        <v>6942</v>
      </c>
      <c r="C167" s="2" t="s">
        <v>7222</v>
      </c>
    </row>
    <row r="168" customFormat="false" ht="15" hidden="false" customHeight="false" outlineLevel="0" collapsed="false">
      <c r="A168" s="2" t="s">
        <v>7256</v>
      </c>
      <c r="B168" s="3" t="s">
        <v>6942</v>
      </c>
      <c r="C168" s="2" t="s">
        <v>7222</v>
      </c>
    </row>
    <row r="169" customFormat="false" ht="15" hidden="false" customHeight="false" outlineLevel="0" collapsed="false">
      <c r="A169" s="2" t="s">
        <v>7257</v>
      </c>
      <c r="B169" s="3" t="s">
        <v>7258</v>
      </c>
      <c r="C169" s="2" t="s">
        <v>7222</v>
      </c>
    </row>
    <row r="170" customFormat="false" ht="15" hidden="false" customHeight="false" outlineLevel="0" collapsed="false">
      <c r="A170" s="2" t="s">
        <v>7259</v>
      </c>
      <c r="B170" s="3" t="s">
        <v>7260</v>
      </c>
      <c r="C170" s="2" t="s">
        <v>7222</v>
      </c>
    </row>
    <row r="171" customFormat="false" ht="15" hidden="false" customHeight="false" outlineLevel="0" collapsed="false">
      <c r="A171" s="2" t="s">
        <v>7261</v>
      </c>
      <c r="B171" s="3" t="s">
        <v>6942</v>
      </c>
      <c r="C171" s="2" t="s">
        <v>7222</v>
      </c>
    </row>
    <row r="172" customFormat="false" ht="15" hidden="false" customHeight="false" outlineLevel="0" collapsed="false">
      <c r="A172" s="2" t="s">
        <v>7262</v>
      </c>
      <c r="B172" s="3" t="s">
        <v>6942</v>
      </c>
      <c r="C172" s="2" t="s">
        <v>7222</v>
      </c>
    </row>
    <row r="173" customFormat="false" ht="15" hidden="false" customHeight="false" outlineLevel="0" collapsed="false">
      <c r="A173" s="2" t="s">
        <v>7263</v>
      </c>
      <c r="B173" s="3" t="s">
        <v>7264</v>
      </c>
      <c r="C173" s="2" t="s">
        <v>7222</v>
      </c>
    </row>
    <row r="174" customFormat="false" ht="15" hidden="false" customHeight="false" outlineLevel="0" collapsed="false">
      <c r="A174" s="2" t="s">
        <v>7265</v>
      </c>
      <c r="B174" s="3" t="s">
        <v>7266</v>
      </c>
      <c r="C174" s="2" t="s">
        <v>7222</v>
      </c>
    </row>
    <row r="175" customFormat="false" ht="15" hidden="false" customHeight="false" outlineLevel="0" collapsed="false">
      <c r="A175" s="2" t="s">
        <v>7267</v>
      </c>
      <c r="B175" s="3" t="s">
        <v>7229</v>
      </c>
      <c r="C175" s="2" t="s">
        <v>7222</v>
      </c>
    </row>
    <row r="176" customFormat="false" ht="15" hidden="false" customHeight="false" outlineLevel="0" collapsed="false">
      <c r="A176" s="2" t="s">
        <v>7268</v>
      </c>
      <c r="B176" s="3" t="s">
        <v>7269</v>
      </c>
      <c r="C176" s="2" t="s">
        <v>7222</v>
      </c>
    </row>
    <row r="177" customFormat="false" ht="15" hidden="false" customHeight="false" outlineLevel="0" collapsed="false">
      <c r="A177" s="2" t="s">
        <v>7270</v>
      </c>
      <c r="B177" s="3" t="s">
        <v>7229</v>
      </c>
      <c r="C177" s="2" t="s">
        <v>7222</v>
      </c>
    </row>
    <row r="178" customFormat="false" ht="15" hidden="false" customHeight="false" outlineLevel="0" collapsed="false">
      <c r="A178" s="2" t="s">
        <v>7271</v>
      </c>
      <c r="B178" s="3" t="s">
        <v>6942</v>
      </c>
      <c r="C178" s="2" t="s">
        <v>7222</v>
      </c>
    </row>
    <row r="179" customFormat="false" ht="15" hidden="false" customHeight="false" outlineLevel="0" collapsed="false">
      <c r="A179" s="2" t="s">
        <v>7272</v>
      </c>
      <c r="B179" s="3" t="s">
        <v>7273</v>
      </c>
      <c r="C179" s="2" t="s">
        <v>7222</v>
      </c>
    </row>
    <row r="180" customFormat="false" ht="15" hidden="false" customHeight="false" outlineLevel="0" collapsed="false">
      <c r="A180" s="2" t="s">
        <v>7274</v>
      </c>
      <c r="B180" s="3" t="s">
        <v>7275</v>
      </c>
      <c r="C180" s="2" t="s">
        <v>7222</v>
      </c>
    </row>
    <row r="181" customFormat="false" ht="15" hidden="false" customHeight="false" outlineLevel="0" collapsed="false">
      <c r="A181" s="2" t="s">
        <v>7276</v>
      </c>
      <c r="B181" s="3" t="s">
        <v>7277</v>
      </c>
      <c r="C181" s="2" t="s">
        <v>7222</v>
      </c>
    </row>
    <row r="182" customFormat="false" ht="23.85" hidden="false" customHeight="false" outlineLevel="0" collapsed="false">
      <c r="A182" s="2" t="s">
        <v>7278</v>
      </c>
      <c r="B182" s="3" t="s">
        <v>7279</v>
      </c>
      <c r="C182" s="2" t="s">
        <v>7222</v>
      </c>
    </row>
    <row r="183" customFormat="false" ht="15" hidden="false" customHeight="false" outlineLevel="0" collapsed="false">
      <c r="A183" s="2" t="s">
        <v>7280</v>
      </c>
      <c r="B183" s="3" t="s">
        <v>7281</v>
      </c>
      <c r="C183" s="2" t="s">
        <v>7222</v>
      </c>
    </row>
    <row r="184" customFormat="false" ht="15" hidden="false" customHeight="false" outlineLevel="0" collapsed="false">
      <c r="A184" s="2" t="s">
        <v>7282</v>
      </c>
      <c r="B184" s="3" t="s">
        <v>7283</v>
      </c>
      <c r="C184" s="2" t="s">
        <v>7222</v>
      </c>
    </row>
    <row r="185" customFormat="false" ht="15" hidden="false" customHeight="false" outlineLevel="0" collapsed="false">
      <c r="A185" s="2" t="s">
        <v>7284</v>
      </c>
      <c r="B185" s="3" t="s">
        <v>7285</v>
      </c>
      <c r="C185" s="2" t="s">
        <v>7222</v>
      </c>
    </row>
    <row r="186" customFormat="false" ht="15" hidden="false" customHeight="false" outlineLevel="0" collapsed="false">
      <c r="A186" s="2" t="s">
        <v>7286</v>
      </c>
      <c r="B186" s="3" t="s">
        <v>7287</v>
      </c>
      <c r="C186" s="2" t="s">
        <v>7222</v>
      </c>
    </row>
    <row r="187" customFormat="false" ht="15" hidden="false" customHeight="false" outlineLevel="0" collapsed="false">
      <c r="A187" s="2" t="s">
        <v>7288</v>
      </c>
      <c r="B187" s="3" t="s">
        <v>7287</v>
      </c>
      <c r="C187" s="2" t="s">
        <v>7222</v>
      </c>
    </row>
    <row r="188" customFormat="false" ht="15" hidden="false" customHeight="false" outlineLevel="0" collapsed="false">
      <c r="A188" s="2" t="s">
        <v>7289</v>
      </c>
      <c r="B188" s="3" t="s">
        <v>7290</v>
      </c>
      <c r="C188" s="2" t="s">
        <v>7222</v>
      </c>
    </row>
    <row r="189" customFormat="false" ht="35.05" hidden="false" customHeight="false" outlineLevel="0" collapsed="false">
      <c r="A189" s="2" t="s">
        <v>7291</v>
      </c>
      <c r="B189" s="3" t="s">
        <v>7292</v>
      </c>
      <c r="C189" s="2" t="s">
        <v>7293</v>
      </c>
    </row>
    <row r="190" customFormat="false" ht="15" hidden="false" customHeight="false" outlineLevel="0" collapsed="false">
      <c r="A190" s="2" t="s">
        <v>7294</v>
      </c>
      <c r="B190" s="3" t="s">
        <v>7295</v>
      </c>
      <c r="C190" s="2" t="s">
        <v>7293</v>
      </c>
    </row>
    <row r="191" customFormat="false" ht="15" hidden="false" customHeight="false" outlineLevel="0" collapsed="false">
      <c r="A191" s="2" t="s">
        <v>7296</v>
      </c>
      <c r="B191" s="3" t="s">
        <v>7297</v>
      </c>
      <c r="C191" s="2" t="s">
        <v>7293</v>
      </c>
    </row>
    <row r="192" customFormat="false" ht="15" hidden="false" customHeight="false" outlineLevel="0" collapsed="false">
      <c r="A192" s="2" t="s">
        <v>7298</v>
      </c>
      <c r="B192" s="3" t="s">
        <v>7299</v>
      </c>
      <c r="C192" s="2" t="s">
        <v>7293</v>
      </c>
    </row>
    <row r="193" customFormat="false" ht="15" hidden="false" customHeight="false" outlineLevel="0" collapsed="false">
      <c r="A193" s="2" t="s">
        <v>7300</v>
      </c>
      <c r="B193" s="3" t="s">
        <v>7301</v>
      </c>
      <c r="C193" s="2" t="s">
        <v>7293</v>
      </c>
    </row>
    <row r="194" customFormat="false" ht="15" hidden="false" customHeight="false" outlineLevel="0" collapsed="false">
      <c r="A194" s="2" t="s">
        <v>7302</v>
      </c>
      <c r="B194" s="3" t="s">
        <v>7303</v>
      </c>
      <c r="C194" s="2" t="s">
        <v>7293</v>
      </c>
    </row>
    <row r="195" customFormat="false" ht="15" hidden="false" customHeight="false" outlineLevel="0" collapsed="false">
      <c r="A195" s="2" t="s">
        <v>7304</v>
      </c>
      <c r="B195" s="3" t="s">
        <v>7305</v>
      </c>
      <c r="C195" s="2" t="s">
        <v>7293</v>
      </c>
    </row>
    <row r="196" customFormat="false" ht="15" hidden="false" customHeight="false" outlineLevel="0" collapsed="false">
      <c r="A196" s="2" t="s">
        <v>7306</v>
      </c>
      <c r="B196" s="3" t="s">
        <v>7307</v>
      </c>
      <c r="C196" s="2" t="s">
        <v>7293</v>
      </c>
    </row>
    <row r="197" customFormat="false" ht="15" hidden="false" customHeight="false" outlineLevel="0" collapsed="false">
      <c r="A197" s="2" t="s">
        <v>7308</v>
      </c>
      <c r="B197" s="3" t="s">
        <v>7309</v>
      </c>
      <c r="C197" s="2" t="s">
        <v>7293</v>
      </c>
    </row>
    <row r="198" customFormat="false" ht="15" hidden="false" customHeight="false" outlineLevel="0" collapsed="false">
      <c r="A198" s="2" t="s">
        <v>7310</v>
      </c>
      <c r="B198" s="3" t="s">
        <v>7311</v>
      </c>
      <c r="C198" s="2" t="s">
        <v>7293</v>
      </c>
    </row>
    <row r="199" customFormat="false" ht="15" hidden="false" customHeight="false" outlineLevel="0" collapsed="false">
      <c r="A199" s="2" t="s">
        <v>7312</v>
      </c>
      <c r="B199" s="3" t="s">
        <v>7313</v>
      </c>
      <c r="C199" s="2" t="s">
        <v>7293</v>
      </c>
    </row>
    <row r="200" customFormat="false" ht="15" hidden="false" customHeight="false" outlineLevel="0" collapsed="false">
      <c r="A200" s="2" t="s">
        <v>7314</v>
      </c>
      <c r="B200" s="3" t="s">
        <v>7315</v>
      </c>
      <c r="C200" s="2" t="s">
        <v>7293</v>
      </c>
    </row>
    <row r="201" customFormat="false" ht="23.85" hidden="false" customHeight="false" outlineLevel="0" collapsed="false">
      <c r="A201" s="2" t="s">
        <v>7316</v>
      </c>
      <c r="B201" s="3" t="s">
        <v>7317</v>
      </c>
      <c r="C201" s="2" t="s">
        <v>7293</v>
      </c>
    </row>
    <row r="202" customFormat="false" ht="15" hidden="false" customHeight="false" outlineLevel="0" collapsed="false">
      <c r="A202" s="2" t="s">
        <v>7318</v>
      </c>
      <c r="B202" s="3" t="s">
        <v>7319</v>
      </c>
      <c r="C202" s="2" t="s">
        <v>7293</v>
      </c>
    </row>
    <row r="203" customFormat="false" ht="15" hidden="false" customHeight="false" outlineLevel="0" collapsed="false">
      <c r="A203" s="2" t="s">
        <v>7320</v>
      </c>
      <c r="B203" s="3" t="s">
        <v>6942</v>
      </c>
      <c r="C203" s="2" t="s">
        <v>7293</v>
      </c>
    </row>
    <row r="204" customFormat="false" ht="15" hidden="false" customHeight="false" outlineLevel="0" collapsed="false">
      <c r="A204" s="2" t="s">
        <v>7321</v>
      </c>
      <c r="B204" s="3" t="s">
        <v>6942</v>
      </c>
      <c r="C204" s="2" t="s">
        <v>7293</v>
      </c>
    </row>
    <row r="205" customFormat="false" ht="15" hidden="false" customHeight="false" outlineLevel="0" collapsed="false">
      <c r="A205" s="2" t="s">
        <v>7322</v>
      </c>
      <c r="B205" s="3" t="s">
        <v>7323</v>
      </c>
      <c r="C205" s="2" t="s">
        <v>7293</v>
      </c>
    </row>
    <row r="206" customFormat="false" ht="15" hidden="false" customHeight="false" outlineLevel="0" collapsed="false">
      <c r="A206" s="2" t="s">
        <v>7324</v>
      </c>
      <c r="B206" s="3" t="s">
        <v>7325</v>
      </c>
      <c r="C206" s="2" t="s">
        <v>7293</v>
      </c>
    </row>
    <row r="207" customFormat="false" ht="15" hidden="false" customHeight="false" outlineLevel="0" collapsed="false">
      <c r="A207" s="2" t="s">
        <v>7326</v>
      </c>
      <c r="B207" s="3" t="s">
        <v>7327</v>
      </c>
      <c r="C207" s="2" t="s">
        <v>7293</v>
      </c>
    </row>
    <row r="208" customFormat="false" ht="15" hidden="false" customHeight="false" outlineLevel="0" collapsed="false">
      <c r="A208" s="2" t="s">
        <v>7328</v>
      </c>
      <c r="B208" s="3" t="s">
        <v>7329</v>
      </c>
      <c r="C208" s="2" t="s">
        <v>7293</v>
      </c>
    </row>
    <row r="209" customFormat="false" ht="15" hidden="false" customHeight="false" outlineLevel="0" collapsed="false">
      <c r="A209" s="2" t="s">
        <v>7330</v>
      </c>
      <c r="B209" s="3" t="s">
        <v>7331</v>
      </c>
      <c r="C209" s="2" t="s">
        <v>7293</v>
      </c>
    </row>
    <row r="210" customFormat="false" ht="15" hidden="false" customHeight="false" outlineLevel="0" collapsed="false">
      <c r="A210" s="2" t="s">
        <v>7332</v>
      </c>
      <c r="B210" s="3" t="s">
        <v>7333</v>
      </c>
      <c r="C210" s="2" t="s">
        <v>7293</v>
      </c>
    </row>
    <row r="211" customFormat="false" ht="15" hidden="false" customHeight="false" outlineLevel="0" collapsed="false">
      <c r="A211" s="2" t="s">
        <v>7334</v>
      </c>
      <c r="B211" s="3" t="s">
        <v>7335</v>
      </c>
      <c r="C211" s="2" t="s">
        <v>7293</v>
      </c>
    </row>
    <row r="212" customFormat="false" ht="15" hidden="false" customHeight="false" outlineLevel="0" collapsed="false">
      <c r="A212" s="2" t="s">
        <v>7336</v>
      </c>
      <c r="B212" s="3" t="s">
        <v>7337</v>
      </c>
      <c r="C212" s="2" t="s">
        <v>7293</v>
      </c>
    </row>
    <row r="213" customFormat="false" ht="15" hidden="false" customHeight="false" outlineLevel="0" collapsed="false">
      <c r="A213" s="2" t="s">
        <v>7338</v>
      </c>
      <c r="B213" s="3" t="s">
        <v>7339</v>
      </c>
      <c r="C213" s="2" t="s">
        <v>7293</v>
      </c>
    </row>
    <row r="214" customFormat="false" ht="15" hidden="false" customHeight="false" outlineLevel="0" collapsed="false">
      <c r="A214" s="2" t="s">
        <v>7340</v>
      </c>
      <c r="B214" s="3" t="s">
        <v>7341</v>
      </c>
      <c r="C214" s="2" t="s">
        <v>7293</v>
      </c>
    </row>
    <row r="215" customFormat="false" ht="15" hidden="false" customHeight="false" outlineLevel="0" collapsed="false">
      <c r="A215" s="2" t="s">
        <v>7342</v>
      </c>
      <c r="B215" s="3" t="s">
        <v>7343</v>
      </c>
      <c r="C215" s="2" t="s">
        <v>7293</v>
      </c>
    </row>
    <row r="216" customFormat="false" ht="15" hidden="false" customHeight="false" outlineLevel="0" collapsed="false">
      <c r="A216" s="2" t="s">
        <v>7344</v>
      </c>
      <c r="B216" s="3" t="s">
        <v>7345</v>
      </c>
      <c r="C216" s="2" t="s">
        <v>7293</v>
      </c>
    </row>
    <row r="217" customFormat="false" ht="23.85" hidden="false" customHeight="false" outlineLevel="0" collapsed="false">
      <c r="A217" s="2" t="s">
        <v>7346</v>
      </c>
      <c r="B217" s="3" t="s">
        <v>7347</v>
      </c>
      <c r="C217" s="2" t="s">
        <v>7293</v>
      </c>
    </row>
    <row r="218" customFormat="false" ht="15" hidden="false" customHeight="false" outlineLevel="0" collapsed="false">
      <c r="A218" s="2" t="s">
        <v>7348</v>
      </c>
      <c r="B218" s="3" t="s">
        <v>7349</v>
      </c>
      <c r="C218" s="2" t="s">
        <v>7293</v>
      </c>
    </row>
    <row r="219" customFormat="false" ht="15" hidden="false" customHeight="false" outlineLevel="0" collapsed="false">
      <c r="A219" s="2" t="s">
        <v>7350</v>
      </c>
      <c r="B219" s="3" t="s">
        <v>7351</v>
      </c>
      <c r="C219" s="2" t="s">
        <v>7293</v>
      </c>
    </row>
    <row r="220" customFormat="false" ht="15" hidden="false" customHeight="false" outlineLevel="0" collapsed="false">
      <c r="A220" s="2" t="s">
        <v>7352</v>
      </c>
      <c r="B220" s="3" t="s">
        <v>7353</v>
      </c>
      <c r="C220" s="2" t="s">
        <v>7354</v>
      </c>
    </row>
    <row r="221" customFormat="false" ht="15" hidden="false" customHeight="false" outlineLevel="0" collapsed="false">
      <c r="A221" s="2" t="s">
        <v>7355</v>
      </c>
      <c r="B221" s="3" t="s">
        <v>7356</v>
      </c>
      <c r="C221" s="2" t="s">
        <v>7354</v>
      </c>
    </row>
    <row r="222" customFormat="false" ht="15" hidden="false" customHeight="false" outlineLevel="0" collapsed="false">
      <c r="A222" s="2" t="s">
        <v>7357</v>
      </c>
      <c r="B222" s="3" t="s">
        <v>7358</v>
      </c>
      <c r="C222" s="2" t="s">
        <v>7354</v>
      </c>
    </row>
    <row r="223" customFormat="false" ht="15" hidden="false" customHeight="false" outlineLevel="0" collapsed="false">
      <c r="A223" s="2" t="s">
        <v>7359</v>
      </c>
      <c r="B223" s="3" t="s">
        <v>7360</v>
      </c>
      <c r="C223" s="2" t="s">
        <v>7354</v>
      </c>
    </row>
    <row r="224" customFormat="false" ht="15" hidden="false" customHeight="false" outlineLevel="0" collapsed="false">
      <c r="A224" s="2" t="s">
        <v>7361</v>
      </c>
      <c r="B224" s="3" t="s">
        <v>7362</v>
      </c>
      <c r="C224" s="2" t="s">
        <v>7354</v>
      </c>
    </row>
    <row r="225" customFormat="false" ht="15" hidden="false" customHeight="false" outlineLevel="0" collapsed="false">
      <c r="A225" s="2" t="s">
        <v>7363</v>
      </c>
      <c r="B225" s="3" t="s">
        <v>7364</v>
      </c>
      <c r="C225" s="2" t="s">
        <v>7354</v>
      </c>
    </row>
    <row r="226" customFormat="false" ht="15" hidden="false" customHeight="false" outlineLevel="0" collapsed="false">
      <c r="A226" s="2" t="s">
        <v>7365</v>
      </c>
      <c r="B226" s="3" t="s">
        <v>7366</v>
      </c>
      <c r="C226" s="2" t="s">
        <v>7354</v>
      </c>
    </row>
    <row r="227" customFormat="false" ht="15" hidden="false" customHeight="false" outlineLevel="0" collapsed="false">
      <c r="A227" s="2" t="s">
        <v>7367</v>
      </c>
      <c r="B227" s="3" t="s">
        <v>7368</v>
      </c>
      <c r="C227" s="2" t="s">
        <v>7354</v>
      </c>
    </row>
    <row r="228" customFormat="false" ht="15" hidden="false" customHeight="false" outlineLevel="0" collapsed="false">
      <c r="A228" s="2" t="s">
        <v>7369</v>
      </c>
      <c r="B228" s="3" t="s">
        <v>7370</v>
      </c>
      <c r="C228" s="2" t="s">
        <v>7354</v>
      </c>
    </row>
    <row r="229" customFormat="false" ht="15" hidden="false" customHeight="false" outlineLevel="0" collapsed="false">
      <c r="A229" s="2" t="s">
        <v>7371</v>
      </c>
      <c r="B229" s="3" t="s">
        <v>7372</v>
      </c>
      <c r="C229" s="2" t="s">
        <v>7354</v>
      </c>
    </row>
    <row r="230" customFormat="false" ht="15" hidden="false" customHeight="false" outlineLevel="0" collapsed="false">
      <c r="A230" s="2" t="s">
        <v>7373</v>
      </c>
      <c r="B230" s="3" t="s">
        <v>7374</v>
      </c>
      <c r="C230" s="2" t="s">
        <v>7354</v>
      </c>
    </row>
    <row r="231" customFormat="false" ht="15" hidden="false" customHeight="false" outlineLevel="0" collapsed="false">
      <c r="A231" s="2" t="s">
        <v>7375</v>
      </c>
      <c r="B231" s="3" t="s">
        <v>7376</v>
      </c>
      <c r="C231" s="2" t="s">
        <v>7354</v>
      </c>
    </row>
    <row r="232" customFormat="false" ht="15" hidden="false" customHeight="false" outlineLevel="0" collapsed="false">
      <c r="A232" s="2" t="s">
        <v>7377</v>
      </c>
      <c r="B232" s="3" t="s">
        <v>7378</v>
      </c>
      <c r="C232" s="2" t="s">
        <v>7354</v>
      </c>
    </row>
    <row r="233" customFormat="false" ht="15" hidden="false" customHeight="false" outlineLevel="0" collapsed="false">
      <c r="A233" s="2" t="s">
        <v>7379</v>
      </c>
      <c r="B233" s="3" t="s">
        <v>7380</v>
      </c>
      <c r="C233" s="2" t="s">
        <v>7354</v>
      </c>
    </row>
    <row r="234" customFormat="false" ht="15" hidden="false" customHeight="false" outlineLevel="0" collapsed="false">
      <c r="A234" s="2" t="s">
        <v>1315</v>
      </c>
      <c r="B234" s="3" t="s">
        <v>7381</v>
      </c>
      <c r="C234" s="2" t="s">
        <v>7354</v>
      </c>
    </row>
    <row r="235" customFormat="false" ht="15" hidden="false" customHeight="false" outlineLevel="0" collapsed="false">
      <c r="A235" s="2" t="s">
        <v>7382</v>
      </c>
      <c r="B235" s="3" t="s">
        <v>7383</v>
      </c>
      <c r="C235" s="2" t="s">
        <v>7354</v>
      </c>
    </row>
    <row r="236" customFormat="false" ht="15" hidden="false" customHeight="false" outlineLevel="0" collapsed="false">
      <c r="A236" s="2" t="s">
        <v>7384</v>
      </c>
      <c r="B236" s="3" t="s">
        <v>7385</v>
      </c>
      <c r="C236" s="2" t="s">
        <v>7354</v>
      </c>
    </row>
    <row r="237" customFormat="false" ht="15" hidden="false" customHeight="false" outlineLevel="0" collapsed="false">
      <c r="A237" s="2" t="s">
        <v>7386</v>
      </c>
      <c r="B237" s="3" t="s">
        <v>7387</v>
      </c>
      <c r="C237" s="2" t="s">
        <v>7354</v>
      </c>
    </row>
    <row r="238" customFormat="false" ht="15" hidden="false" customHeight="false" outlineLevel="0" collapsed="false">
      <c r="A238" s="2" t="s">
        <v>7388</v>
      </c>
      <c r="B238" s="3" t="s">
        <v>7389</v>
      </c>
      <c r="C238" s="2" t="s">
        <v>7354</v>
      </c>
    </row>
    <row r="239" customFormat="false" ht="15" hidden="false" customHeight="false" outlineLevel="0" collapsed="false">
      <c r="A239" s="2" t="s">
        <v>7390</v>
      </c>
      <c r="B239" s="3" t="s">
        <v>7391</v>
      </c>
      <c r="C239" s="2" t="s">
        <v>7354</v>
      </c>
    </row>
    <row r="240" customFormat="false" ht="15" hidden="false" customHeight="false" outlineLevel="0" collapsed="false">
      <c r="A240" s="2" t="s">
        <v>7392</v>
      </c>
      <c r="B240" s="3" t="s">
        <v>7393</v>
      </c>
      <c r="C240" s="2" t="s">
        <v>7354</v>
      </c>
    </row>
    <row r="241" customFormat="false" ht="15" hidden="false" customHeight="false" outlineLevel="0" collapsed="false">
      <c r="A241" s="2" t="s">
        <v>7394</v>
      </c>
      <c r="B241" s="3" t="s">
        <v>7395</v>
      </c>
      <c r="C241" s="2" t="s">
        <v>7354</v>
      </c>
    </row>
    <row r="242" customFormat="false" ht="15" hidden="false" customHeight="false" outlineLevel="0" collapsed="false">
      <c r="A242" s="2" t="s">
        <v>7396</v>
      </c>
      <c r="B242" s="3" t="s">
        <v>7397</v>
      </c>
      <c r="C242" s="2" t="s">
        <v>7354</v>
      </c>
    </row>
    <row r="243" customFormat="false" ht="15" hidden="false" customHeight="false" outlineLevel="0" collapsed="false">
      <c r="A243" s="2" t="s">
        <v>7398</v>
      </c>
      <c r="B243" s="3" t="s">
        <v>7399</v>
      </c>
      <c r="C243" s="2" t="s">
        <v>7354</v>
      </c>
    </row>
    <row r="244" customFormat="false" ht="15" hidden="false" customHeight="false" outlineLevel="0" collapsed="false">
      <c r="A244" s="2" t="s">
        <v>7400</v>
      </c>
      <c r="B244" s="3" t="s">
        <v>7401</v>
      </c>
      <c r="C244" s="2" t="s">
        <v>7354</v>
      </c>
    </row>
    <row r="245" customFormat="false" ht="15" hidden="false" customHeight="false" outlineLevel="0" collapsed="false">
      <c r="A245" s="2" t="s">
        <v>7402</v>
      </c>
      <c r="B245" s="3" t="s">
        <v>7403</v>
      </c>
      <c r="C245" s="2" t="s">
        <v>7404</v>
      </c>
    </row>
    <row r="246" customFormat="false" ht="15" hidden="false" customHeight="false" outlineLevel="0" collapsed="false">
      <c r="A246" s="2" t="s">
        <v>7405</v>
      </c>
      <c r="B246" s="3" t="s">
        <v>7406</v>
      </c>
      <c r="C246" s="2" t="s">
        <v>7404</v>
      </c>
    </row>
    <row r="247" customFormat="false" ht="15" hidden="false" customHeight="false" outlineLevel="0" collapsed="false">
      <c r="A247" s="2" t="s">
        <v>7407</v>
      </c>
      <c r="B247" s="3" t="s">
        <v>7408</v>
      </c>
      <c r="C247" s="2" t="s">
        <v>7404</v>
      </c>
    </row>
    <row r="248" customFormat="false" ht="15" hidden="false" customHeight="false" outlineLevel="0" collapsed="false">
      <c r="A248" s="2" t="s">
        <v>7409</v>
      </c>
      <c r="B248" s="3" t="s">
        <v>7410</v>
      </c>
      <c r="C248" s="2" t="s">
        <v>7404</v>
      </c>
    </row>
    <row r="249" customFormat="false" ht="15" hidden="false" customHeight="false" outlineLevel="0" collapsed="false">
      <c r="A249" s="2" t="s">
        <v>7411</v>
      </c>
      <c r="B249" s="3" t="s">
        <v>7412</v>
      </c>
      <c r="C249" s="2" t="s">
        <v>7404</v>
      </c>
    </row>
    <row r="250" customFormat="false" ht="15" hidden="false" customHeight="false" outlineLevel="0" collapsed="false">
      <c r="A250" s="2" t="s">
        <v>7413</v>
      </c>
      <c r="B250" s="3" t="s">
        <v>7414</v>
      </c>
      <c r="C250" s="2" t="s">
        <v>7404</v>
      </c>
    </row>
    <row r="251" customFormat="false" ht="15" hidden="false" customHeight="false" outlineLevel="0" collapsed="false">
      <c r="A251" s="2" t="s">
        <v>7415</v>
      </c>
      <c r="B251" s="3" t="s">
        <v>7416</v>
      </c>
      <c r="C251" s="2" t="s">
        <v>7404</v>
      </c>
    </row>
    <row r="252" customFormat="false" ht="15" hidden="false" customHeight="false" outlineLevel="0" collapsed="false">
      <c r="A252" s="2" t="s">
        <v>7417</v>
      </c>
      <c r="B252" s="3" t="s">
        <v>7418</v>
      </c>
      <c r="C252" s="2" t="s">
        <v>7404</v>
      </c>
    </row>
    <row r="253" customFormat="false" ht="15" hidden="false" customHeight="false" outlineLevel="0" collapsed="false">
      <c r="A253" s="2" t="s">
        <v>7419</v>
      </c>
      <c r="B253" s="3" t="s">
        <v>7420</v>
      </c>
      <c r="C253" s="2" t="s">
        <v>7404</v>
      </c>
    </row>
    <row r="254" customFormat="false" ht="15" hidden="false" customHeight="false" outlineLevel="0" collapsed="false">
      <c r="A254" s="2" t="s">
        <v>7421</v>
      </c>
      <c r="B254" s="3" t="s">
        <v>7422</v>
      </c>
      <c r="C254" s="2" t="s">
        <v>7404</v>
      </c>
    </row>
    <row r="255" customFormat="false" ht="15" hidden="false" customHeight="false" outlineLevel="0" collapsed="false">
      <c r="A255" s="2" t="s">
        <v>7423</v>
      </c>
      <c r="B255" s="3" t="s">
        <v>7424</v>
      </c>
      <c r="C255" s="2" t="s">
        <v>7404</v>
      </c>
    </row>
    <row r="256" customFormat="false" ht="15" hidden="false" customHeight="false" outlineLevel="0" collapsed="false">
      <c r="A256" s="2" t="s">
        <v>7425</v>
      </c>
      <c r="B256" s="3" t="s">
        <v>7426</v>
      </c>
      <c r="C256" s="2" t="s">
        <v>7404</v>
      </c>
    </row>
    <row r="257" customFormat="false" ht="23.85" hidden="false" customHeight="false" outlineLevel="0" collapsed="false">
      <c r="A257" s="2" t="s">
        <v>7427</v>
      </c>
      <c r="B257" s="3" t="s">
        <v>7428</v>
      </c>
      <c r="C257" s="2" t="s">
        <v>7404</v>
      </c>
    </row>
    <row r="258" customFormat="false" ht="15" hidden="false" customHeight="false" outlineLevel="0" collapsed="false">
      <c r="A258" s="2" t="s">
        <v>7429</v>
      </c>
      <c r="B258" s="3" t="s">
        <v>7430</v>
      </c>
      <c r="C258" s="2" t="s">
        <v>7404</v>
      </c>
    </row>
    <row r="259" customFormat="false" ht="15" hidden="false" customHeight="false" outlineLevel="0" collapsed="false">
      <c r="A259" s="2" t="s">
        <v>7431</v>
      </c>
      <c r="B259" s="3" t="s">
        <v>7432</v>
      </c>
      <c r="C259" s="2" t="s">
        <v>7404</v>
      </c>
    </row>
    <row r="260" customFormat="false" ht="15" hidden="false" customHeight="false" outlineLevel="0" collapsed="false">
      <c r="A260" s="2" t="s">
        <v>7433</v>
      </c>
      <c r="B260" s="3" t="s">
        <v>7434</v>
      </c>
      <c r="C260" s="2" t="s">
        <v>7404</v>
      </c>
    </row>
    <row r="261" customFormat="false" ht="15" hidden="false" customHeight="false" outlineLevel="0" collapsed="false">
      <c r="A261" s="2" t="s">
        <v>7435</v>
      </c>
      <c r="B261" s="3" t="s">
        <v>7436</v>
      </c>
      <c r="C261" s="2" t="s">
        <v>7404</v>
      </c>
    </row>
    <row r="262" customFormat="false" ht="15" hidden="false" customHeight="false" outlineLevel="0" collapsed="false">
      <c r="A262" s="2" t="s">
        <v>7437</v>
      </c>
      <c r="B262" s="3" t="s">
        <v>7438</v>
      </c>
      <c r="C262" s="2" t="s">
        <v>7404</v>
      </c>
    </row>
    <row r="263" customFormat="false" ht="15" hidden="false" customHeight="false" outlineLevel="0" collapsed="false">
      <c r="A263" s="2" t="s">
        <v>7439</v>
      </c>
      <c r="B263" s="3" t="s">
        <v>7440</v>
      </c>
      <c r="C263" s="2" t="s">
        <v>7404</v>
      </c>
    </row>
    <row r="264" customFormat="false" ht="15" hidden="false" customHeight="false" outlineLevel="0" collapsed="false">
      <c r="A264" s="2" t="s">
        <v>7441</v>
      </c>
      <c r="B264" s="3" t="s">
        <v>7442</v>
      </c>
      <c r="C264" s="2" t="s">
        <v>7404</v>
      </c>
    </row>
    <row r="265" customFormat="false" ht="15" hidden="false" customHeight="false" outlineLevel="0" collapsed="false">
      <c r="A265" s="2" t="s">
        <v>7443</v>
      </c>
      <c r="B265" s="3" t="s">
        <v>7015</v>
      </c>
      <c r="C265" s="2" t="s">
        <v>7404</v>
      </c>
    </row>
    <row r="266" customFormat="false" ht="15" hidden="false" customHeight="false" outlineLevel="0" collapsed="false">
      <c r="A266" s="2" t="s">
        <v>7444</v>
      </c>
      <c r="B266" s="3" t="s">
        <v>7015</v>
      </c>
      <c r="C266" s="2" t="s">
        <v>7404</v>
      </c>
    </row>
    <row r="267" customFormat="false" ht="15" hidden="false" customHeight="false" outlineLevel="0" collapsed="false">
      <c r="A267" s="2" t="s">
        <v>7445</v>
      </c>
      <c r="B267" s="3" t="s">
        <v>7446</v>
      </c>
      <c r="C267" s="2" t="s">
        <v>7404</v>
      </c>
    </row>
    <row r="268" customFormat="false" ht="15" hidden="false" customHeight="false" outlineLevel="0" collapsed="false">
      <c r="A268" s="2" t="s">
        <v>7447</v>
      </c>
      <c r="B268" s="3" t="s">
        <v>7448</v>
      </c>
      <c r="C268" s="2" t="s">
        <v>7404</v>
      </c>
    </row>
    <row r="269" customFormat="false" ht="15" hidden="false" customHeight="false" outlineLevel="0" collapsed="false">
      <c r="A269" s="2" t="s">
        <v>7449</v>
      </c>
      <c r="B269" s="3" t="s">
        <v>7450</v>
      </c>
      <c r="C269" s="2" t="s">
        <v>7451</v>
      </c>
    </row>
    <row r="270" customFormat="false" ht="15" hidden="false" customHeight="false" outlineLevel="0" collapsed="false">
      <c r="A270" s="2" t="s">
        <v>7452</v>
      </c>
      <c r="B270" s="3" t="s">
        <v>7453</v>
      </c>
      <c r="C270" s="2" t="s">
        <v>7451</v>
      </c>
    </row>
    <row r="271" customFormat="false" ht="15" hidden="false" customHeight="false" outlineLevel="0" collapsed="false">
      <c r="A271" s="2" t="s">
        <v>7454</v>
      </c>
      <c r="B271" s="3" t="s">
        <v>7455</v>
      </c>
      <c r="C271" s="2" t="s">
        <v>7451</v>
      </c>
    </row>
    <row r="272" customFormat="false" ht="15" hidden="false" customHeight="false" outlineLevel="0" collapsed="false">
      <c r="A272" s="2" t="s">
        <v>7456</v>
      </c>
      <c r="B272" s="3" t="s">
        <v>7457</v>
      </c>
      <c r="C272" s="2" t="s">
        <v>7451</v>
      </c>
    </row>
    <row r="273" customFormat="false" ht="15" hidden="false" customHeight="false" outlineLevel="0" collapsed="false">
      <c r="A273" s="2" t="s">
        <v>7458</v>
      </c>
      <c r="B273" s="3" t="s">
        <v>7459</v>
      </c>
      <c r="C273" s="2" t="s">
        <v>7451</v>
      </c>
    </row>
    <row r="274" customFormat="false" ht="15" hidden="false" customHeight="false" outlineLevel="0" collapsed="false">
      <c r="A274" s="2" t="s">
        <v>7460</v>
      </c>
      <c r="B274" s="3" t="s">
        <v>7461</v>
      </c>
      <c r="C274" s="2" t="s">
        <v>7451</v>
      </c>
    </row>
    <row r="275" customFormat="false" ht="15" hidden="false" customHeight="false" outlineLevel="0" collapsed="false">
      <c r="A275" s="2" t="s">
        <v>7462</v>
      </c>
      <c r="B275" s="3" t="s">
        <v>6942</v>
      </c>
      <c r="C275" s="2" t="s">
        <v>7451</v>
      </c>
    </row>
    <row r="276" customFormat="false" ht="15" hidden="false" customHeight="false" outlineLevel="0" collapsed="false">
      <c r="A276" s="2" t="s">
        <v>7463</v>
      </c>
      <c r="B276" s="3" t="s">
        <v>6942</v>
      </c>
      <c r="C276" s="2" t="s">
        <v>7451</v>
      </c>
    </row>
    <row r="277" customFormat="false" ht="15" hidden="false" customHeight="false" outlineLevel="0" collapsed="false">
      <c r="A277" s="2" t="s">
        <v>7464</v>
      </c>
      <c r="B277" s="3" t="s">
        <v>6942</v>
      </c>
      <c r="C277" s="2" t="s">
        <v>7451</v>
      </c>
    </row>
    <row r="278" customFormat="false" ht="15" hidden="false" customHeight="false" outlineLevel="0" collapsed="false">
      <c r="A278" s="2" t="s">
        <v>7465</v>
      </c>
      <c r="B278" s="3" t="s">
        <v>6942</v>
      </c>
      <c r="C278" s="2" t="s">
        <v>7451</v>
      </c>
    </row>
    <row r="279" customFormat="false" ht="15" hidden="false" customHeight="false" outlineLevel="0" collapsed="false">
      <c r="A279" s="2" t="s">
        <v>7466</v>
      </c>
      <c r="B279" s="3" t="s">
        <v>6942</v>
      </c>
      <c r="C279" s="2" t="s">
        <v>7451</v>
      </c>
    </row>
    <row r="280" customFormat="false" ht="15" hidden="false" customHeight="false" outlineLevel="0" collapsed="false">
      <c r="A280" s="2" t="s">
        <v>7467</v>
      </c>
      <c r="B280" s="3" t="s">
        <v>7468</v>
      </c>
      <c r="C280" s="2" t="s">
        <v>7451</v>
      </c>
    </row>
    <row r="281" customFormat="false" ht="15" hidden="false" customHeight="false" outlineLevel="0" collapsed="false">
      <c r="A281" s="2" t="s">
        <v>7469</v>
      </c>
      <c r="B281" s="3" t="s">
        <v>7455</v>
      </c>
      <c r="C281" s="2" t="s">
        <v>7451</v>
      </c>
    </row>
    <row r="282" customFormat="false" ht="15" hidden="false" customHeight="false" outlineLevel="0" collapsed="false">
      <c r="A282" s="2" t="s">
        <v>7470</v>
      </c>
      <c r="B282" s="3" t="s">
        <v>7471</v>
      </c>
      <c r="C282" s="2" t="s">
        <v>7451</v>
      </c>
    </row>
    <row r="283" customFormat="false" ht="15" hidden="false" customHeight="false" outlineLevel="0" collapsed="false">
      <c r="A283" s="2" t="s">
        <v>7472</v>
      </c>
      <c r="B283" s="3" t="s">
        <v>7473</v>
      </c>
      <c r="C283" s="2" t="s">
        <v>7451</v>
      </c>
    </row>
    <row r="284" customFormat="false" ht="15" hidden="false" customHeight="false" outlineLevel="0" collapsed="false">
      <c r="A284" s="2" t="s">
        <v>7474</v>
      </c>
      <c r="B284" s="3" t="s">
        <v>7475</v>
      </c>
      <c r="C284" s="2" t="s">
        <v>7451</v>
      </c>
    </row>
    <row r="285" customFormat="false" ht="23.85" hidden="false" customHeight="false" outlineLevel="0" collapsed="false">
      <c r="A285" s="2" t="s">
        <v>7476</v>
      </c>
      <c r="B285" s="3" t="s">
        <v>7477</v>
      </c>
      <c r="C285" s="2" t="s">
        <v>7451</v>
      </c>
    </row>
    <row r="286" customFormat="false" ht="23.85" hidden="false" customHeight="false" outlineLevel="0" collapsed="false">
      <c r="A286" s="2" t="s">
        <v>7478</v>
      </c>
      <c r="B286" s="3" t="s">
        <v>7479</v>
      </c>
      <c r="C286" s="2" t="s">
        <v>7480</v>
      </c>
    </row>
    <row r="287" customFormat="false" ht="15" hidden="false" customHeight="false" outlineLevel="0" collapsed="false">
      <c r="A287" s="2" t="s">
        <v>7481</v>
      </c>
      <c r="B287" s="3" t="s">
        <v>7482</v>
      </c>
      <c r="C287" s="2" t="s">
        <v>7480</v>
      </c>
    </row>
    <row r="288" customFormat="false" ht="15" hidden="false" customHeight="false" outlineLevel="0" collapsed="false">
      <c r="A288" s="2" t="s">
        <v>7483</v>
      </c>
      <c r="B288" s="3" t="s">
        <v>7484</v>
      </c>
      <c r="C288" s="2" t="s">
        <v>7480</v>
      </c>
    </row>
    <row r="289" customFormat="false" ht="15" hidden="false" customHeight="false" outlineLevel="0" collapsed="false">
      <c r="A289" s="2" t="s">
        <v>7485</v>
      </c>
      <c r="B289" s="3" t="s">
        <v>6942</v>
      </c>
      <c r="C289" s="2" t="s">
        <v>7480</v>
      </c>
    </row>
    <row r="290" customFormat="false" ht="15" hidden="false" customHeight="false" outlineLevel="0" collapsed="false">
      <c r="A290" s="2" t="s">
        <v>7486</v>
      </c>
      <c r="B290" s="3" t="s">
        <v>7487</v>
      </c>
      <c r="C290" s="2" t="s">
        <v>7480</v>
      </c>
    </row>
    <row r="291" customFormat="false" ht="23.85" hidden="false" customHeight="false" outlineLevel="0" collapsed="false">
      <c r="A291" s="2" t="s">
        <v>7488</v>
      </c>
      <c r="B291" s="3" t="s">
        <v>7489</v>
      </c>
      <c r="C291" s="2" t="s">
        <v>7480</v>
      </c>
    </row>
    <row r="292" customFormat="false" ht="15" hidden="false" customHeight="false" outlineLevel="0" collapsed="false">
      <c r="A292" s="2" t="s">
        <v>7490</v>
      </c>
      <c r="B292" s="3" t="s">
        <v>7491</v>
      </c>
      <c r="C292" s="2" t="s">
        <v>7480</v>
      </c>
    </row>
    <row r="293" customFormat="false" ht="15" hidden="false" customHeight="false" outlineLevel="0" collapsed="false">
      <c r="A293" s="2" t="s">
        <v>7492</v>
      </c>
      <c r="B293" s="3" t="s">
        <v>7493</v>
      </c>
      <c r="C293" s="2" t="s">
        <v>7480</v>
      </c>
    </row>
    <row r="294" customFormat="false" ht="15" hidden="false" customHeight="false" outlineLevel="0" collapsed="false">
      <c r="A294" s="2" t="s">
        <v>7494</v>
      </c>
      <c r="B294" s="3" t="s">
        <v>7495</v>
      </c>
      <c r="C294" s="2" t="s">
        <v>7496</v>
      </c>
    </row>
    <row r="295" customFormat="false" ht="15" hidden="false" customHeight="false" outlineLevel="0" collapsed="false">
      <c r="A295" s="2" t="s">
        <v>7497</v>
      </c>
      <c r="B295" s="3" t="s">
        <v>7498</v>
      </c>
      <c r="C295" s="2" t="s">
        <v>7496</v>
      </c>
    </row>
    <row r="296" customFormat="false" ht="23.85" hidden="false" customHeight="false" outlineLevel="0" collapsed="false">
      <c r="A296" s="2" t="s">
        <v>7499</v>
      </c>
      <c r="B296" s="3" t="s">
        <v>7500</v>
      </c>
      <c r="C296" s="2" t="s">
        <v>7496</v>
      </c>
    </row>
    <row r="297" customFormat="false" ht="15" hidden="false" customHeight="false" outlineLevel="0" collapsed="false">
      <c r="A297" s="2" t="s">
        <v>7501</v>
      </c>
      <c r="B297" s="3" t="s">
        <v>7502</v>
      </c>
      <c r="C297" s="2" t="s">
        <v>7496</v>
      </c>
    </row>
    <row r="298" customFormat="false" ht="15" hidden="false" customHeight="false" outlineLevel="0" collapsed="false">
      <c r="A298" s="2" t="s">
        <v>7503</v>
      </c>
      <c r="B298" s="3" t="s">
        <v>6942</v>
      </c>
      <c r="C298" s="2" t="s">
        <v>7496</v>
      </c>
    </row>
    <row r="299" customFormat="false" ht="15" hidden="false" customHeight="false" outlineLevel="0" collapsed="false">
      <c r="A299" s="2" t="s">
        <v>7504</v>
      </c>
      <c r="B299" s="3" t="s">
        <v>6942</v>
      </c>
      <c r="C299" s="2" t="s">
        <v>7496</v>
      </c>
    </row>
    <row r="300" customFormat="false" ht="15" hidden="false" customHeight="false" outlineLevel="0" collapsed="false">
      <c r="A300" s="2" t="s">
        <v>7505</v>
      </c>
      <c r="B300" s="3" t="s">
        <v>6942</v>
      </c>
      <c r="C300" s="2" t="s">
        <v>7496</v>
      </c>
    </row>
    <row r="301" customFormat="false" ht="15" hidden="false" customHeight="false" outlineLevel="0" collapsed="false">
      <c r="A301" s="2" t="s">
        <v>7506</v>
      </c>
      <c r="B301" s="3" t="s">
        <v>7507</v>
      </c>
      <c r="C301" s="2" t="s">
        <v>7496</v>
      </c>
    </row>
    <row r="302" customFormat="false" ht="15" hidden="false" customHeight="false" outlineLevel="0" collapsed="false">
      <c r="A302" s="2" t="s">
        <v>7508</v>
      </c>
      <c r="B302" s="3" t="s">
        <v>7509</v>
      </c>
      <c r="C302" s="2" t="s">
        <v>7496</v>
      </c>
    </row>
    <row r="303" customFormat="false" ht="15" hidden="false" customHeight="false" outlineLevel="0" collapsed="false">
      <c r="A303" s="2" t="s">
        <v>7510</v>
      </c>
      <c r="B303" s="3" t="s">
        <v>7511</v>
      </c>
      <c r="C303" s="2" t="s">
        <v>7496</v>
      </c>
    </row>
    <row r="304" customFormat="false" ht="15" hidden="false" customHeight="false" outlineLevel="0" collapsed="false">
      <c r="A304" s="2" t="s">
        <v>7512</v>
      </c>
      <c r="B304" s="3" t="s">
        <v>7513</v>
      </c>
      <c r="C304" s="2" t="s">
        <v>7496</v>
      </c>
    </row>
    <row r="305" customFormat="false" ht="15" hidden="false" customHeight="false" outlineLevel="0" collapsed="false">
      <c r="A305" s="2" t="s">
        <v>7514</v>
      </c>
      <c r="B305" s="3" t="s">
        <v>7515</v>
      </c>
      <c r="C305" s="2" t="s">
        <v>7496</v>
      </c>
    </row>
    <row r="306" customFormat="false" ht="15" hidden="false" customHeight="false" outlineLevel="0" collapsed="false">
      <c r="A306" s="2" t="s">
        <v>7139</v>
      </c>
      <c r="B306" s="3" t="s">
        <v>7516</v>
      </c>
      <c r="C306" s="2" t="s">
        <v>7496</v>
      </c>
    </row>
    <row r="307" customFormat="false" ht="15" hidden="false" customHeight="false" outlineLevel="0" collapsed="false">
      <c r="A307" s="2" t="s">
        <v>7517</v>
      </c>
      <c r="B307" s="3" t="s">
        <v>7518</v>
      </c>
      <c r="C307" s="2" t="s">
        <v>7496</v>
      </c>
    </row>
    <row r="308" customFormat="false" ht="15" hidden="false" customHeight="false" outlineLevel="0" collapsed="false">
      <c r="A308" s="2" t="s">
        <v>7519</v>
      </c>
      <c r="B308" s="3" t="s">
        <v>7520</v>
      </c>
      <c r="C308" s="2" t="s">
        <v>7496</v>
      </c>
    </row>
    <row r="309" customFormat="false" ht="15" hidden="false" customHeight="false" outlineLevel="0" collapsed="false">
      <c r="A309" s="2" t="s">
        <v>7521</v>
      </c>
      <c r="B309" s="3" t="s">
        <v>7522</v>
      </c>
      <c r="C309" s="2" t="s">
        <v>7496</v>
      </c>
    </row>
    <row r="310" customFormat="false" ht="15" hidden="false" customHeight="false" outlineLevel="0" collapsed="false">
      <c r="A310" s="2" t="s">
        <v>7523</v>
      </c>
      <c r="B310" s="3" t="s">
        <v>7524</v>
      </c>
      <c r="C310" s="2" t="s">
        <v>7496</v>
      </c>
    </row>
    <row r="311" customFormat="false" ht="15" hidden="false" customHeight="false" outlineLevel="0" collapsed="false">
      <c r="A311" s="2" t="s">
        <v>7525</v>
      </c>
      <c r="B311" s="3" t="s">
        <v>7526</v>
      </c>
      <c r="C311" s="2" t="s">
        <v>7496</v>
      </c>
    </row>
    <row r="312" customFormat="false" ht="15" hidden="false" customHeight="false" outlineLevel="0" collapsed="false">
      <c r="A312" s="2" t="s">
        <v>7527</v>
      </c>
      <c r="B312" s="3" t="s">
        <v>7528</v>
      </c>
      <c r="C312" s="2" t="s">
        <v>7496</v>
      </c>
    </row>
    <row r="313" customFormat="false" ht="15" hidden="false" customHeight="false" outlineLevel="0" collapsed="false">
      <c r="A313" s="2" t="s">
        <v>7529</v>
      </c>
      <c r="B313" s="3" t="s">
        <v>7530</v>
      </c>
      <c r="C313" s="2" t="s">
        <v>7496</v>
      </c>
    </row>
    <row r="314" customFormat="false" ht="15" hidden="false" customHeight="false" outlineLevel="0" collapsed="false">
      <c r="A314" s="2" t="s">
        <v>7531</v>
      </c>
      <c r="B314" s="3" t="s">
        <v>7532</v>
      </c>
      <c r="C314" s="2" t="s">
        <v>7496</v>
      </c>
    </row>
    <row r="315" customFormat="false" ht="15" hidden="false" customHeight="false" outlineLevel="0" collapsed="false">
      <c r="A315" s="2" t="s">
        <v>7533</v>
      </c>
      <c r="B315" s="3" t="s">
        <v>7534</v>
      </c>
      <c r="C315" s="2" t="s">
        <v>7496</v>
      </c>
    </row>
    <row r="316" customFormat="false" ht="15" hidden="false" customHeight="false" outlineLevel="0" collapsed="false">
      <c r="A316" s="2" t="s">
        <v>7535</v>
      </c>
      <c r="B316" s="3" t="s">
        <v>7536</v>
      </c>
      <c r="C316" s="2" t="s">
        <v>7537</v>
      </c>
    </row>
    <row r="317" customFormat="false" ht="15" hidden="false" customHeight="false" outlineLevel="0" collapsed="false">
      <c r="A317" s="2" t="s">
        <v>7538</v>
      </c>
      <c r="B317" s="3" t="s">
        <v>7539</v>
      </c>
      <c r="C317" s="2" t="s">
        <v>7537</v>
      </c>
    </row>
    <row r="318" customFormat="false" ht="15" hidden="false" customHeight="false" outlineLevel="0" collapsed="false">
      <c r="A318" s="2" t="s">
        <v>7540</v>
      </c>
      <c r="B318" s="3" t="s">
        <v>7541</v>
      </c>
      <c r="C318" s="2" t="s">
        <v>7537</v>
      </c>
    </row>
    <row r="319" customFormat="false" ht="15" hidden="false" customHeight="false" outlineLevel="0" collapsed="false">
      <c r="A319" s="2" t="s">
        <v>7542</v>
      </c>
      <c r="B319" s="3" t="s">
        <v>7543</v>
      </c>
      <c r="C319" s="2" t="s">
        <v>7537</v>
      </c>
    </row>
    <row r="320" customFormat="false" ht="15" hidden="false" customHeight="false" outlineLevel="0" collapsed="false">
      <c r="A320" s="2" t="s">
        <v>7544</v>
      </c>
      <c r="B320" s="3" t="s">
        <v>7545</v>
      </c>
      <c r="C320" s="2" t="s">
        <v>7537</v>
      </c>
    </row>
    <row r="321" customFormat="false" ht="15" hidden="false" customHeight="false" outlineLevel="0" collapsed="false">
      <c r="A321" s="2" t="s">
        <v>7546</v>
      </c>
      <c r="B321" s="3" t="s">
        <v>7547</v>
      </c>
      <c r="C321" s="2" t="s">
        <v>7537</v>
      </c>
    </row>
    <row r="322" customFormat="false" ht="15" hidden="false" customHeight="false" outlineLevel="0" collapsed="false">
      <c r="A322" s="2" t="s">
        <v>7548</v>
      </c>
      <c r="B322" s="3" t="s">
        <v>7549</v>
      </c>
      <c r="C322" s="2" t="s">
        <v>7537</v>
      </c>
    </row>
    <row r="323" customFormat="false" ht="15" hidden="false" customHeight="false" outlineLevel="0" collapsed="false">
      <c r="A323" s="2" t="s">
        <v>7550</v>
      </c>
      <c r="B323" s="3" t="s">
        <v>7551</v>
      </c>
      <c r="C323" s="2" t="s">
        <v>7537</v>
      </c>
    </row>
    <row r="324" customFormat="false" ht="15" hidden="false" customHeight="false" outlineLevel="0" collapsed="false">
      <c r="A324" s="2" t="s">
        <v>7552</v>
      </c>
      <c r="B324" s="3" t="s">
        <v>7553</v>
      </c>
      <c r="C324" s="2" t="s">
        <v>7537</v>
      </c>
    </row>
    <row r="325" customFormat="false" ht="23.85" hidden="false" customHeight="false" outlineLevel="0" collapsed="false">
      <c r="A325" s="2" t="s">
        <v>7554</v>
      </c>
      <c r="B325" s="3" t="s">
        <v>7555</v>
      </c>
      <c r="C325" s="2" t="s">
        <v>7537</v>
      </c>
    </row>
    <row r="326" customFormat="false" ht="15" hidden="false" customHeight="false" outlineLevel="0" collapsed="false">
      <c r="A326" s="2" t="s">
        <v>7556</v>
      </c>
      <c r="B326" s="3" t="s">
        <v>7557</v>
      </c>
      <c r="C326" s="2" t="s">
        <v>7537</v>
      </c>
    </row>
    <row r="327" customFormat="false" ht="15" hidden="false" customHeight="false" outlineLevel="0" collapsed="false">
      <c r="A327" s="2" t="s">
        <v>7558</v>
      </c>
      <c r="B327" s="3" t="s">
        <v>7559</v>
      </c>
      <c r="C327" s="2" t="s">
        <v>7537</v>
      </c>
    </row>
    <row r="328" customFormat="false" ht="15" hidden="false" customHeight="false" outlineLevel="0" collapsed="false">
      <c r="A328" s="2" t="s">
        <v>7560</v>
      </c>
      <c r="B328" s="3" t="s">
        <v>7561</v>
      </c>
      <c r="C328" s="2" t="s">
        <v>7537</v>
      </c>
    </row>
    <row r="329" customFormat="false" ht="15" hidden="false" customHeight="false" outlineLevel="0" collapsed="false">
      <c r="A329" s="2" t="s">
        <v>7562</v>
      </c>
      <c r="B329" s="3" t="s">
        <v>7563</v>
      </c>
      <c r="C329" s="2" t="s">
        <v>7537</v>
      </c>
    </row>
    <row r="330" customFormat="false" ht="15" hidden="false" customHeight="false" outlineLevel="0" collapsed="false">
      <c r="A330" s="2" t="s">
        <v>7564</v>
      </c>
      <c r="B330" s="3" t="s">
        <v>7565</v>
      </c>
      <c r="C330" s="2" t="s">
        <v>7537</v>
      </c>
    </row>
    <row r="331" customFormat="false" ht="15" hidden="false" customHeight="false" outlineLevel="0" collapsed="false">
      <c r="A331" s="2" t="s">
        <v>7566</v>
      </c>
      <c r="B331" s="3" t="s">
        <v>7567</v>
      </c>
      <c r="C331" s="2" t="s">
        <v>7537</v>
      </c>
    </row>
    <row r="332" customFormat="false" ht="15" hidden="false" customHeight="false" outlineLevel="0" collapsed="false">
      <c r="A332" s="2" t="s">
        <v>7568</v>
      </c>
      <c r="B332" s="3" t="s">
        <v>7569</v>
      </c>
      <c r="C332" s="2" t="s">
        <v>7537</v>
      </c>
    </row>
    <row r="333" customFormat="false" ht="15" hidden="false" customHeight="false" outlineLevel="0" collapsed="false">
      <c r="A333" s="2" t="s">
        <v>7570</v>
      </c>
      <c r="B333" s="3" t="s">
        <v>7571</v>
      </c>
      <c r="C333" s="2" t="s">
        <v>7537</v>
      </c>
    </row>
    <row r="334" customFormat="false" ht="15" hidden="false" customHeight="false" outlineLevel="0" collapsed="false">
      <c r="A334" s="2" t="s">
        <v>7572</v>
      </c>
      <c r="B334" s="3" t="s">
        <v>7573</v>
      </c>
      <c r="C334" s="2" t="s">
        <v>7537</v>
      </c>
    </row>
    <row r="335" customFormat="false" ht="15" hidden="false" customHeight="false" outlineLevel="0" collapsed="false">
      <c r="A335" s="2" t="s">
        <v>7574</v>
      </c>
      <c r="B335" s="3" t="s">
        <v>7575</v>
      </c>
      <c r="C335" s="2" t="s">
        <v>7537</v>
      </c>
    </row>
    <row r="336" customFormat="false" ht="23.85" hidden="false" customHeight="false" outlineLevel="0" collapsed="false">
      <c r="A336" s="2" t="s">
        <v>7576</v>
      </c>
      <c r="B336" s="3" t="s">
        <v>7577</v>
      </c>
      <c r="C336" s="2" t="s">
        <v>7537</v>
      </c>
    </row>
    <row r="337" customFormat="false" ht="15" hidden="false" customHeight="false" outlineLevel="0" collapsed="false">
      <c r="A337" s="2" t="s">
        <v>7578</v>
      </c>
      <c r="B337" s="3" t="s">
        <v>7547</v>
      </c>
      <c r="C337" s="2" t="s">
        <v>7537</v>
      </c>
    </row>
    <row r="338" customFormat="false" ht="15" hidden="false" customHeight="false" outlineLevel="0" collapsed="false">
      <c r="A338" s="2" t="s">
        <v>7579</v>
      </c>
      <c r="B338" s="3" t="s">
        <v>7580</v>
      </c>
      <c r="C338" s="2" t="s">
        <v>7537</v>
      </c>
    </row>
    <row r="339" customFormat="false" ht="23.85" hidden="false" customHeight="false" outlineLevel="0" collapsed="false">
      <c r="A339" s="2" t="s">
        <v>7581</v>
      </c>
      <c r="B339" s="3" t="s">
        <v>7582</v>
      </c>
      <c r="C339" s="2" t="s">
        <v>7537</v>
      </c>
    </row>
    <row r="340" customFormat="false" ht="15" hidden="false" customHeight="false" outlineLevel="0" collapsed="false">
      <c r="A340" s="2" t="s">
        <v>7583</v>
      </c>
      <c r="B340" s="3" t="s">
        <v>7584</v>
      </c>
      <c r="C340" s="2" t="s">
        <v>7537</v>
      </c>
    </row>
    <row r="341" customFormat="false" ht="15" hidden="false" customHeight="false" outlineLevel="0" collapsed="false">
      <c r="A341" s="2" t="s">
        <v>7585</v>
      </c>
      <c r="B341" s="3" t="s">
        <v>7586</v>
      </c>
      <c r="C341" s="2" t="s">
        <v>7537</v>
      </c>
    </row>
    <row r="342" customFormat="false" ht="15" hidden="false" customHeight="false" outlineLevel="0" collapsed="false">
      <c r="A342" s="2" t="s">
        <v>7587</v>
      </c>
      <c r="B342" s="3" t="s">
        <v>7588</v>
      </c>
      <c r="C342" s="2" t="s">
        <v>7537</v>
      </c>
    </row>
    <row r="343" customFormat="false" ht="15" hidden="false" customHeight="false" outlineLevel="0" collapsed="false">
      <c r="A343" s="2" t="s">
        <v>7589</v>
      </c>
      <c r="B343" s="3" t="s">
        <v>7590</v>
      </c>
      <c r="C343" s="2" t="s">
        <v>7537</v>
      </c>
    </row>
    <row r="344" customFormat="false" ht="15" hidden="false" customHeight="false" outlineLevel="0" collapsed="false">
      <c r="A344" s="2" t="s">
        <v>7591</v>
      </c>
      <c r="B344" s="3" t="s">
        <v>7227</v>
      </c>
      <c r="C344" s="2" t="s">
        <v>7537</v>
      </c>
    </row>
    <row r="345" customFormat="false" ht="15" hidden="false" customHeight="false" outlineLevel="0" collapsed="false">
      <c r="A345" s="2" t="s">
        <v>7592</v>
      </c>
      <c r="B345" s="3" t="s">
        <v>7285</v>
      </c>
      <c r="C345" s="2" t="s">
        <v>7537</v>
      </c>
    </row>
    <row r="346" customFormat="false" ht="23.85" hidden="false" customHeight="false" outlineLevel="0" collapsed="false">
      <c r="A346" s="2" t="s">
        <v>7593</v>
      </c>
      <c r="B346" s="3" t="s">
        <v>7594</v>
      </c>
      <c r="C346" s="2" t="s">
        <v>7595</v>
      </c>
    </row>
    <row r="347" customFormat="false" ht="15" hidden="false" customHeight="false" outlineLevel="0" collapsed="false">
      <c r="A347" s="2" t="s">
        <v>7596</v>
      </c>
      <c r="B347" s="3" t="s">
        <v>7597</v>
      </c>
      <c r="C347" s="2" t="s">
        <v>7595</v>
      </c>
    </row>
    <row r="348" customFormat="false" ht="15" hidden="false" customHeight="false" outlineLevel="0" collapsed="false">
      <c r="A348" s="2" t="s">
        <v>7598</v>
      </c>
      <c r="B348" s="3" t="s">
        <v>7599</v>
      </c>
      <c r="C348" s="2" t="s">
        <v>7595</v>
      </c>
    </row>
    <row r="349" customFormat="false" ht="15" hidden="false" customHeight="false" outlineLevel="0" collapsed="false">
      <c r="A349" s="2" t="s">
        <v>7600</v>
      </c>
      <c r="B349" s="3" t="s">
        <v>7601</v>
      </c>
      <c r="C349" s="2" t="s">
        <v>7595</v>
      </c>
    </row>
    <row r="350" customFormat="false" ht="15" hidden="false" customHeight="false" outlineLevel="0" collapsed="false">
      <c r="A350" s="2" t="s">
        <v>7602</v>
      </c>
      <c r="B350" s="3" t="s">
        <v>7603</v>
      </c>
      <c r="C350" s="2" t="s">
        <v>7595</v>
      </c>
    </row>
    <row r="351" customFormat="false" ht="15" hidden="false" customHeight="false" outlineLevel="0" collapsed="false">
      <c r="A351" s="2" t="s">
        <v>7604</v>
      </c>
      <c r="B351" s="3" t="s">
        <v>7605</v>
      </c>
      <c r="C351" s="2" t="s">
        <v>7595</v>
      </c>
    </row>
    <row r="352" customFormat="false" ht="15" hidden="false" customHeight="false" outlineLevel="0" collapsed="false">
      <c r="A352" s="2" t="s">
        <v>7606</v>
      </c>
      <c r="B352" s="3" t="s">
        <v>6942</v>
      </c>
      <c r="C352" s="2" t="s">
        <v>7595</v>
      </c>
    </row>
    <row r="353" customFormat="false" ht="15" hidden="false" customHeight="false" outlineLevel="0" collapsed="false">
      <c r="A353" s="2" t="s">
        <v>7607</v>
      </c>
      <c r="B353" s="3" t="s">
        <v>6942</v>
      </c>
      <c r="C353" s="2" t="s">
        <v>7595</v>
      </c>
    </row>
    <row r="354" customFormat="false" ht="15" hidden="false" customHeight="false" outlineLevel="0" collapsed="false">
      <c r="A354" s="2" t="s">
        <v>7608</v>
      </c>
      <c r="B354" s="3" t="s">
        <v>6942</v>
      </c>
      <c r="C354" s="2" t="s">
        <v>7595</v>
      </c>
    </row>
    <row r="355" customFormat="false" ht="15" hidden="false" customHeight="false" outlineLevel="0" collapsed="false">
      <c r="A355" s="2" t="s">
        <v>7609</v>
      </c>
      <c r="B355" s="3" t="s">
        <v>7610</v>
      </c>
      <c r="C355" s="2" t="s">
        <v>7595</v>
      </c>
    </row>
    <row r="356" customFormat="false" ht="15" hidden="false" customHeight="false" outlineLevel="0" collapsed="false">
      <c r="A356" s="2" t="s">
        <v>7611</v>
      </c>
      <c r="B356" s="3" t="s">
        <v>7612</v>
      </c>
      <c r="C356" s="2" t="s">
        <v>7595</v>
      </c>
    </row>
    <row r="357" customFormat="false" ht="15" hidden="false" customHeight="false" outlineLevel="0" collapsed="false">
      <c r="A357" s="2" t="s">
        <v>7613</v>
      </c>
      <c r="B357" s="3" t="s">
        <v>7614</v>
      </c>
      <c r="C357" s="2" t="s">
        <v>7595</v>
      </c>
    </row>
    <row r="358" customFormat="false" ht="15" hidden="false" customHeight="false" outlineLevel="0" collapsed="false">
      <c r="A358" s="2" t="s">
        <v>7615</v>
      </c>
      <c r="B358" s="3" t="s">
        <v>7616</v>
      </c>
      <c r="C358" s="2" t="s">
        <v>7595</v>
      </c>
    </row>
    <row r="359" customFormat="false" ht="15" hidden="false" customHeight="false" outlineLevel="0" collapsed="false">
      <c r="A359" s="2" t="s">
        <v>7617</v>
      </c>
      <c r="B359" s="3" t="s">
        <v>7618</v>
      </c>
      <c r="C359" s="2" t="s">
        <v>7595</v>
      </c>
    </row>
    <row r="360" customFormat="false" ht="35.05" hidden="false" customHeight="false" outlineLevel="0" collapsed="false">
      <c r="A360" s="2" t="s">
        <v>7619</v>
      </c>
      <c r="B360" s="3" t="s">
        <v>7620</v>
      </c>
      <c r="C360" s="2" t="s">
        <v>7621</v>
      </c>
    </row>
    <row r="361" customFormat="false" ht="23.85" hidden="false" customHeight="false" outlineLevel="0" collapsed="false">
      <c r="A361" s="2" t="s">
        <v>7622</v>
      </c>
      <c r="B361" s="3" t="s">
        <v>7623</v>
      </c>
      <c r="C361" s="2" t="s">
        <v>7621</v>
      </c>
    </row>
    <row r="362" customFormat="false" ht="23.85" hidden="false" customHeight="false" outlineLevel="0" collapsed="false">
      <c r="A362" s="2" t="s">
        <v>7624</v>
      </c>
      <c r="B362" s="3" t="s">
        <v>7625</v>
      </c>
      <c r="C362" s="2" t="s">
        <v>7621</v>
      </c>
    </row>
    <row r="363" customFormat="false" ht="15" hidden="false" customHeight="false" outlineLevel="0" collapsed="false">
      <c r="A363" s="2" t="s">
        <v>7626</v>
      </c>
      <c r="B363" s="3" t="s">
        <v>7627</v>
      </c>
      <c r="C363" s="2" t="s">
        <v>7621</v>
      </c>
    </row>
    <row r="364" customFormat="false" ht="23.85" hidden="false" customHeight="false" outlineLevel="0" collapsed="false">
      <c r="A364" s="2" t="s">
        <v>7628</v>
      </c>
      <c r="B364" s="3" t="s">
        <v>7629</v>
      </c>
      <c r="C364" s="2" t="s">
        <v>7621</v>
      </c>
    </row>
    <row r="365" customFormat="false" ht="15" hidden="false" customHeight="false" outlineLevel="0" collapsed="false">
      <c r="A365" s="2" t="s">
        <v>7630</v>
      </c>
      <c r="B365" s="3" t="s">
        <v>7631</v>
      </c>
      <c r="C365" s="2" t="s">
        <v>7621</v>
      </c>
    </row>
    <row r="366" customFormat="false" ht="15" hidden="false" customHeight="false" outlineLevel="0" collapsed="false">
      <c r="A366" s="2" t="s">
        <v>7632</v>
      </c>
      <c r="B366" s="3" t="s">
        <v>7633</v>
      </c>
      <c r="C366" s="2" t="s">
        <v>7621</v>
      </c>
    </row>
    <row r="367" customFormat="false" ht="15" hidden="false" customHeight="false" outlineLevel="0" collapsed="false">
      <c r="A367" s="2" t="s">
        <v>7634</v>
      </c>
      <c r="B367" s="3" t="s">
        <v>7635</v>
      </c>
      <c r="C367" s="2" t="s">
        <v>7621</v>
      </c>
    </row>
    <row r="368" customFormat="false" ht="15" hidden="false" customHeight="false" outlineLevel="0" collapsed="false">
      <c r="A368" s="2" t="s">
        <v>7636</v>
      </c>
      <c r="B368" s="3" t="s">
        <v>7637</v>
      </c>
      <c r="C368" s="2" t="s">
        <v>7621</v>
      </c>
    </row>
    <row r="369" customFormat="false" ht="15" hidden="false" customHeight="false" outlineLevel="0" collapsed="false">
      <c r="A369" s="2" t="s">
        <v>7638</v>
      </c>
      <c r="B369" s="3" t="s">
        <v>7639</v>
      </c>
      <c r="C369" s="2" t="s">
        <v>7621</v>
      </c>
    </row>
    <row r="370" customFormat="false" ht="15" hidden="false" customHeight="false" outlineLevel="0" collapsed="false">
      <c r="A370" s="2" t="s">
        <v>7640</v>
      </c>
      <c r="B370" s="3" t="s">
        <v>7641</v>
      </c>
      <c r="C370" s="2" t="s">
        <v>7621</v>
      </c>
    </row>
    <row r="371" customFormat="false" ht="15" hidden="false" customHeight="false" outlineLevel="0" collapsed="false">
      <c r="A371" s="2" t="s">
        <v>7642</v>
      </c>
      <c r="B371" s="3" t="s">
        <v>7643</v>
      </c>
      <c r="C371" s="2" t="s">
        <v>7621</v>
      </c>
    </row>
    <row r="372" customFormat="false" ht="15" hidden="false" customHeight="false" outlineLevel="0" collapsed="false">
      <c r="A372" s="2" t="s">
        <v>7644</v>
      </c>
      <c r="B372" s="3" t="s">
        <v>7645</v>
      </c>
      <c r="C372" s="2" t="s">
        <v>7621</v>
      </c>
    </row>
    <row r="373" customFormat="false" ht="15" hidden="false" customHeight="false" outlineLevel="0" collapsed="false">
      <c r="A373" s="2" t="s">
        <v>7646</v>
      </c>
      <c r="B373" s="3" t="s">
        <v>7647</v>
      </c>
      <c r="C373" s="2" t="s">
        <v>7621</v>
      </c>
    </row>
    <row r="374" customFormat="false" ht="15" hidden="false" customHeight="false" outlineLevel="0" collapsed="false">
      <c r="A374" s="2" t="s">
        <v>7648</v>
      </c>
      <c r="B374" s="3" t="s">
        <v>7649</v>
      </c>
      <c r="C374" s="2" t="s">
        <v>7621</v>
      </c>
    </row>
    <row r="375" customFormat="false" ht="15" hidden="false" customHeight="false" outlineLevel="0" collapsed="false">
      <c r="A375" s="2" t="s">
        <v>7650</v>
      </c>
      <c r="B375" s="3" t="s">
        <v>7651</v>
      </c>
      <c r="C375" s="2" t="s">
        <v>7621</v>
      </c>
    </row>
    <row r="376" customFormat="false" ht="15" hidden="false" customHeight="false" outlineLevel="0" collapsed="false">
      <c r="A376" s="2" t="s">
        <v>7652</v>
      </c>
      <c r="B376" s="3" t="s">
        <v>7653</v>
      </c>
      <c r="C376" s="2" t="s">
        <v>7621</v>
      </c>
    </row>
    <row r="377" customFormat="false" ht="15" hidden="false" customHeight="false" outlineLevel="0" collapsed="false">
      <c r="A377" s="2" t="s">
        <v>7654</v>
      </c>
      <c r="B377" s="3" t="s">
        <v>7655</v>
      </c>
      <c r="C377" s="2" t="s">
        <v>7621</v>
      </c>
    </row>
    <row r="378" customFormat="false" ht="15" hidden="false" customHeight="false" outlineLevel="0" collapsed="false">
      <c r="A378" s="2" t="s">
        <v>7656</v>
      </c>
      <c r="B378" s="3" t="s">
        <v>7657</v>
      </c>
      <c r="C378" s="2" t="s">
        <v>7621</v>
      </c>
    </row>
    <row r="379" customFormat="false" ht="15" hidden="false" customHeight="false" outlineLevel="0" collapsed="false">
      <c r="A379" s="2" t="s">
        <v>7658</v>
      </c>
      <c r="B379" s="3" t="s">
        <v>7659</v>
      </c>
      <c r="C379" s="2" t="s">
        <v>7621</v>
      </c>
    </row>
    <row r="380" customFormat="false" ht="15" hidden="false" customHeight="false" outlineLevel="0" collapsed="false">
      <c r="A380" s="2" t="s">
        <v>7660</v>
      </c>
      <c r="B380" s="3" t="s">
        <v>7661</v>
      </c>
      <c r="C380" s="2" t="s">
        <v>7621</v>
      </c>
    </row>
    <row r="381" customFormat="false" ht="15" hidden="false" customHeight="false" outlineLevel="0" collapsed="false">
      <c r="A381" s="2" t="s">
        <v>7662</v>
      </c>
      <c r="B381" s="3" t="s">
        <v>7663</v>
      </c>
      <c r="C381" s="2" t="s">
        <v>7621</v>
      </c>
    </row>
    <row r="382" customFormat="false" ht="15" hidden="false" customHeight="false" outlineLevel="0" collapsed="false">
      <c r="A382" s="2" t="s">
        <v>73</v>
      </c>
      <c r="B382" s="3" t="s">
        <v>7664</v>
      </c>
      <c r="C382" s="2" t="s">
        <v>7621</v>
      </c>
    </row>
    <row r="383" customFormat="false" ht="15" hidden="false" customHeight="false" outlineLevel="0" collapsed="false">
      <c r="A383" s="2" t="s">
        <v>7665</v>
      </c>
      <c r="B383" s="3" t="s">
        <v>7666</v>
      </c>
      <c r="C383" s="2" t="s">
        <v>7621</v>
      </c>
    </row>
    <row r="384" customFormat="false" ht="15" hidden="false" customHeight="false" outlineLevel="0" collapsed="false">
      <c r="A384" s="2" t="s">
        <v>206</v>
      </c>
      <c r="B384" s="3" t="s">
        <v>7666</v>
      </c>
      <c r="C384" s="2" t="s">
        <v>7621</v>
      </c>
    </row>
    <row r="385" customFormat="false" ht="15" hidden="false" customHeight="false" outlineLevel="0" collapsed="false">
      <c r="A385" s="2" t="s">
        <v>7667</v>
      </c>
      <c r="B385" s="3" t="s">
        <v>7666</v>
      </c>
      <c r="C385" s="2" t="s">
        <v>7621</v>
      </c>
    </row>
    <row r="386" customFormat="false" ht="15" hidden="false" customHeight="false" outlineLevel="0" collapsed="false">
      <c r="A386" s="2" t="s">
        <v>7668</v>
      </c>
      <c r="B386" s="3" t="s">
        <v>7669</v>
      </c>
      <c r="C386" s="2" t="s">
        <v>7621</v>
      </c>
    </row>
    <row r="387" customFormat="false" ht="15" hidden="false" customHeight="false" outlineLevel="0" collapsed="false">
      <c r="A387" s="2" t="s">
        <v>7670</v>
      </c>
      <c r="B387" s="3" t="s">
        <v>6942</v>
      </c>
      <c r="C387" s="2" t="s">
        <v>7621</v>
      </c>
    </row>
    <row r="388" customFormat="false" ht="15" hidden="false" customHeight="false" outlineLevel="0" collapsed="false">
      <c r="A388" s="2" t="s">
        <v>7671</v>
      </c>
      <c r="B388" s="3" t="s">
        <v>7672</v>
      </c>
      <c r="C388" s="2" t="s">
        <v>7673</v>
      </c>
    </row>
    <row r="389" customFormat="false" ht="15" hidden="false" customHeight="false" outlineLevel="0" collapsed="false">
      <c r="A389" s="2" t="s">
        <v>7674</v>
      </c>
      <c r="B389" s="3" t="s">
        <v>7675</v>
      </c>
      <c r="C389" s="2" t="s">
        <v>7673</v>
      </c>
    </row>
    <row r="390" customFormat="false" ht="15" hidden="false" customHeight="false" outlineLevel="0" collapsed="false">
      <c r="A390" s="2" t="s">
        <v>7676</v>
      </c>
      <c r="B390" s="3" t="s">
        <v>7677</v>
      </c>
      <c r="C390" s="2" t="s">
        <v>7673</v>
      </c>
    </row>
    <row r="391" customFormat="false" ht="15" hidden="false" customHeight="false" outlineLevel="0" collapsed="false">
      <c r="A391" s="2" t="s">
        <v>7678</v>
      </c>
      <c r="B391" s="3" t="s">
        <v>7677</v>
      </c>
      <c r="C391" s="2" t="s">
        <v>7673</v>
      </c>
    </row>
    <row r="392" customFormat="false" ht="15" hidden="false" customHeight="false" outlineLevel="0" collapsed="false">
      <c r="A392" s="2" t="s">
        <v>7679</v>
      </c>
      <c r="B392" s="3" t="s">
        <v>7677</v>
      </c>
      <c r="C392" s="2" t="s">
        <v>7673</v>
      </c>
    </row>
    <row r="393" customFormat="false" ht="15" hidden="false" customHeight="false" outlineLevel="0" collapsed="false">
      <c r="A393" s="2" t="s">
        <v>7680</v>
      </c>
      <c r="B393" s="3" t="s">
        <v>7677</v>
      </c>
      <c r="C393" s="2" t="s">
        <v>7673</v>
      </c>
    </row>
    <row r="394" customFormat="false" ht="15" hidden="false" customHeight="false" outlineLevel="0" collapsed="false">
      <c r="A394" s="2" t="s">
        <v>7681</v>
      </c>
      <c r="B394" s="3" t="s">
        <v>7682</v>
      </c>
      <c r="C394" s="2" t="s">
        <v>7683</v>
      </c>
    </row>
    <row r="395" customFormat="false" ht="15" hidden="false" customHeight="false" outlineLevel="0" collapsed="false">
      <c r="A395" s="2" t="s">
        <v>7684</v>
      </c>
      <c r="B395" s="3" t="s">
        <v>7685</v>
      </c>
      <c r="C395" s="2" t="s">
        <v>7683</v>
      </c>
    </row>
    <row r="396" customFormat="false" ht="15" hidden="false" customHeight="false" outlineLevel="0" collapsed="false">
      <c r="A396" s="2" t="s">
        <v>7686</v>
      </c>
      <c r="B396" s="3" t="s">
        <v>7687</v>
      </c>
      <c r="C396" s="2" t="s">
        <v>7683</v>
      </c>
    </row>
    <row r="397" customFormat="false" ht="15" hidden="false" customHeight="false" outlineLevel="0" collapsed="false">
      <c r="A397" s="2" t="s">
        <v>7688</v>
      </c>
      <c r="B397" s="3" t="s">
        <v>7689</v>
      </c>
      <c r="C397" s="2" t="s">
        <v>7683</v>
      </c>
    </row>
    <row r="398" customFormat="false" ht="15" hidden="false" customHeight="false" outlineLevel="0" collapsed="false">
      <c r="A398" s="2" t="s">
        <v>7690</v>
      </c>
      <c r="B398" s="3" t="s">
        <v>7691</v>
      </c>
      <c r="C398" s="2" t="s">
        <v>7683</v>
      </c>
    </row>
    <row r="399" customFormat="false" ht="15" hidden="false" customHeight="false" outlineLevel="0" collapsed="false">
      <c r="A399" s="2" t="s">
        <v>7692</v>
      </c>
      <c r="B399" s="3" t="s">
        <v>7693</v>
      </c>
      <c r="C399" s="2" t="s">
        <v>7683</v>
      </c>
    </row>
    <row r="400" customFormat="false" ht="35.05" hidden="false" customHeight="false" outlineLevel="0" collapsed="false">
      <c r="A400" s="2" t="s">
        <v>7694</v>
      </c>
      <c r="B400" s="3" t="s">
        <v>7695</v>
      </c>
      <c r="C400" s="2" t="s">
        <v>7683</v>
      </c>
    </row>
    <row r="401" customFormat="false" ht="15" hidden="false" customHeight="false" outlineLevel="0" collapsed="false">
      <c r="A401" s="2" t="s">
        <v>7696</v>
      </c>
      <c r="B401" s="3" t="s">
        <v>7697</v>
      </c>
      <c r="C401" s="2" t="s">
        <v>7683</v>
      </c>
    </row>
    <row r="402" customFormat="false" ht="15" hidden="false" customHeight="false" outlineLevel="0" collapsed="false">
      <c r="A402" s="2" t="s">
        <v>7698</v>
      </c>
      <c r="B402" s="3" t="s">
        <v>7699</v>
      </c>
      <c r="C402" s="2" t="s">
        <v>7683</v>
      </c>
    </row>
    <row r="403" customFormat="false" ht="15" hidden="false" customHeight="false" outlineLevel="0" collapsed="false">
      <c r="A403" s="2" t="s">
        <v>7700</v>
      </c>
      <c r="B403" s="3" t="s">
        <v>7701</v>
      </c>
      <c r="C403" s="2" t="s">
        <v>7683</v>
      </c>
    </row>
    <row r="404" customFormat="false" ht="15" hidden="false" customHeight="false" outlineLevel="0" collapsed="false">
      <c r="A404" s="2" t="s">
        <v>7702</v>
      </c>
      <c r="B404" s="3" t="s">
        <v>7703</v>
      </c>
      <c r="C404" s="2" t="s">
        <v>7683</v>
      </c>
    </row>
    <row r="405" customFormat="false" ht="15" hidden="false" customHeight="false" outlineLevel="0" collapsed="false">
      <c r="A405" s="2" t="s">
        <v>7704</v>
      </c>
      <c r="B405" s="3" t="s">
        <v>7705</v>
      </c>
      <c r="C405" s="2" t="s">
        <v>7683</v>
      </c>
    </row>
    <row r="406" customFormat="false" ht="15" hidden="false" customHeight="false" outlineLevel="0" collapsed="false">
      <c r="A406" s="2" t="s">
        <v>7706</v>
      </c>
      <c r="B406" s="3" t="s">
        <v>7707</v>
      </c>
      <c r="C406" s="2" t="s">
        <v>7683</v>
      </c>
    </row>
    <row r="407" customFormat="false" ht="15" hidden="false" customHeight="false" outlineLevel="0" collapsed="false">
      <c r="A407" s="2" t="s">
        <v>7708</v>
      </c>
      <c r="B407" s="3" t="s">
        <v>7709</v>
      </c>
      <c r="C407" s="2" t="s">
        <v>7683</v>
      </c>
    </row>
    <row r="408" customFormat="false" ht="15" hidden="false" customHeight="false" outlineLevel="0" collapsed="false">
      <c r="A408" s="2" t="s">
        <v>7710</v>
      </c>
      <c r="B408" s="3" t="s">
        <v>7709</v>
      </c>
      <c r="C408" s="2" t="s">
        <v>7683</v>
      </c>
    </row>
    <row r="409" customFormat="false" ht="15" hidden="false" customHeight="false" outlineLevel="0" collapsed="false">
      <c r="A409" s="2" t="s">
        <v>7711</v>
      </c>
      <c r="B409" s="3" t="s">
        <v>7227</v>
      </c>
      <c r="C409" s="2" t="s">
        <v>7683</v>
      </c>
    </row>
    <row r="410" customFormat="false" ht="15" hidden="false" customHeight="false" outlineLevel="0" collapsed="false">
      <c r="A410" s="2" t="s">
        <v>7712</v>
      </c>
      <c r="B410" s="3" t="s">
        <v>7713</v>
      </c>
      <c r="C410" s="2" t="s">
        <v>7683</v>
      </c>
    </row>
    <row r="411" customFormat="false" ht="15" hidden="false" customHeight="false" outlineLevel="0" collapsed="false">
      <c r="A411" s="2" t="s">
        <v>7714</v>
      </c>
      <c r="B411" s="3" t="s">
        <v>7715</v>
      </c>
      <c r="C411" s="2" t="s">
        <v>7683</v>
      </c>
    </row>
    <row r="412" customFormat="false" ht="15" hidden="false" customHeight="false" outlineLevel="0" collapsed="false">
      <c r="A412" s="2" t="s">
        <v>7716</v>
      </c>
      <c r="B412" s="3" t="s">
        <v>7715</v>
      </c>
      <c r="C412" s="2" t="s">
        <v>7683</v>
      </c>
    </row>
    <row r="413" customFormat="false" ht="15" hidden="false" customHeight="false" outlineLevel="0" collapsed="false">
      <c r="A413" s="2" t="s">
        <v>7717</v>
      </c>
      <c r="B413" s="3" t="s">
        <v>7715</v>
      </c>
      <c r="C413" s="2" t="s">
        <v>7683</v>
      </c>
    </row>
    <row r="414" customFormat="false" ht="15" hidden="false" customHeight="false" outlineLevel="0" collapsed="false">
      <c r="A414" s="2" t="s">
        <v>7718</v>
      </c>
      <c r="B414" s="3" t="s">
        <v>7715</v>
      </c>
      <c r="C414" s="2" t="s">
        <v>7683</v>
      </c>
    </row>
    <row r="415" customFormat="false" ht="15" hidden="false" customHeight="false" outlineLevel="0" collapsed="false">
      <c r="A415" s="2" t="s">
        <v>7719</v>
      </c>
      <c r="B415" s="3" t="s">
        <v>7715</v>
      </c>
      <c r="C415" s="2" t="s">
        <v>7683</v>
      </c>
    </row>
    <row r="416" customFormat="false" ht="15" hidden="false" customHeight="false" outlineLevel="0" collapsed="false">
      <c r="A416" s="2" t="s">
        <v>7720</v>
      </c>
      <c r="B416" s="3" t="s">
        <v>7715</v>
      </c>
      <c r="C416" s="2" t="s">
        <v>7683</v>
      </c>
    </row>
    <row r="417" customFormat="false" ht="15" hidden="false" customHeight="false" outlineLevel="0" collapsed="false">
      <c r="A417" s="2" t="s">
        <v>7721</v>
      </c>
      <c r="B417" s="3" t="s">
        <v>7715</v>
      </c>
      <c r="C417" s="2" t="s">
        <v>7683</v>
      </c>
    </row>
    <row r="418" customFormat="false" ht="15" hidden="false" customHeight="false" outlineLevel="0" collapsed="false">
      <c r="A418" s="2" t="s">
        <v>7722</v>
      </c>
      <c r="B418" s="3" t="s">
        <v>7715</v>
      </c>
      <c r="C418" s="2" t="s">
        <v>7683</v>
      </c>
    </row>
    <row r="419" customFormat="false" ht="15" hidden="false" customHeight="false" outlineLevel="0" collapsed="false">
      <c r="A419" s="2" t="s">
        <v>7723</v>
      </c>
      <c r="B419" s="3" t="s">
        <v>7715</v>
      </c>
      <c r="C419" s="2" t="s">
        <v>7683</v>
      </c>
    </row>
    <row r="420" customFormat="false" ht="15" hidden="false" customHeight="false" outlineLevel="0" collapsed="false">
      <c r="A420" s="2" t="s">
        <v>7724</v>
      </c>
      <c r="B420" s="3" t="s">
        <v>7715</v>
      </c>
      <c r="C420" s="2" t="s">
        <v>7683</v>
      </c>
    </row>
    <row r="421" customFormat="false" ht="15" hidden="false" customHeight="false" outlineLevel="0" collapsed="false">
      <c r="A421" s="2" t="s">
        <v>7725</v>
      </c>
      <c r="B421" s="3" t="s">
        <v>7715</v>
      </c>
      <c r="C421" s="2" t="s">
        <v>7683</v>
      </c>
    </row>
    <row r="422" customFormat="false" ht="15" hidden="false" customHeight="false" outlineLevel="0" collapsed="false">
      <c r="A422" s="2" t="s">
        <v>7726</v>
      </c>
      <c r="B422" s="3" t="s">
        <v>7715</v>
      </c>
      <c r="C422" s="2" t="s">
        <v>7683</v>
      </c>
    </row>
    <row r="423" customFormat="false" ht="15" hidden="false" customHeight="false" outlineLevel="0" collapsed="false">
      <c r="A423" s="2" t="s">
        <v>7727</v>
      </c>
      <c r="B423" s="3" t="s">
        <v>7728</v>
      </c>
      <c r="C423" s="2" t="s">
        <v>7683</v>
      </c>
    </row>
    <row r="424" customFormat="false" ht="15" hidden="false" customHeight="false" outlineLevel="0" collapsed="false">
      <c r="A424" s="2" t="s">
        <v>7729</v>
      </c>
      <c r="B424" s="3" t="s">
        <v>7728</v>
      </c>
      <c r="C424" s="2" t="s">
        <v>7683</v>
      </c>
    </row>
    <row r="425" customFormat="false" ht="15" hidden="false" customHeight="false" outlineLevel="0" collapsed="false">
      <c r="A425" s="2" t="s">
        <v>7730</v>
      </c>
      <c r="B425" s="3" t="s">
        <v>7731</v>
      </c>
      <c r="C425" s="2" t="s">
        <v>7683</v>
      </c>
    </row>
    <row r="426" customFormat="false" ht="15" hidden="false" customHeight="false" outlineLevel="0" collapsed="false">
      <c r="A426" s="2" t="s">
        <v>7732</v>
      </c>
      <c r="B426" s="3" t="s">
        <v>7733</v>
      </c>
      <c r="C426" s="2" t="s">
        <v>7683</v>
      </c>
    </row>
    <row r="427" customFormat="false" ht="23.85" hidden="false" customHeight="false" outlineLevel="0" collapsed="false">
      <c r="A427" s="2" t="s">
        <v>7734</v>
      </c>
      <c r="B427" s="3" t="s">
        <v>7735</v>
      </c>
      <c r="C427" s="2" t="s">
        <v>7683</v>
      </c>
    </row>
    <row r="428" customFormat="false" ht="15" hidden="false" customHeight="false" outlineLevel="0" collapsed="false">
      <c r="A428" s="2" t="s">
        <v>7736</v>
      </c>
      <c r="B428" s="3" t="s">
        <v>7737</v>
      </c>
      <c r="C428" s="2" t="s">
        <v>7683</v>
      </c>
    </row>
    <row r="429" customFormat="false" ht="15" hidden="false" customHeight="false" outlineLevel="0" collapsed="false">
      <c r="A429" s="2" t="s">
        <v>7738</v>
      </c>
      <c r="B429" s="3" t="s">
        <v>7739</v>
      </c>
      <c r="C429" s="2" t="s">
        <v>7683</v>
      </c>
    </row>
    <row r="430" customFormat="false" ht="15" hidden="false" customHeight="false" outlineLevel="0" collapsed="false">
      <c r="A430" s="2" t="s">
        <v>7740</v>
      </c>
      <c r="B430" s="3" t="s">
        <v>7741</v>
      </c>
      <c r="C430" s="2" t="s">
        <v>7683</v>
      </c>
    </row>
    <row r="431" customFormat="false" ht="15" hidden="false" customHeight="false" outlineLevel="0" collapsed="false">
      <c r="A431" s="2" t="s">
        <v>7742</v>
      </c>
      <c r="B431" s="3" t="s">
        <v>7743</v>
      </c>
      <c r="C431" s="2" t="s">
        <v>7683</v>
      </c>
    </row>
    <row r="432" customFormat="false" ht="15" hidden="false" customHeight="false" outlineLevel="0" collapsed="false">
      <c r="A432" s="2" t="s">
        <v>7744</v>
      </c>
      <c r="B432" s="3" t="s">
        <v>7745</v>
      </c>
      <c r="C432" s="2" t="s">
        <v>7683</v>
      </c>
    </row>
    <row r="433" customFormat="false" ht="15" hidden="false" customHeight="false" outlineLevel="0" collapsed="false">
      <c r="A433" s="2" t="s">
        <v>7746</v>
      </c>
      <c r="B433" s="3" t="s">
        <v>7747</v>
      </c>
      <c r="C433" s="2" t="s">
        <v>7683</v>
      </c>
    </row>
    <row r="434" customFormat="false" ht="15" hidden="false" customHeight="false" outlineLevel="0" collapsed="false">
      <c r="A434" s="2" t="s">
        <v>7748</v>
      </c>
      <c r="B434" s="3" t="s">
        <v>7749</v>
      </c>
      <c r="C434" s="2" t="s">
        <v>7683</v>
      </c>
    </row>
    <row r="435" customFormat="false" ht="15" hidden="false" customHeight="false" outlineLevel="0" collapsed="false">
      <c r="A435" s="2" t="s">
        <v>7750</v>
      </c>
      <c r="B435" s="3" t="s">
        <v>7751</v>
      </c>
      <c r="C435" s="2" t="s">
        <v>7683</v>
      </c>
    </row>
    <row r="436" customFormat="false" ht="15" hidden="false" customHeight="false" outlineLevel="0" collapsed="false">
      <c r="A436" s="2" t="s">
        <v>7752</v>
      </c>
      <c r="B436" s="3" t="s">
        <v>7753</v>
      </c>
      <c r="C436" s="2" t="s">
        <v>7683</v>
      </c>
    </row>
    <row r="437" customFormat="false" ht="15" hidden="false" customHeight="false" outlineLevel="0" collapsed="false">
      <c r="A437" s="2" t="s">
        <v>7754</v>
      </c>
      <c r="B437" s="3" t="s">
        <v>7755</v>
      </c>
      <c r="C437" s="2" t="s">
        <v>7683</v>
      </c>
    </row>
    <row r="438" customFormat="false" ht="23.85" hidden="false" customHeight="false" outlineLevel="0" collapsed="false">
      <c r="A438" s="2" t="s">
        <v>7756</v>
      </c>
      <c r="B438" s="3" t="s">
        <v>7757</v>
      </c>
      <c r="C438" s="2" t="s">
        <v>7683</v>
      </c>
    </row>
    <row r="439" customFormat="false" ht="15" hidden="false" customHeight="false" outlineLevel="0" collapsed="false">
      <c r="A439" s="2" t="s">
        <v>7758</v>
      </c>
      <c r="B439" s="3" t="s">
        <v>7759</v>
      </c>
      <c r="C439" s="2" t="s">
        <v>7683</v>
      </c>
    </row>
    <row r="440" customFormat="false" ht="15" hidden="false" customHeight="false" outlineLevel="0" collapsed="false">
      <c r="A440" s="2" t="s">
        <v>7760</v>
      </c>
      <c r="B440" s="3" t="s">
        <v>7759</v>
      </c>
      <c r="C440" s="2" t="s">
        <v>7683</v>
      </c>
    </row>
    <row r="441" customFormat="false" ht="15" hidden="false" customHeight="false" outlineLevel="0" collapsed="false">
      <c r="A441" s="2" t="s">
        <v>7761</v>
      </c>
      <c r="B441" s="3" t="s">
        <v>7759</v>
      </c>
      <c r="C441" s="2" t="s">
        <v>7683</v>
      </c>
    </row>
    <row r="442" customFormat="false" ht="15" hidden="false" customHeight="false" outlineLevel="0" collapsed="false">
      <c r="A442" s="2" t="s">
        <v>7762</v>
      </c>
      <c r="B442" s="3" t="s">
        <v>7763</v>
      </c>
      <c r="C442" s="2" t="s">
        <v>7683</v>
      </c>
    </row>
    <row r="443" customFormat="false" ht="15" hidden="false" customHeight="false" outlineLevel="0" collapsed="false">
      <c r="A443" s="2" t="s">
        <v>7764</v>
      </c>
      <c r="B443" s="3" t="s">
        <v>7765</v>
      </c>
      <c r="C443" s="2" t="s">
        <v>7683</v>
      </c>
    </row>
    <row r="444" customFormat="false" ht="15" hidden="false" customHeight="false" outlineLevel="0" collapsed="false">
      <c r="A444" s="2" t="s">
        <v>7766</v>
      </c>
      <c r="B444" s="3" t="s">
        <v>7767</v>
      </c>
      <c r="C444" s="2" t="s">
        <v>7683</v>
      </c>
    </row>
    <row r="445" customFormat="false" ht="15" hidden="false" customHeight="false" outlineLevel="0" collapsed="false">
      <c r="A445" s="2" t="s">
        <v>7768</v>
      </c>
      <c r="B445" s="3" t="s">
        <v>7769</v>
      </c>
      <c r="C445" s="2" t="s">
        <v>7683</v>
      </c>
    </row>
    <row r="446" customFormat="false" ht="15" hidden="false" customHeight="false" outlineLevel="0" collapsed="false">
      <c r="A446" s="2" t="s">
        <v>7770</v>
      </c>
      <c r="B446" s="3" t="s">
        <v>7771</v>
      </c>
      <c r="C446" s="2" t="s">
        <v>7683</v>
      </c>
    </row>
    <row r="447" customFormat="false" ht="15" hidden="false" customHeight="false" outlineLevel="0" collapsed="false">
      <c r="A447" s="2" t="s">
        <v>7772</v>
      </c>
      <c r="B447" s="3" t="s">
        <v>7773</v>
      </c>
      <c r="C447" s="2" t="s">
        <v>7683</v>
      </c>
    </row>
    <row r="448" customFormat="false" ht="15" hidden="false" customHeight="false" outlineLevel="0" collapsed="false">
      <c r="A448" s="2" t="s">
        <v>7774</v>
      </c>
      <c r="B448" s="3" t="s">
        <v>7775</v>
      </c>
      <c r="C448" s="2" t="s">
        <v>7683</v>
      </c>
    </row>
    <row r="449" customFormat="false" ht="15" hidden="false" customHeight="false" outlineLevel="0" collapsed="false">
      <c r="A449" s="2" t="s">
        <v>7776</v>
      </c>
      <c r="B449" s="3" t="s">
        <v>7777</v>
      </c>
      <c r="C449" s="2" t="s">
        <v>7683</v>
      </c>
    </row>
    <row r="450" customFormat="false" ht="15" hidden="false" customHeight="false" outlineLevel="0" collapsed="false">
      <c r="A450" s="2" t="s">
        <v>7778</v>
      </c>
      <c r="B450" s="3" t="s">
        <v>7779</v>
      </c>
      <c r="C450" s="2" t="s">
        <v>7683</v>
      </c>
    </row>
    <row r="451" customFormat="false" ht="15" hidden="false" customHeight="false" outlineLevel="0" collapsed="false">
      <c r="A451" s="2" t="s">
        <v>7780</v>
      </c>
      <c r="B451" s="3" t="s">
        <v>7781</v>
      </c>
      <c r="C451" s="2" t="s">
        <v>7683</v>
      </c>
    </row>
    <row r="452" customFormat="false" ht="15" hidden="false" customHeight="false" outlineLevel="0" collapsed="false">
      <c r="A452" s="2" t="s">
        <v>7782</v>
      </c>
      <c r="B452" s="3" t="s">
        <v>7783</v>
      </c>
      <c r="C452" s="2" t="s">
        <v>7683</v>
      </c>
    </row>
    <row r="453" customFormat="false" ht="15" hidden="false" customHeight="false" outlineLevel="0" collapsed="false">
      <c r="A453" s="2" t="s">
        <v>7784</v>
      </c>
      <c r="B453" s="3" t="s">
        <v>7785</v>
      </c>
      <c r="C453" s="2" t="s">
        <v>7683</v>
      </c>
    </row>
    <row r="454" customFormat="false" ht="15" hidden="false" customHeight="false" outlineLevel="0" collapsed="false">
      <c r="A454" s="2" t="s">
        <v>7786</v>
      </c>
      <c r="B454" s="3" t="s">
        <v>7787</v>
      </c>
      <c r="C454" s="2" t="s">
        <v>7683</v>
      </c>
    </row>
    <row r="455" customFormat="false" ht="15" hidden="false" customHeight="false" outlineLevel="0" collapsed="false">
      <c r="A455" s="2" t="s">
        <v>7788</v>
      </c>
      <c r="B455" s="3" t="s">
        <v>7789</v>
      </c>
      <c r="C455" s="2" t="s">
        <v>7683</v>
      </c>
    </row>
    <row r="456" customFormat="false" ht="15" hidden="false" customHeight="false" outlineLevel="0" collapsed="false">
      <c r="A456" s="2" t="s">
        <v>7790</v>
      </c>
      <c r="B456" s="3" t="s">
        <v>7791</v>
      </c>
      <c r="C456" s="2" t="s">
        <v>7683</v>
      </c>
    </row>
    <row r="457" customFormat="false" ht="15" hidden="false" customHeight="false" outlineLevel="0" collapsed="false">
      <c r="A457" s="2" t="s">
        <v>7792</v>
      </c>
      <c r="B457" s="3" t="s">
        <v>7793</v>
      </c>
      <c r="C457" s="2" t="s">
        <v>7683</v>
      </c>
    </row>
    <row r="458" customFormat="false" ht="15" hidden="false" customHeight="false" outlineLevel="0" collapsed="false">
      <c r="A458" s="2" t="s">
        <v>7794</v>
      </c>
      <c r="B458" s="3" t="s">
        <v>7795</v>
      </c>
      <c r="C458" s="2" t="s">
        <v>7683</v>
      </c>
    </row>
    <row r="459" customFormat="false" ht="15" hidden="false" customHeight="false" outlineLevel="0" collapsed="false">
      <c r="A459" s="2" t="s">
        <v>7796</v>
      </c>
      <c r="B459" s="3" t="s">
        <v>7797</v>
      </c>
      <c r="C459" s="2" t="s">
        <v>7683</v>
      </c>
    </row>
    <row r="460" customFormat="false" ht="15" hidden="false" customHeight="false" outlineLevel="0" collapsed="false">
      <c r="A460" s="2" t="s">
        <v>7798</v>
      </c>
      <c r="B460" s="3" t="s">
        <v>7799</v>
      </c>
      <c r="C460" s="2" t="s">
        <v>7683</v>
      </c>
    </row>
    <row r="461" customFormat="false" ht="15" hidden="false" customHeight="false" outlineLevel="0" collapsed="false">
      <c r="A461" s="2" t="s">
        <v>7800</v>
      </c>
      <c r="B461" s="3" t="s">
        <v>7801</v>
      </c>
      <c r="C461" s="2" t="s">
        <v>7683</v>
      </c>
    </row>
    <row r="462" customFormat="false" ht="15" hidden="false" customHeight="false" outlineLevel="0" collapsed="false">
      <c r="A462" s="2" t="s">
        <v>7802</v>
      </c>
      <c r="B462" s="3" t="s">
        <v>7803</v>
      </c>
      <c r="C462" s="2" t="s">
        <v>7683</v>
      </c>
    </row>
    <row r="463" customFormat="false" ht="15" hidden="false" customHeight="false" outlineLevel="0" collapsed="false">
      <c r="A463" s="2" t="s">
        <v>7804</v>
      </c>
      <c r="B463" s="3" t="s">
        <v>7805</v>
      </c>
      <c r="C463" s="2" t="s">
        <v>7683</v>
      </c>
    </row>
    <row r="464" customFormat="false" ht="15" hidden="false" customHeight="false" outlineLevel="0" collapsed="false">
      <c r="A464" s="2" t="s">
        <v>7806</v>
      </c>
      <c r="B464" s="3" t="s">
        <v>7807</v>
      </c>
      <c r="C464" s="2" t="s">
        <v>7683</v>
      </c>
    </row>
    <row r="465" customFormat="false" ht="15" hidden="false" customHeight="false" outlineLevel="0" collapsed="false">
      <c r="A465" s="2" t="s">
        <v>7808</v>
      </c>
      <c r="B465" s="3" t="s">
        <v>7759</v>
      </c>
      <c r="C465" s="2" t="s">
        <v>7683</v>
      </c>
    </row>
    <row r="466" customFormat="false" ht="15" hidden="false" customHeight="false" outlineLevel="0" collapsed="false">
      <c r="A466" s="2" t="s">
        <v>7809</v>
      </c>
      <c r="B466" s="3" t="s">
        <v>7810</v>
      </c>
      <c r="C466" s="2" t="s">
        <v>7683</v>
      </c>
    </row>
    <row r="467" customFormat="false" ht="15" hidden="false" customHeight="false" outlineLevel="0" collapsed="false">
      <c r="A467" s="2" t="s">
        <v>7811</v>
      </c>
      <c r="B467" s="3" t="s">
        <v>7759</v>
      </c>
      <c r="C467" s="2" t="s">
        <v>7683</v>
      </c>
    </row>
    <row r="468" customFormat="false" ht="15" hidden="false" customHeight="false" outlineLevel="0" collapsed="false">
      <c r="A468" s="2" t="s">
        <v>7812</v>
      </c>
      <c r="B468" s="3" t="s">
        <v>7759</v>
      </c>
      <c r="C468" s="2" t="s">
        <v>7683</v>
      </c>
    </row>
    <row r="469" customFormat="false" ht="15" hidden="false" customHeight="false" outlineLevel="0" collapsed="false">
      <c r="A469" s="2" t="s">
        <v>7813</v>
      </c>
      <c r="B469" s="3" t="s">
        <v>7814</v>
      </c>
      <c r="C469" s="2" t="s">
        <v>7683</v>
      </c>
    </row>
    <row r="470" customFormat="false" ht="15" hidden="false" customHeight="false" outlineLevel="0" collapsed="false">
      <c r="A470" s="2" t="s">
        <v>7815</v>
      </c>
      <c r="B470" s="3" t="s">
        <v>7229</v>
      </c>
      <c r="C470" s="2" t="s">
        <v>7683</v>
      </c>
    </row>
    <row r="471" customFormat="false" ht="15" hidden="false" customHeight="false" outlineLevel="0" collapsed="false">
      <c r="A471" s="2" t="s">
        <v>7816</v>
      </c>
      <c r="B471" s="3" t="s">
        <v>7229</v>
      </c>
      <c r="C471" s="2" t="s">
        <v>7683</v>
      </c>
    </row>
    <row r="472" customFormat="false" ht="15" hidden="false" customHeight="false" outlineLevel="0" collapsed="false">
      <c r="A472" s="2" t="s">
        <v>7817</v>
      </c>
      <c r="B472" s="3" t="s">
        <v>7229</v>
      </c>
      <c r="C472" s="2" t="s">
        <v>7683</v>
      </c>
    </row>
    <row r="473" customFormat="false" ht="15" hidden="false" customHeight="false" outlineLevel="0" collapsed="false">
      <c r="A473" s="2" t="s">
        <v>7818</v>
      </c>
      <c r="B473" s="3" t="s">
        <v>7819</v>
      </c>
      <c r="C473" s="2" t="s">
        <v>7683</v>
      </c>
    </row>
    <row r="474" customFormat="false" ht="15" hidden="false" customHeight="false" outlineLevel="0" collapsed="false">
      <c r="A474" s="2" t="s">
        <v>7820</v>
      </c>
      <c r="B474" s="3" t="s">
        <v>7819</v>
      </c>
      <c r="C474" s="2" t="s">
        <v>7683</v>
      </c>
    </row>
    <row r="475" customFormat="false" ht="15" hidden="false" customHeight="false" outlineLevel="0" collapsed="false">
      <c r="A475" s="2" t="s">
        <v>7821</v>
      </c>
      <c r="B475" s="3" t="s">
        <v>7819</v>
      </c>
      <c r="C475" s="2" t="s">
        <v>7683</v>
      </c>
    </row>
    <row r="476" customFormat="false" ht="15" hidden="false" customHeight="false" outlineLevel="0" collapsed="false">
      <c r="A476" s="2" t="s">
        <v>7822</v>
      </c>
      <c r="B476" s="3" t="s">
        <v>7823</v>
      </c>
      <c r="C476" s="2" t="s">
        <v>7683</v>
      </c>
    </row>
    <row r="477" customFormat="false" ht="15" hidden="false" customHeight="false" outlineLevel="0" collapsed="false">
      <c r="A477" s="2" t="s">
        <v>7824</v>
      </c>
      <c r="B477" s="3" t="s">
        <v>7823</v>
      </c>
      <c r="C477" s="2" t="s">
        <v>7683</v>
      </c>
    </row>
    <row r="478" customFormat="false" ht="15" hidden="false" customHeight="false" outlineLevel="0" collapsed="false">
      <c r="A478" s="2" t="s">
        <v>7825</v>
      </c>
      <c r="B478" s="3" t="s">
        <v>7826</v>
      </c>
      <c r="C478" s="2" t="s">
        <v>7683</v>
      </c>
    </row>
    <row r="479" customFormat="false" ht="15" hidden="false" customHeight="false" outlineLevel="0" collapsed="false">
      <c r="A479" s="2" t="s">
        <v>7827</v>
      </c>
      <c r="B479" s="3" t="s">
        <v>7828</v>
      </c>
      <c r="C479" s="2" t="s">
        <v>7683</v>
      </c>
    </row>
    <row r="480" customFormat="false" ht="15" hidden="false" customHeight="false" outlineLevel="0" collapsed="false">
      <c r="A480" s="2" t="s">
        <v>7829</v>
      </c>
      <c r="B480" s="3" t="s">
        <v>7823</v>
      </c>
      <c r="C480" s="2" t="s">
        <v>7683</v>
      </c>
    </row>
    <row r="481" customFormat="false" ht="15" hidden="false" customHeight="false" outlineLevel="0" collapsed="false">
      <c r="A481" s="2" t="s">
        <v>7830</v>
      </c>
      <c r="B481" s="3" t="s">
        <v>7831</v>
      </c>
      <c r="C481" s="2" t="s">
        <v>7683</v>
      </c>
    </row>
    <row r="482" customFormat="false" ht="15" hidden="false" customHeight="false" outlineLevel="0" collapsed="false">
      <c r="A482" s="2" t="s">
        <v>7832</v>
      </c>
      <c r="B482" s="3" t="s">
        <v>7833</v>
      </c>
      <c r="C482" s="2" t="s">
        <v>7683</v>
      </c>
    </row>
    <row r="483" customFormat="false" ht="15" hidden="false" customHeight="false" outlineLevel="0" collapsed="false">
      <c r="A483" s="2" t="s">
        <v>7834</v>
      </c>
      <c r="B483" s="3" t="s">
        <v>7826</v>
      </c>
      <c r="C483" s="2" t="s">
        <v>7683</v>
      </c>
    </row>
    <row r="484" customFormat="false" ht="15" hidden="false" customHeight="false" outlineLevel="0" collapsed="false">
      <c r="A484" s="2" t="s">
        <v>7835</v>
      </c>
      <c r="B484" s="3" t="s">
        <v>7836</v>
      </c>
      <c r="C484" s="2" t="s">
        <v>7683</v>
      </c>
    </row>
    <row r="485" customFormat="false" ht="15" hidden="false" customHeight="false" outlineLevel="0" collapsed="false">
      <c r="A485" s="2" t="s">
        <v>7837</v>
      </c>
      <c r="B485" s="3" t="s">
        <v>7836</v>
      </c>
      <c r="C485" s="2" t="s">
        <v>7683</v>
      </c>
    </row>
    <row r="486" customFormat="false" ht="15" hidden="false" customHeight="false" outlineLevel="0" collapsed="false">
      <c r="A486" s="2" t="s">
        <v>7838</v>
      </c>
      <c r="B486" s="3" t="s">
        <v>7836</v>
      </c>
      <c r="C486" s="2" t="s">
        <v>7683</v>
      </c>
    </row>
    <row r="487" customFormat="false" ht="15" hidden="false" customHeight="false" outlineLevel="0" collapsed="false">
      <c r="A487" s="2" t="s">
        <v>7839</v>
      </c>
      <c r="B487" s="3" t="s">
        <v>7836</v>
      </c>
      <c r="C487" s="2" t="s">
        <v>7683</v>
      </c>
    </row>
    <row r="488" customFormat="false" ht="15" hidden="false" customHeight="false" outlineLevel="0" collapsed="false">
      <c r="A488" s="2" t="s">
        <v>7840</v>
      </c>
      <c r="B488" s="3" t="s">
        <v>7836</v>
      </c>
      <c r="C488" s="2" t="s">
        <v>7683</v>
      </c>
    </row>
    <row r="489" customFormat="false" ht="15" hidden="false" customHeight="false" outlineLevel="0" collapsed="false">
      <c r="A489" s="2" t="s">
        <v>7841</v>
      </c>
      <c r="B489" s="3" t="s">
        <v>7842</v>
      </c>
      <c r="C489" s="2" t="s">
        <v>7683</v>
      </c>
    </row>
    <row r="490" customFormat="false" ht="15" hidden="false" customHeight="false" outlineLevel="0" collapsed="false">
      <c r="A490" s="2" t="s">
        <v>7843</v>
      </c>
      <c r="B490" s="3" t="s">
        <v>7842</v>
      </c>
      <c r="C490" s="2" t="s">
        <v>7683</v>
      </c>
    </row>
    <row r="491" customFormat="false" ht="15" hidden="false" customHeight="false" outlineLevel="0" collapsed="false">
      <c r="A491" s="2" t="s">
        <v>7844</v>
      </c>
      <c r="B491" s="3" t="s">
        <v>7823</v>
      </c>
      <c r="C491" s="2" t="s">
        <v>7683</v>
      </c>
    </row>
    <row r="492" customFormat="false" ht="15" hidden="false" customHeight="false" outlineLevel="0" collapsed="false">
      <c r="A492" s="2" t="s">
        <v>7845</v>
      </c>
      <c r="B492" s="3" t="s">
        <v>7823</v>
      </c>
      <c r="C492" s="2" t="s">
        <v>7683</v>
      </c>
    </row>
    <row r="493" customFormat="false" ht="15" hidden="false" customHeight="false" outlineLevel="0" collapsed="false">
      <c r="A493" s="2" t="s">
        <v>7846</v>
      </c>
      <c r="B493" s="3" t="s">
        <v>7847</v>
      </c>
      <c r="C493" s="2" t="s">
        <v>7683</v>
      </c>
    </row>
    <row r="494" customFormat="false" ht="15" hidden="false" customHeight="false" outlineLevel="0" collapsed="false">
      <c r="A494" s="2" t="s">
        <v>7848</v>
      </c>
      <c r="B494" s="3" t="s">
        <v>7823</v>
      </c>
      <c r="C494" s="2" t="s">
        <v>7683</v>
      </c>
    </row>
    <row r="495" customFormat="false" ht="15" hidden="false" customHeight="false" outlineLevel="0" collapsed="false">
      <c r="A495" s="2" t="s">
        <v>7849</v>
      </c>
      <c r="B495" s="3" t="s">
        <v>7229</v>
      </c>
      <c r="C495" s="2" t="s">
        <v>7683</v>
      </c>
    </row>
    <row r="496" customFormat="false" ht="15" hidden="false" customHeight="false" outlineLevel="0" collapsed="false">
      <c r="A496" s="2" t="s">
        <v>7850</v>
      </c>
      <c r="B496" s="3" t="s">
        <v>7229</v>
      </c>
      <c r="C496" s="2" t="s">
        <v>7683</v>
      </c>
    </row>
    <row r="497" customFormat="false" ht="15" hidden="false" customHeight="false" outlineLevel="0" collapsed="false">
      <c r="A497" s="2" t="s">
        <v>7851</v>
      </c>
      <c r="B497" s="3" t="s">
        <v>7823</v>
      </c>
      <c r="C497" s="2" t="s">
        <v>7683</v>
      </c>
    </row>
    <row r="498" customFormat="false" ht="15" hidden="false" customHeight="false" outlineLevel="0" collapsed="false">
      <c r="A498" s="2" t="s">
        <v>7852</v>
      </c>
      <c r="B498" s="3" t="s">
        <v>7853</v>
      </c>
      <c r="C498" s="2" t="s">
        <v>7683</v>
      </c>
    </row>
    <row r="499" customFormat="false" ht="15" hidden="false" customHeight="false" outlineLevel="0" collapsed="false">
      <c r="A499" s="2" t="s">
        <v>7854</v>
      </c>
      <c r="B499" s="3" t="s">
        <v>7828</v>
      </c>
      <c r="C499" s="2" t="s">
        <v>7683</v>
      </c>
    </row>
    <row r="500" customFormat="false" ht="15" hidden="false" customHeight="false" outlineLevel="0" collapsed="false">
      <c r="A500" s="2" t="s">
        <v>7855</v>
      </c>
      <c r="B500" s="3" t="s">
        <v>7229</v>
      </c>
      <c r="C500" s="2" t="s">
        <v>7683</v>
      </c>
    </row>
    <row r="501" customFormat="false" ht="15" hidden="false" customHeight="false" outlineLevel="0" collapsed="false">
      <c r="A501" s="2" t="s">
        <v>7856</v>
      </c>
      <c r="B501" s="3" t="s">
        <v>7229</v>
      </c>
      <c r="C501" s="2" t="s">
        <v>7683</v>
      </c>
    </row>
    <row r="502" customFormat="false" ht="15" hidden="false" customHeight="false" outlineLevel="0" collapsed="false">
      <c r="A502" s="2" t="s">
        <v>7857</v>
      </c>
      <c r="B502" s="3" t="s">
        <v>7237</v>
      </c>
      <c r="C502" s="2" t="s">
        <v>7683</v>
      </c>
    </row>
    <row r="503" customFormat="false" ht="15" hidden="false" customHeight="false" outlineLevel="0" collapsed="false">
      <c r="A503" s="2" t="s">
        <v>7858</v>
      </c>
      <c r="B503" s="3" t="s">
        <v>7237</v>
      </c>
      <c r="C503" s="2" t="s">
        <v>7683</v>
      </c>
    </row>
    <row r="504" customFormat="false" ht="15" hidden="false" customHeight="false" outlineLevel="0" collapsed="false">
      <c r="A504" s="2" t="s">
        <v>7859</v>
      </c>
      <c r="B504" s="3" t="s">
        <v>7237</v>
      </c>
      <c r="C504" s="2" t="s">
        <v>7683</v>
      </c>
    </row>
    <row r="505" customFormat="false" ht="15" hidden="false" customHeight="false" outlineLevel="0" collapsed="false">
      <c r="A505" s="2" t="s">
        <v>7860</v>
      </c>
      <c r="B505" s="3" t="s">
        <v>7237</v>
      </c>
      <c r="C505" s="2" t="s">
        <v>7683</v>
      </c>
    </row>
    <row r="506" customFormat="false" ht="15" hidden="false" customHeight="false" outlineLevel="0" collapsed="false">
      <c r="A506" s="2" t="s">
        <v>7861</v>
      </c>
      <c r="B506" s="3" t="s">
        <v>7237</v>
      </c>
      <c r="C506" s="2" t="s">
        <v>7683</v>
      </c>
    </row>
    <row r="507" customFormat="false" ht="15" hidden="false" customHeight="false" outlineLevel="0" collapsed="false">
      <c r="A507" s="2" t="s">
        <v>7862</v>
      </c>
      <c r="B507" s="3" t="s">
        <v>7863</v>
      </c>
      <c r="C507" s="2" t="s">
        <v>7683</v>
      </c>
    </row>
    <row r="508" customFormat="false" ht="15" hidden="false" customHeight="false" outlineLevel="0" collapsed="false">
      <c r="A508" s="2" t="s">
        <v>7864</v>
      </c>
      <c r="B508" s="3" t="s">
        <v>7865</v>
      </c>
      <c r="C508" s="2" t="s">
        <v>7683</v>
      </c>
    </row>
    <row r="509" customFormat="false" ht="15" hidden="false" customHeight="false" outlineLevel="0" collapsed="false">
      <c r="A509" s="2" t="s">
        <v>7866</v>
      </c>
      <c r="B509" s="3" t="s">
        <v>7073</v>
      </c>
      <c r="C509" s="2" t="s">
        <v>7683</v>
      </c>
    </row>
    <row r="510" customFormat="false" ht="15" hidden="false" customHeight="false" outlineLevel="0" collapsed="false">
      <c r="A510" s="2" t="s">
        <v>7867</v>
      </c>
      <c r="B510" s="3" t="s">
        <v>7073</v>
      </c>
      <c r="C510" s="2" t="s">
        <v>7683</v>
      </c>
    </row>
    <row r="511" customFormat="false" ht="15" hidden="false" customHeight="false" outlineLevel="0" collapsed="false">
      <c r="A511" s="2" t="s">
        <v>7868</v>
      </c>
      <c r="B511" s="3" t="s">
        <v>7869</v>
      </c>
      <c r="C511" s="2" t="s">
        <v>7683</v>
      </c>
    </row>
    <row r="512" customFormat="false" ht="15" hidden="false" customHeight="false" outlineLevel="0" collapsed="false">
      <c r="A512" s="2" t="s">
        <v>7870</v>
      </c>
      <c r="B512" s="3" t="s">
        <v>7871</v>
      </c>
      <c r="C512" s="2" t="s">
        <v>7683</v>
      </c>
    </row>
    <row r="513" customFormat="false" ht="15" hidden="false" customHeight="false" outlineLevel="0" collapsed="false">
      <c r="A513" s="2" t="s">
        <v>7872</v>
      </c>
      <c r="B513" s="3" t="s">
        <v>7873</v>
      </c>
      <c r="C513" s="2" t="s">
        <v>7683</v>
      </c>
    </row>
    <row r="514" customFormat="false" ht="15" hidden="false" customHeight="false" outlineLevel="0" collapsed="false">
      <c r="A514" s="2" t="s">
        <v>7874</v>
      </c>
      <c r="B514" s="3" t="s">
        <v>7875</v>
      </c>
      <c r="C514" s="2" t="s">
        <v>7683</v>
      </c>
    </row>
    <row r="515" customFormat="false" ht="15" hidden="false" customHeight="false" outlineLevel="0" collapsed="false">
      <c r="A515" s="2" t="s">
        <v>7876</v>
      </c>
      <c r="B515" s="3" t="s">
        <v>7877</v>
      </c>
      <c r="C515" s="2" t="s">
        <v>7683</v>
      </c>
    </row>
    <row r="516" customFormat="false" ht="15" hidden="false" customHeight="false" outlineLevel="0" collapsed="false">
      <c r="A516" s="2" t="s">
        <v>7878</v>
      </c>
      <c r="B516" s="3" t="s">
        <v>7879</v>
      </c>
      <c r="C516" s="2" t="s">
        <v>7683</v>
      </c>
    </row>
    <row r="517" customFormat="false" ht="15" hidden="false" customHeight="false" outlineLevel="0" collapsed="false">
      <c r="A517" s="2" t="s">
        <v>7880</v>
      </c>
      <c r="B517" s="3" t="s">
        <v>7879</v>
      </c>
      <c r="C517" s="2" t="s">
        <v>7683</v>
      </c>
    </row>
    <row r="518" customFormat="false" ht="15" hidden="false" customHeight="false" outlineLevel="0" collapsed="false">
      <c r="A518" s="2" t="s">
        <v>7881</v>
      </c>
      <c r="B518" s="3" t="s">
        <v>7882</v>
      </c>
      <c r="C518" s="2" t="s">
        <v>7683</v>
      </c>
    </row>
    <row r="519" customFormat="false" ht="15" hidden="false" customHeight="false" outlineLevel="0" collapsed="false">
      <c r="A519" s="2" t="s">
        <v>7883</v>
      </c>
      <c r="B519" s="3" t="s">
        <v>7759</v>
      </c>
      <c r="C519" s="2" t="s">
        <v>7683</v>
      </c>
    </row>
    <row r="520" customFormat="false" ht="15" hidden="false" customHeight="false" outlineLevel="0" collapsed="false">
      <c r="A520" s="2" t="s">
        <v>7884</v>
      </c>
      <c r="B520" s="3" t="s">
        <v>7885</v>
      </c>
      <c r="C520" s="2" t="s">
        <v>7683</v>
      </c>
    </row>
    <row r="521" customFormat="false" ht="15" hidden="false" customHeight="false" outlineLevel="0" collapsed="false">
      <c r="A521" s="2" t="s">
        <v>7886</v>
      </c>
      <c r="B521" s="3" t="s">
        <v>7887</v>
      </c>
      <c r="C521" s="2" t="s">
        <v>7683</v>
      </c>
    </row>
    <row r="522" customFormat="false" ht="15" hidden="false" customHeight="false" outlineLevel="0" collapsed="false">
      <c r="A522" s="2" t="s">
        <v>7888</v>
      </c>
      <c r="B522" s="3" t="s">
        <v>7889</v>
      </c>
      <c r="C522" s="2" t="s">
        <v>7683</v>
      </c>
    </row>
    <row r="523" customFormat="false" ht="15" hidden="false" customHeight="false" outlineLevel="0" collapsed="false">
      <c r="A523" s="2" t="s">
        <v>7890</v>
      </c>
      <c r="B523" s="3" t="s">
        <v>7891</v>
      </c>
      <c r="C523" s="2" t="s">
        <v>7683</v>
      </c>
    </row>
    <row r="524" customFormat="false" ht="23.85" hidden="false" customHeight="false" outlineLevel="0" collapsed="false">
      <c r="A524" s="2" t="s">
        <v>7892</v>
      </c>
      <c r="B524" s="3" t="s">
        <v>7893</v>
      </c>
      <c r="C524" s="2" t="s">
        <v>7683</v>
      </c>
    </row>
    <row r="525" customFormat="false" ht="15" hidden="false" customHeight="false" outlineLevel="0" collapsed="false">
      <c r="A525" s="2" t="s">
        <v>7894</v>
      </c>
      <c r="B525" s="3" t="s">
        <v>7895</v>
      </c>
      <c r="C525" s="2" t="s">
        <v>7683</v>
      </c>
    </row>
    <row r="526" customFormat="false" ht="15" hidden="false" customHeight="false" outlineLevel="0" collapsed="false">
      <c r="A526" s="2" t="s">
        <v>7896</v>
      </c>
      <c r="B526" s="3" t="s">
        <v>7897</v>
      </c>
      <c r="C526" s="2" t="s">
        <v>7683</v>
      </c>
    </row>
    <row r="527" customFormat="false" ht="15" hidden="false" customHeight="false" outlineLevel="0" collapsed="false">
      <c r="A527" s="2" t="s">
        <v>7898</v>
      </c>
      <c r="B527" s="3" t="s">
        <v>7899</v>
      </c>
      <c r="C527" s="2" t="s">
        <v>7683</v>
      </c>
    </row>
    <row r="528" customFormat="false" ht="15" hidden="false" customHeight="false" outlineLevel="0" collapsed="false">
      <c r="A528" s="2" t="s">
        <v>7900</v>
      </c>
      <c r="B528" s="3" t="s">
        <v>7899</v>
      </c>
      <c r="C528" s="2" t="s">
        <v>7683</v>
      </c>
    </row>
    <row r="529" customFormat="false" ht="15" hidden="false" customHeight="false" outlineLevel="0" collapsed="false">
      <c r="A529" s="2" t="s">
        <v>7901</v>
      </c>
      <c r="B529" s="3" t="s">
        <v>7902</v>
      </c>
      <c r="C529" s="2" t="s">
        <v>7683</v>
      </c>
    </row>
    <row r="530" customFormat="false" ht="15" hidden="false" customHeight="false" outlineLevel="0" collapsed="false">
      <c r="A530" s="2" t="s">
        <v>7903</v>
      </c>
      <c r="B530" s="3" t="s">
        <v>7285</v>
      </c>
      <c r="C530" s="2" t="s">
        <v>7683</v>
      </c>
    </row>
    <row r="531" customFormat="false" ht="15" hidden="false" customHeight="false" outlineLevel="0" collapsed="false">
      <c r="A531" s="2" t="s">
        <v>7904</v>
      </c>
      <c r="B531" s="3" t="s">
        <v>7905</v>
      </c>
      <c r="C531" s="2" t="s">
        <v>7683</v>
      </c>
    </row>
    <row r="532" customFormat="false" ht="15" hidden="false" customHeight="false" outlineLevel="0" collapsed="false">
      <c r="A532" s="2" t="s">
        <v>7906</v>
      </c>
      <c r="B532" s="3" t="s">
        <v>7899</v>
      </c>
      <c r="C532" s="2" t="s">
        <v>7683</v>
      </c>
    </row>
    <row r="533" customFormat="false" ht="15" hidden="false" customHeight="false" outlineLevel="0" collapsed="false">
      <c r="A533" s="2" t="s">
        <v>7907</v>
      </c>
      <c r="B533" s="3" t="s">
        <v>7908</v>
      </c>
      <c r="C533" s="2" t="s">
        <v>7683</v>
      </c>
    </row>
    <row r="534" customFormat="false" ht="23.85" hidden="false" customHeight="false" outlineLevel="0" collapsed="false">
      <c r="A534" s="2" t="s">
        <v>7909</v>
      </c>
      <c r="B534" s="3" t="s">
        <v>7910</v>
      </c>
      <c r="C534" s="2" t="s">
        <v>7911</v>
      </c>
    </row>
    <row r="535" customFormat="false" ht="23.85" hidden="false" customHeight="false" outlineLevel="0" collapsed="false">
      <c r="A535" s="2" t="s">
        <v>7912</v>
      </c>
      <c r="B535" s="3" t="s">
        <v>7913</v>
      </c>
      <c r="C535" s="2" t="s">
        <v>7911</v>
      </c>
    </row>
    <row r="536" customFormat="false" ht="15" hidden="false" customHeight="false" outlineLevel="0" collapsed="false">
      <c r="A536" s="2" t="s">
        <v>7914</v>
      </c>
      <c r="B536" s="3" t="s">
        <v>7915</v>
      </c>
      <c r="C536" s="2" t="s">
        <v>7911</v>
      </c>
    </row>
    <row r="537" customFormat="false" ht="23.85" hidden="false" customHeight="false" outlineLevel="0" collapsed="false">
      <c r="A537" s="2" t="s">
        <v>7916</v>
      </c>
      <c r="B537" s="3" t="s">
        <v>7917</v>
      </c>
      <c r="C537" s="2" t="s">
        <v>7911</v>
      </c>
    </row>
    <row r="538" customFormat="false" ht="23.85" hidden="false" customHeight="false" outlineLevel="0" collapsed="false">
      <c r="A538" s="2" t="s">
        <v>7918</v>
      </c>
      <c r="B538" s="3" t="s">
        <v>7919</v>
      </c>
      <c r="C538" s="2" t="s">
        <v>7911</v>
      </c>
    </row>
    <row r="539" customFormat="false" ht="23.85" hidden="false" customHeight="false" outlineLevel="0" collapsed="false">
      <c r="A539" s="2" t="s">
        <v>7920</v>
      </c>
      <c r="B539" s="3" t="s">
        <v>7921</v>
      </c>
      <c r="C539" s="2" t="s">
        <v>7911</v>
      </c>
    </row>
    <row r="540" customFormat="false" ht="23.85" hidden="false" customHeight="false" outlineLevel="0" collapsed="false">
      <c r="A540" s="2" t="s">
        <v>7922</v>
      </c>
      <c r="B540" s="3" t="s">
        <v>7923</v>
      </c>
      <c r="C540" s="2" t="s">
        <v>7911</v>
      </c>
    </row>
    <row r="541" customFormat="false" ht="15" hidden="false" customHeight="false" outlineLevel="0" collapsed="false">
      <c r="A541" s="2" t="s">
        <v>7924</v>
      </c>
      <c r="B541" s="3" t="s">
        <v>7925</v>
      </c>
      <c r="C541" s="2" t="s">
        <v>7911</v>
      </c>
    </row>
    <row r="542" customFormat="false" ht="15" hidden="false" customHeight="false" outlineLevel="0" collapsed="false">
      <c r="A542" s="2" t="s">
        <v>7926</v>
      </c>
      <c r="B542" s="3" t="s">
        <v>7927</v>
      </c>
      <c r="C542" s="2" t="s">
        <v>7911</v>
      </c>
    </row>
    <row r="543" customFormat="false" ht="23.85" hidden="false" customHeight="false" outlineLevel="0" collapsed="false">
      <c r="A543" s="2" t="s">
        <v>7928</v>
      </c>
      <c r="B543" s="3" t="s">
        <v>7929</v>
      </c>
      <c r="C543" s="2" t="s">
        <v>7911</v>
      </c>
    </row>
    <row r="544" customFormat="false" ht="35.05" hidden="false" customHeight="false" outlineLevel="0" collapsed="false">
      <c r="A544" s="2" t="s">
        <v>7930</v>
      </c>
      <c r="B544" s="3" t="s">
        <v>7931</v>
      </c>
      <c r="C544" s="2" t="s">
        <v>7911</v>
      </c>
    </row>
    <row r="545" customFormat="false" ht="23.85" hidden="false" customHeight="false" outlineLevel="0" collapsed="false">
      <c r="A545" s="2" t="s">
        <v>7932</v>
      </c>
      <c r="B545" s="3" t="s">
        <v>7933</v>
      </c>
      <c r="C545" s="2" t="s">
        <v>7911</v>
      </c>
    </row>
    <row r="546" customFormat="false" ht="23.85" hidden="false" customHeight="false" outlineLevel="0" collapsed="false">
      <c r="A546" s="2" t="s">
        <v>7934</v>
      </c>
      <c r="B546" s="3" t="s">
        <v>7935</v>
      </c>
      <c r="C546" s="2" t="s">
        <v>7911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23.85" hidden="false" customHeight="false" outlineLevel="0" collapsed="false">
      <c r="A1" s="6" t="s">
        <v>7936</v>
      </c>
      <c r="B1" s="3" t="s">
        <v>7937</v>
      </c>
    </row>
    <row r="2" customFormat="false" ht="46.25" hidden="false" customHeight="false" outlineLevel="0" collapsed="false">
      <c r="A2" s="6" t="s">
        <v>7938</v>
      </c>
      <c r="B2" s="3" t="s">
        <v>7939</v>
      </c>
    </row>
    <row r="3" customFormat="false" ht="23.85" hidden="false" customHeight="false" outlineLevel="0" collapsed="false">
      <c r="A3" s="6" t="s">
        <v>7940</v>
      </c>
      <c r="B3" s="3" t="s">
        <v>7941</v>
      </c>
    </row>
    <row r="4" customFormat="false" ht="79.85" hidden="false" customHeight="false" outlineLevel="0" collapsed="false">
      <c r="A4" s="6" t="s">
        <v>7942</v>
      </c>
      <c r="B4" s="3" t="s">
        <v>7943</v>
      </c>
    </row>
    <row r="5" customFormat="false" ht="23.85" hidden="false" customHeight="false" outlineLevel="0" collapsed="false">
      <c r="A5" s="6" t="s">
        <v>7944</v>
      </c>
      <c r="B5" s="3" t="s">
        <v>7945</v>
      </c>
    </row>
    <row r="6" customFormat="false" ht="15" hidden="false" customHeight="false" outlineLevel="0" collapsed="false">
      <c r="A6" s="6" t="s">
        <v>7946</v>
      </c>
      <c r="B6" s="3" t="s">
        <v>7947</v>
      </c>
    </row>
    <row r="7" customFormat="false" ht="57.45" hidden="false" customHeight="false" outlineLevel="0" collapsed="false">
      <c r="A7" s="6" t="s">
        <v>27</v>
      </c>
      <c r="B7" s="3" t="s">
        <v>7948</v>
      </c>
    </row>
    <row r="8" customFormat="false" ht="23.85" hidden="false" customHeight="false" outlineLevel="0" collapsed="false">
      <c r="A8" s="6" t="s">
        <v>29</v>
      </c>
      <c r="B8" s="3" t="s">
        <v>7949</v>
      </c>
    </row>
    <row r="9" customFormat="false" ht="46.25" hidden="false" customHeight="false" outlineLevel="0" collapsed="false">
      <c r="A9" s="6" t="s">
        <v>7950</v>
      </c>
      <c r="B9" s="3" t="s">
        <v>7951</v>
      </c>
    </row>
    <row r="10" customFormat="false" ht="68.65" hidden="false" customHeight="false" outlineLevel="0" collapsed="false">
      <c r="A10" s="6" t="s">
        <v>7952</v>
      </c>
      <c r="B10" s="3" t="s">
        <v>7953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2026-10-11T21:57:56Z</dcterms:created>
  <dc:creator>openpyxl</dc:creator>
  <dc:description/>
  <dc:language>en-US</dc:language>
  <cp:lastModifiedBy/>
  <dcterms:modified xsi:type="dcterms:W3CDTF">2026-10-11T21:57:56Z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